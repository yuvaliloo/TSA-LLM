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defaultThemeVersion="166925"/>
  <mc:AlternateContent xmlns:mc="http://schemas.openxmlformats.org/markup-compatibility/2006">
    <mc:Choice Requires="x15">
      <x15ac:absPath xmlns:x15ac="http://schemas.microsoft.com/office/spreadsheetml/2010/11/ac" url="C:\Users\hgu052\Desktop\"/>
    </mc:Choice>
  </mc:AlternateContent>
  <xr:revisionPtr revIDLastSave="0" documentId="13_ncr:1_{A5B1E9CB-AB31-4047-BF9C-8E13A5AEF5E0}" xr6:coauthVersionLast="47" xr6:coauthVersionMax="47" xr10:uidLastSave="{00000000-0000-0000-0000-000000000000}"/>
  <bookViews>
    <workbookView xWindow="-110" yWindow="-110" windowWidth="19420" windowHeight="10420" tabRatio="679" firstSheet="1" activeTab="2" xr2:uid="{6B115779-8749-42C5-A16B-C64D70073108}"/>
  </bookViews>
  <sheets>
    <sheet name="Table" sheetId="3" state="hidden" r:id="rId1"/>
    <sheet name="Read me" sheetId="1" r:id="rId2"/>
    <sheet name="BIT_UPLOAD" sheetId="4" r:id="rId3"/>
    <sheet name="Field reference" sheetId="2" state="hidden" r:id="rId4"/>
    <sheet name="How to find a BP and CA" sheetId="6" state="hidden" r:id="rId5"/>
    <sheet name="Charge Codes" sheetId="5" r:id="rId6"/>
    <sheet name="CBU-BA List" sheetId="11" r:id="rId7"/>
    <sheet name="Field List" sheetId="12" r:id="rId8"/>
    <sheet name="InvoiceType" sheetId="10" state="hidden" r:id="rId9"/>
    <sheet name="Charge LookUp" sheetId="8" state="hidden" r:id="rId10"/>
  </sheets>
  <functionGroups builtInGroupCount="19"/>
  <definedNames>
    <definedName name="_xlnm._FilterDatabase" localSheetId="6" hidden="1">'CBU-BA List'!$A$1:$C$848</definedName>
    <definedName name="_xlnm._FilterDatabase" localSheetId="5" hidden="1">'Charge Codes'!$A$1:$D$1415</definedName>
    <definedName name="_xlnm._FilterDatabase" localSheetId="9" hidden="1">'Charge LookUp'!$A$1:$C$1415</definedName>
    <definedName name="_xlnm._FilterDatabase" localSheetId="3" hidden="1">'Field reference'!$A$3:$G$161</definedName>
    <definedName name="_xlnm._FilterDatabase" localSheetId="0" hidden="1">Table!$S$2:$T$164</definedName>
    <definedName name="BIT_Type">Table!$AI$4</definedName>
    <definedName name="Charge_Code">OFFSET('Charge Codes'!$A$1,1,0,COUNTA('Charge Codes'!$A:$A)-1)</definedName>
    <definedName name="Class">BIT_UPLOAD!$B$4</definedName>
    <definedName name="Client">BIT_UPLOAD!$A$4</definedName>
    <definedName name="Default_Values">OFFSET(Table!$Y$2,1,0,COUNTA(Table!$Y:$Y)-1,2)</definedName>
    <definedName name="InvRange">InvoiceType!$A$1:$B$6</definedName>
    <definedName name="Main_Items">OFFSET(Table!$S$2,1,0,COUNTA(Table!$S:$S)-1,2)</definedName>
    <definedName name="Main_postings">OFFSET(BIT_UPLOAD!$A$1,MATCH("IT",BIT_UPLOAD!$A:$A,0)-1,0,COUNTIF(BIT_UPLOAD!$A:$A,"IT"),COUNTA(BIT_UPLOAD!$6:$6))</definedName>
    <definedName name="Non_DND_Items">OFFSET(Table!$AB$2,1,0,COUNTA(Table!$AB:$AB)-1,6)</definedName>
    <definedName name="SubProcess">Table!$AI$3</definedName>
    <definedName name="Tax_codes">OFFSET(Table!$AK$2,1,0,COUNTA(Table!$AK:$AK)-1)</definedName>
    <definedName name="Text_Items">OFFSET(Table!$V$2,1,0,COUNTA(Table!$V:$V)-1,2)</definedName>
    <definedName name="Text_Postings">OFFSET(BIT_UPLOAD!$A$1,MATCH("TT",BIT_UPLOAD!$A:$A,0)-1,0,COUNTIF(BIT_UPLOAD!$A:$A,"TT"),COUNTA(OFFSET(BIT_UPLOAD!$1:$1,MATCH("TT",BIT_UPLOAD!$A:$A,0)-1,0)))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6" i="4" l="1"/>
  <c r="Q16" i="4" s="1"/>
  <c r="I16" i="4"/>
  <c r="H16" i="4"/>
  <c r="J16" i="4"/>
  <c r="L15" i="4"/>
  <c r="Q15" i="4" s="1"/>
  <c r="I15" i="4"/>
  <c r="H15" i="4"/>
  <c r="J15" i="4"/>
  <c r="L14" i="4"/>
  <c r="Q14" i="4" s="1"/>
  <c r="I14" i="4"/>
  <c r="H14" i="4"/>
  <c r="J14" i="4"/>
  <c r="L13" i="4"/>
  <c r="Q13" i="4" s="1"/>
  <c r="I13" i="4"/>
  <c r="H13" i="4"/>
  <c r="J13" i="4"/>
  <c r="L12" i="4"/>
  <c r="Q12" i="4" s="1"/>
  <c r="I12" i="4"/>
  <c r="H12" i="4"/>
  <c r="J12" i="4"/>
  <c r="K16" i="4" l="1"/>
  <c r="K12" i="4"/>
  <c r="K14" i="4"/>
  <c r="K15" i="4"/>
  <c r="K13" i="4"/>
  <c r="L11" i="4"/>
  <c r="Q11" i="4" s="1"/>
  <c r="I11" i="4"/>
  <c r="H11" i="4"/>
  <c r="J11" i="4"/>
  <c r="L10" i="4"/>
  <c r="Q10" i="4" s="1"/>
  <c r="I10" i="4"/>
  <c r="H10" i="4"/>
  <c r="J10" i="4"/>
  <c r="L9" i="4"/>
  <c r="Q9" i="4" s="1"/>
  <c r="I9" i="4"/>
  <c r="H9" i="4"/>
  <c r="J9" i="4"/>
  <c r="L8" i="4"/>
  <c r="Q8" i="4" s="1"/>
  <c r="I8" i="4"/>
  <c r="H8" i="4"/>
  <c r="J8" i="4"/>
  <c r="J20" i="4"/>
  <c r="I7" i="4"/>
  <c r="L7" i="4"/>
  <c r="Q7" i="4" s="1"/>
  <c r="H7" i="4"/>
  <c r="J7" i="4"/>
  <c r="K11" i="4" l="1"/>
  <c r="K10" i="4"/>
  <c r="K9" i="4"/>
  <c r="K8" i="4"/>
  <c r="K7" i="4" a="1"/>
  <c r="K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Chapman, Chris</author>
  </authors>
  <commentList>
    <comment ref="S2" authorId="0" shapeId="0" xr:uid="{3E7FD1FD-1C85-4C83-A692-0732788EF85E}">
      <text>
        <r>
          <rPr>
            <b/>
            <sz val="9"/>
            <color indexed="81"/>
            <rFont val="Tahoma"/>
            <family val="2"/>
          </rPr>
          <t>Chapman, Chris:</t>
        </r>
        <r>
          <rPr>
            <sz val="9"/>
            <color indexed="81"/>
            <rFont val="Tahoma"/>
            <family val="2"/>
          </rPr>
          <t xml:space="preserve">
must match the BITS ststem field</t>
        </r>
      </text>
    </comment>
    <comment ref="T2" authorId="0" shapeId="0" xr:uid="{BBC8ED8C-17F9-4FCB-AA22-91531A9E8AE8}">
      <text>
        <r>
          <rPr>
            <b/>
            <sz val="9"/>
            <color indexed="81"/>
            <rFont val="Tahoma"/>
            <family val="2"/>
          </rPr>
          <t>Chapman, Chris:</t>
        </r>
        <r>
          <rPr>
            <sz val="9"/>
            <color indexed="81"/>
            <rFont val="Tahoma"/>
            <family val="2"/>
          </rPr>
          <t xml:space="preserve">
if this is on the BIT_UPLOAD sheet then the name here must match for the relavent field</t>
        </r>
      </text>
    </comment>
    <comment ref="V2" authorId="0" shapeId="0" xr:uid="{87067CE1-EE76-4B61-A823-FD5A46F51AD9}">
      <text>
        <r>
          <rPr>
            <b/>
            <sz val="9"/>
            <color indexed="81"/>
            <rFont val="Tahoma"/>
            <family val="2"/>
          </rPr>
          <t>Chapman, Chris:</t>
        </r>
        <r>
          <rPr>
            <sz val="9"/>
            <color indexed="81"/>
            <rFont val="Tahoma"/>
            <family val="2"/>
          </rPr>
          <t xml:space="preserve">
must match the BITS ststem field</t>
        </r>
      </text>
    </comment>
    <comment ref="W2" authorId="0" shapeId="0" xr:uid="{5E15E76C-F887-4283-A3B0-2F59EA0BE79B}">
      <text>
        <r>
          <rPr>
            <b/>
            <sz val="9"/>
            <color indexed="81"/>
            <rFont val="Tahoma"/>
            <family val="2"/>
          </rPr>
          <t>Chapman, Chris:</t>
        </r>
        <r>
          <rPr>
            <sz val="9"/>
            <color indexed="81"/>
            <rFont val="Tahoma"/>
            <family val="2"/>
          </rPr>
          <t xml:space="preserve">
if this is on the BIT_UPLOAD sheet then the name here must match for the relavent field</t>
        </r>
      </text>
    </comment>
    <comment ref="Y2" authorId="0" shapeId="0" xr:uid="{33D9D77C-C4EC-482C-8A3F-9A9D1234C8A4}">
      <text>
        <r>
          <rPr>
            <b/>
            <sz val="9"/>
            <color indexed="81"/>
            <rFont val="Tahoma"/>
            <family val="2"/>
          </rPr>
          <t>Chapman, Chris:</t>
        </r>
        <r>
          <rPr>
            <sz val="9"/>
            <color indexed="81"/>
            <rFont val="Tahoma"/>
            <family val="2"/>
          </rPr>
          <t xml:space="preserve">
must match the relavant main item type description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<sst xmlns="http://schemas.openxmlformats.org/spreadsheetml/2006/main" count="13917" uniqueCount="4004">
  <si>
    <t>PURPOSE</t>
  </si>
  <si>
    <t>The sole purpose of this upload file is to aid the user in maintaining values and identify which fields are necessary for them to fill up.</t>
  </si>
  <si>
    <r>
      <t>This template is mainly focusing on the Manual Bit creation (Bit Class "</t>
    </r>
    <r>
      <rPr>
        <b/>
        <sz val="11"/>
        <color theme="1"/>
        <rFont val="Calibri"/>
        <family val="2"/>
        <scheme val="minor"/>
      </rPr>
      <t>SMAN</t>
    </r>
    <r>
      <rPr>
        <sz val="11"/>
        <color theme="1"/>
        <rFont val="Calibri"/>
        <family val="2"/>
        <scheme val="minor"/>
      </rPr>
      <t>") for Manual Invoice and Manual Credit Note.</t>
    </r>
  </si>
  <si>
    <t>(refer to the legend below for the color coding of fields)</t>
  </si>
  <si>
    <t>NAVIGATION</t>
  </si>
  <si>
    <t>Steps:</t>
  </si>
  <si>
    <r>
      <rPr>
        <b/>
        <sz val="11"/>
        <color theme="1"/>
        <rFont val="Calibri"/>
        <family val="2"/>
        <scheme val="minor"/>
      </rPr>
      <t>1</t>
    </r>
    <r>
      <rPr>
        <sz val="11"/>
        <color theme="1"/>
        <rFont val="Calibri"/>
        <family val="2"/>
        <scheme val="minor"/>
      </rPr>
      <t xml:space="preserve">. To open a file from your local copy, choose </t>
    </r>
    <r>
      <rPr>
        <i/>
        <sz val="11"/>
        <color theme="1"/>
        <rFont val="Calibri"/>
        <family val="2"/>
        <scheme val="minor"/>
      </rPr>
      <t>"File on Presentation Server"</t>
    </r>
  </si>
  <si>
    <r>
      <rPr>
        <b/>
        <sz val="11"/>
        <color theme="1"/>
        <rFont val="Calibri"/>
        <family val="2"/>
        <scheme val="minor"/>
      </rPr>
      <t>2</t>
    </r>
    <r>
      <rPr>
        <sz val="11"/>
        <color theme="1"/>
        <rFont val="Calibri"/>
        <family val="2"/>
        <scheme val="minor"/>
      </rPr>
      <t>. Press F4 help function to select the Source file to be uploaded</t>
    </r>
  </si>
  <si>
    <r>
      <rPr>
        <b/>
        <sz val="11"/>
        <color theme="1"/>
        <rFont val="Calibri"/>
        <family val="2"/>
        <scheme val="minor"/>
      </rPr>
      <t>3</t>
    </r>
    <r>
      <rPr>
        <sz val="11"/>
        <color theme="1"/>
        <rFont val="Calibri"/>
        <family val="2"/>
        <scheme val="minor"/>
      </rPr>
      <t>. Select "Other Parameters" to Maintain Parameter for Data Package 
Enter "Total number of expected billable items"</t>
    </r>
  </si>
  <si>
    <r>
      <rPr>
        <b/>
        <sz val="11"/>
        <color theme="1"/>
        <rFont val="Calibri"/>
        <family val="2"/>
        <scheme val="minor"/>
      </rPr>
      <t>4</t>
    </r>
    <r>
      <rPr>
        <sz val="11"/>
        <color theme="1"/>
        <rFont val="Calibri"/>
        <family val="2"/>
        <scheme val="minor"/>
      </rPr>
      <t>. Current Settings define the setup of the accepted values in the system.
Note: Use the default settings as the template is setup in that way</t>
    </r>
  </si>
  <si>
    <r>
      <rPr>
        <b/>
        <sz val="11"/>
        <color theme="1"/>
        <rFont val="Calibri"/>
        <family val="2"/>
        <scheme val="minor"/>
      </rPr>
      <t>5</t>
    </r>
    <r>
      <rPr>
        <sz val="11"/>
        <color theme="1"/>
        <rFont val="Calibri"/>
        <family val="2"/>
        <scheme val="minor"/>
      </rPr>
      <t>. Click Read button to check if the file is readable. Data will show preview below</t>
    </r>
  </si>
  <si>
    <r>
      <rPr>
        <b/>
        <sz val="11"/>
        <color theme="1"/>
        <rFont val="Calibri"/>
        <family val="2"/>
        <scheme val="minor"/>
      </rPr>
      <t>6</t>
    </r>
    <r>
      <rPr>
        <sz val="11"/>
        <color theme="1"/>
        <rFont val="Calibri"/>
        <family val="2"/>
        <scheme val="minor"/>
      </rPr>
      <t>. Click Load button to import the data from the file to the system</t>
    </r>
  </si>
  <si>
    <t>NOTE:</t>
  </si>
  <si>
    <r>
      <t>To enable the "Upload Source - Parameter for Data Package" section.
Click on Program Menu &gt; Personal Settings &gt; Select</t>
    </r>
    <r>
      <rPr>
        <i/>
        <sz val="11"/>
        <color theme="1"/>
        <rFont val="Calibri"/>
        <family val="2"/>
        <scheme val="minor"/>
      </rPr>
      <t xml:space="preserve"> "</t>
    </r>
    <r>
      <rPr>
        <b/>
        <i/>
        <sz val="11"/>
        <color theme="1"/>
        <rFont val="Calibri"/>
        <family val="2"/>
        <scheme val="minor"/>
      </rPr>
      <t>Display Additional Parameters</t>
    </r>
    <r>
      <rPr>
        <i/>
        <sz val="11"/>
        <color theme="1"/>
        <rFont val="Calibri"/>
        <family val="2"/>
        <scheme val="minor"/>
      </rPr>
      <t>"</t>
    </r>
  </si>
  <si>
    <t>Default Upload Settings:</t>
  </si>
  <si>
    <t>LEGEND:</t>
  </si>
  <si>
    <t>Mandatory field containing user defined values</t>
  </si>
  <si>
    <t>Optional field containing user defined values</t>
  </si>
  <si>
    <t>Restricted Fields</t>
  </si>
  <si>
    <t>Not used field (empty or containing constant values)</t>
  </si>
  <si>
    <t>RAR relevant fields (empty if BITs not RAR relevant)</t>
  </si>
  <si>
    <t>Class</t>
  </si>
  <si>
    <t>Source trans. Type</t>
  </si>
  <si>
    <t>Subprocess</t>
  </si>
  <si>
    <t>Bit type</t>
  </si>
  <si>
    <t>Record Type</t>
  </si>
  <si>
    <t>Currency</t>
  </si>
  <si>
    <t>Main Items</t>
  </si>
  <si>
    <t>Main Items Desc</t>
  </si>
  <si>
    <t>Text Items</t>
  </si>
  <si>
    <t>Text Items Desc</t>
  </si>
  <si>
    <t>Default Values</t>
  </si>
  <si>
    <t>Non-DND Fields</t>
  </si>
  <si>
    <t>Insert to</t>
  </si>
  <si>
    <t>Colouration</t>
  </si>
  <si>
    <t>Format</t>
  </si>
  <si>
    <t>Validation</t>
  </si>
  <si>
    <t>InvoiceType store</t>
  </si>
  <si>
    <t>TAX</t>
  </si>
  <si>
    <t>Area</t>
  </si>
  <si>
    <t>Rate</t>
  </si>
  <si>
    <t>Country Code</t>
  </si>
  <si>
    <t>SHDS</t>
  </si>
  <si>
    <t>ZHDCS</t>
  </si>
  <si>
    <t>IFAH</t>
  </si>
  <si>
    <t>COCN</t>
  </si>
  <si>
    <t>TXT</t>
  </si>
  <si>
    <t>ADP</t>
  </si>
  <si>
    <t>IT</t>
  </si>
  <si>
    <t>TT</t>
  </si>
  <si>
    <t>Application Area</t>
  </si>
  <si>
    <t>S</t>
  </si>
  <si>
    <t>Export / Import</t>
  </si>
  <si>
    <t>Mandatory</t>
  </si>
  <si>
    <t>General</t>
  </si>
  <si>
    <t>O,I</t>
  </si>
  <si>
    <t>MIMN</t>
  </si>
  <si>
    <t>B1</t>
  </si>
  <si>
    <t>DE</t>
  </si>
  <si>
    <t>16%: Standard rated goods and services</t>
  </si>
  <si>
    <t>AD</t>
  </si>
  <si>
    <t>SHGD</t>
  </si>
  <si>
    <t>ZHGDC</t>
  </si>
  <si>
    <t>IFBA</t>
  </si>
  <si>
    <t>CINT</t>
  </si>
  <si>
    <t>CNT</t>
  </si>
  <si>
    <t>AED</t>
  </si>
  <si>
    <t>SRCTATYPE</t>
  </si>
  <si>
    <t>Source Trans. Type</t>
  </si>
  <si>
    <t>Relevant to Posting</t>
  </si>
  <si>
    <t>X</t>
  </si>
  <si>
    <t>Customer Reference Number</t>
  </si>
  <si>
    <t>Optional</t>
  </si>
  <si>
    <t>BIT Type</t>
  </si>
  <si>
    <t>B2</t>
  </si>
  <si>
    <t>5%: Reduced rated for sales in Germany</t>
  </si>
  <si>
    <t>AE</t>
  </si>
  <si>
    <t>SHWT</t>
  </si>
  <si>
    <t>ZHWTC</t>
  </si>
  <si>
    <t>IFSB</t>
  </si>
  <si>
    <t>COTH</t>
  </si>
  <si>
    <t>CLK</t>
  </si>
  <si>
    <t>AFA</t>
  </si>
  <si>
    <t>SRCTAID</t>
  </si>
  <si>
    <t>Source Trans.ID</t>
  </si>
  <si>
    <t>Type of Tax Date</t>
  </si>
  <si>
    <t>03</t>
  </si>
  <si>
    <t>Shipper Reference</t>
  </si>
  <si>
    <t>BA</t>
  </si>
  <si>
    <t>0%: Place of supply outside Germany</t>
  </si>
  <si>
    <t>AF</t>
  </si>
  <si>
    <t>SMAN</t>
  </si>
  <si>
    <t>ZHMAN</t>
  </si>
  <si>
    <t>CFAH</t>
  </si>
  <si>
    <t>CDND</t>
  </si>
  <si>
    <t>COM</t>
  </si>
  <si>
    <t>AFN</t>
  </si>
  <si>
    <t>VKONT</t>
  </si>
  <si>
    <t>Contract Account</t>
  </si>
  <si>
    <t>Tax Calculation</t>
  </si>
  <si>
    <t>01</t>
  </si>
  <si>
    <t>BB</t>
  </si>
  <si>
    <t>19%: Standard rated goods and services</t>
  </si>
  <si>
    <t>AG</t>
  </si>
  <si>
    <t>SMMI</t>
  </si>
  <si>
    <t>ZSMMI</t>
  </si>
  <si>
    <t>CFBA</t>
  </si>
  <si>
    <t>ALL</t>
  </si>
  <si>
    <t>TXT_GROUP</t>
  </si>
  <si>
    <t>Text Grouping</t>
  </si>
  <si>
    <t>BC</t>
  </si>
  <si>
    <t>7%: Reduced rated for sales in Germany</t>
  </si>
  <si>
    <t>AI</t>
  </si>
  <si>
    <t>CFSB</t>
  </si>
  <si>
    <t>AMD</t>
  </si>
  <si>
    <t>BITREF32</t>
  </si>
  <si>
    <t>BillableItm Ext.Ref.</t>
  </si>
  <si>
    <t>Print Relevant</t>
  </si>
  <si>
    <t>BD</t>
  </si>
  <si>
    <t>0%: Stat. exempt w/o credit</t>
  </si>
  <si>
    <t>AL</t>
  </si>
  <si>
    <t>ANG</t>
  </si>
  <si>
    <t>SUBPROCESS</t>
  </si>
  <si>
    <t>ZZAGREEMENT_NO</t>
  </si>
  <si>
    <t>Agreement Number</t>
  </si>
  <si>
    <t>Unit of Measure</t>
  </si>
  <si>
    <t>EA</t>
  </si>
  <si>
    <t>BE</t>
  </si>
  <si>
    <t>0%: Intra-Community Supply of goods</t>
  </si>
  <si>
    <t>AM</t>
  </si>
  <si>
    <t>Flag</t>
  </si>
  <si>
    <t>AOA</t>
  </si>
  <si>
    <t>BITTYPE</t>
  </si>
  <si>
    <t>Billable Item Type</t>
  </si>
  <si>
    <t>ZZCLK_EMAIL</t>
  </si>
  <si>
    <t>Clerk Email Address</t>
  </si>
  <si>
    <t>Group End</t>
  </si>
  <si>
    <t>BF</t>
  </si>
  <si>
    <t>0%: Export of goods outside EU</t>
  </si>
  <si>
    <t>AN</t>
  </si>
  <si>
    <t>AON</t>
  </si>
  <si>
    <t>BIT_AMOUNT</t>
  </si>
  <si>
    <t>Billable Item Amt</t>
  </si>
  <si>
    <t>ZZCLK_NAME</t>
  </si>
  <si>
    <t>Clerk (contact) name</t>
  </si>
  <si>
    <t>Group Item</t>
  </si>
  <si>
    <t>BG</t>
  </si>
  <si>
    <t>0%: ZR services to EU customers R/C</t>
  </si>
  <si>
    <t>AO</t>
  </si>
  <si>
    <t>IDAH</t>
  </si>
  <si>
    <t>CDDW</t>
  </si>
  <si>
    <t>AOR</t>
  </si>
  <si>
    <t>BIT_CURR</t>
  </si>
  <si>
    <t>ZZCLK_PHONE</t>
  </si>
  <si>
    <t>Clerk (contact) phone number</t>
  </si>
  <si>
    <t>Group Start</t>
  </si>
  <si>
    <t>BH</t>
  </si>
  <si>
    <t>0%: Services DE subj. to 0% w/credit</t>
  </si>
  <si>
    <t>AQ</t>
  </si>
  <si>
    <t>ARS</t>
  </si>
  <si>
    <t>APPLK</t>
  </si>
  <si>
    <t>ZZCOM_DESC_GOODS</t>
  </si>
  <si>
    <t>Com Desc Of Goods</t>
  </si>
  <si>
    <t>Group Member</t>
  </si>
  <si>
    <t>BI</t>
  </si>
  <si>
    <t>0%: Out of scope of VAT</t>
  </si>
  <si>
    <t>AR</t>
  </si>
  <si>
    <t>IDBA</t>
  </si>
  <si>
    <t>ATS</t>
  </si>
  <si>
    <t>BILL_BASEDATE</t>
  </si>
  <si>
    <t>Baseline Date</t>
  </si>
  <si>
    <t>ZZCOM_MARKS_NUMB</t>
  </si>
  <si>
    <t>Marks and Numbers</t>
  </si>
  <si>
    <t>Grossweight/Measure(Volume)/Netweight/bl</t>
  </si>
  <si>
    <t>BJ</t>
  </si>
  <si>
    <t>0% non-taxable person supply</t>
  </si>
  <si>
    <t>AS</t>
  </si>
  <si>
    <t>CDAH</t>
  </si>
  <si>
    <t>AUD</t>
  </si>
  <si>
    <t>BILL_FIRST</t>
  </si>
  <si>
    <t>Bill Starting From</t>
  </si>
  <si>
    <t>ZZCOM_PACK_COUNT</t>
  </si>
  <si>
    <t>Com Pack Count</t>
  </si>
  <si>
    <t>Rate Factor</t>
  </si>
  <si>
    <t>BK</t>
  </si>
  <si>
    <t>0%: Exempt EU services output VAT</t>
  </si>
  <si>
    <t>AT</t>
  </si>
  <si>
    <t>CDBA</t>
  </si>
  <si>
    <t>AWG</t>
  </si>
  <si>
    <t>BITDATE</t>
  </si>
  <si>
    <t>Date of Origin</t>
  </si>
  <si>
    <t>ZZCOM_PACK_KIND</t>
  </si>
  <si>
    <t>Com Pack Kind</t>
  </si>
  <si>
    <t>A/B/Container/Measure(Percent)</t>
  </si>
  <si>
    <t>BL</t>
  </si>
  <si>
    <t>0%: EU Out of scope of VAT</t>
  </si>
  <si>
    <t>AU</t>
  </si>
  <si>
    <t>AZM</t>
  </si>
  <si>
    <t>BITDATE_FROM</t>
  </si>
  <si>
    <t>Sailing Date</t>
  </si>
  <si>
    <t>ZZCOM_RECORD_NO</t>
  </si>
  <si>
    <t>Record Count</t>
  </si>
  <si>
    <t>Taxable</t>
  </si>
  <si>
    <t>AW</t>
  </si>
  <si>
    <t>MCMN</t>
  </si>
  <si>
    <t>AZN</t>
  </si>
  <si>
    <t>BITDATE_TO</t>
  </si>
  <si>
    <t>Arrival Date</t>
  </si>
  <si>
    <t>ZZCOM_WGHT_GROSS</t>
  </si>
  <si>
    <t>Com Weight Gross</t>
  </si>
  <si>
    <t>Transaction Type</t>
  </si>
  <si>
    <t>I</t>
  </si>
  <si>
    <t>AX</t>
  </si>
  <si>
    <t>MCVS</t>
  </si>
  <si>
    <t>COCN </t>
  </si>
  <si>
    <t>BAM</t>
  </si>
  <si>
    <t>BITTIME</t>
  </si>
  <si>
    <t>Time of Origin</t>
  </si>
  <si>
    <t>ZZCOM_WGHT_GR_U</t>
  </si>
  <si>
    <t>Com Weight Gross Unit</t>
  </si>
  <si>
    <t>AZ</t>
  </si>
  <si>
    <t>MCVP</t>
  </si>
  <si>
    <t>IMAN</t>
  </si>
  <si>
    <t>CINT </t>
  </si>
  <si>
    <t>BBD</t>
  </si>
  <si>
    <t>BITTIME_FROM</t>
  </si>
  <si>
    <t>Time From</t>
  </si>
  <si>
    <t>ZZCOM_WGHT_NET</t>
  </si>
  <si>
    <t>Com Weight Net</t>
  </si>
  <si>
    <t>MCCC</t>
  </si>
  <si>
    <t>CTER </t>
  </si>
  <si>
    <t>BDT</t>
  </si>
  <si>
    <t>BITTIME_TO</t>
  </si>
  <si>
    <t>End Time</t>
  </si>
  <si>
    <t>ZZCOM_WGHT_NET_U</t>
  </si>
  <si>
    <t>Com Weight Net Unit</t>
  </si>
  <si>
    <t>CBUN </t>
  </si>
  <si>
    <t>BEF</t>
  </si>
  <si>
    <t>BIT_QTY_UNIT</t>
  </si>
  <si>
    <t>ZZCOM_WGHT_VOL</t>
  </si>
  <si>
    <t>Com Weight Volume</t>
  </si>
  <si>
    <t>CMAN</t>
  </si>
  <si>
    <t>COFR </t>
  </si>
  <si>
    <t>BGN</t>
  </si>
  <si>
    <t>BIT_QUANTITY</t>
  </si>
  <si>
    <t>Billing Quantity</t>
  </si>
  <si>
    <t>ZZCOM_WGHT_VOL_U</t>
  </si>
  <si>
    <t>Com Weight Volume Unit</t>
  </si>
  <si>
    <t>CCAB</t>
  </si>
  <si>
    <t>CVSC </t>
  </si>
  <si>
    <t>BHD</t>
  </si>
  <si>
    <t>BPEXT</t>
  </si>
  <si>
    <t>External BP Number</t>
  </si>
  <si>
    <t>ZZEQBOOKNO</t>
  </si>
  <si>
    <t>Booking Number</t>
  </si>
  <si>
    <t>CDND </t>
  </si>
  <si>
    <t>BIF</t>
  </si>
  <si>
    <t>BUKRS</t>
  </si>
  <si>
    <t>Company Code</t>
  </si>
  <si>
    <t>ZZEQCARGOTYPE</t>
  </si>
  <si>
    <t>Cargo Type</t>
  </si>
  <si>
    <t>CDDW </t>
  </si>
  <si>
    <t>BMD</t>
  </si>
  <si>
    <t>CURREXC_DATE</t>
  </si>
  <si>
    <t>Translation Date</t>
  </si>
  <si>
    <t>ZZEQFCLLCL</t>
  </si>
  <si>
    <t>Full Container Load, Less than FCL</t>
  </si>
  <si>
    <t>COTH </t>
  </si>
  <si>
    <t>BND</t>
  </si>
  <si>
    <t>CURREXC_RATE</t>
  </si>
  <si>
    <t>Exchange rate</t>
  </si>
  <si>
    <t>ZZEQOWNER</t>
  </si>
  <si>
    <t>Equipment Owner</t>
  </si>
  <si>
    <t>CREM </t>
  </si>
  <si>
    <t>BOB</t>
  </si>
  <si>
    <t>ERMWSKZ</t>
  </si>
  <si>
    <t>Tax Determination</t>
  </si>
  <si>
    <t>ZZEQSIZE</t>
  </si>
  <si>
    <t>Equipment Size</t>
  </si>
  <si>
    <t>CCOM </t>
  </si>
  <si>
    <t>BRL</t>
  </si>
  <si>
    <t>ERMWSKZ_B2B</t>
  </si>
  <si>
    <t>Alt. Tax Determ.Code</t>
  </si>
  <si>
    <t>ZZEQTYPE</t>
  </si>
  <si>
    <t>Equipment Type</t>
  </si>
  <si>
    <t>CICP </t>
  </si>
  <si>
    <t>BSD</t>
  </si>
  <si>
    <t>EXT_TAX_DATE</t>
  </si>
  <si>
    <t>External Tax Date</t>
  </si>
  <si>
    <t>ZZEQ_BRK_BLK</t>
  </si>
  <si>
    <t>Breakbulk</t>
  </si>
  <si>
    <t>BM</t>
  </si>
  <si>
    <t>CILL </t>
  </si>
  <si>
    <t>BTN</t>
  </si>
  <si>
    <t>GPART</t>
  </si>
  <si>
    <t>Business Partner</t>
  </si>
  <si>
    <t>ZZEQ_GROUP_END</t>
  </si>
  <si>
    <t>BN</t>
  </si>
  <si>
    <t>CISL </t>
  </si>
  <si>
    <t>BWP</t>
  </si>
  <si>
    <t>GSBER</t>
  </si>
  <si>
    <t>Business Area</t>
  </si>
  <si>
    <t>ZZEQ_GROUP_ITEM</t>
  </si>
  <si>
    <t>BO</t>
  </si>
  <si>
    <t>CIBF </t>
  </si>
  <si>
    <t>BYB</t>
  </si>
  <si>
    <t>HVORG</t>
  </si>
  <si>
    <t>Main Transaction</t>
  </si>
  <si>
    <t>ZZEQ_GROUP_START</t>
  </si>
  <si>
    <t>BQ</t>
  </si>
  <si>
    <t>CIAS </t>
  </si>
  <si>
    <t>BYN</t>
  </si>
  <si>
    <t>KOFIZ</t>
  </si>
  <si>
    <t>Account determin. ID</t>
  </si>
  <si>
    <t>ZZEQ_GRP_MEMBER</t>
  </si>
  <si>
    <t>BR</t>
  </si>
  <si>
    <t>CIDT </t>
  </si>
  <si>
    <t>BYR</t>
  </si>
  <si>
    <t>MWSKZ</t>
  </si>
  <si>
    <t>Tax Code</t>
  </si>
  <si>
    <t>ZZEQ_ISO_CODE</t>
  </si>
  <si>
    <t>Equipment ISO Code</t>
  </si>
  <si>
    <t>BS</t>
  </si>
  <si>
    <t>BZD</t>
  </si>
  <si>
    <t>MWSKZ_B2B</t>
  </si>
  <si>
    <t>Alternative Tax Code</t>
  </si>
  <si>
    <t>ZZEQ_NO</t>
  </si>
  <si>
    <t>Equipment number</t>
  </si>
  <si>
    <t>BT</t>
  </si>
  <si>
    <t>CAD</t>
  </si>
  <si>
    <t>NOT_BPREL</t>
  </si>
  <si>
    <t>No BP Item</t>
  </si>
  <si>
    <t>ZZEQ_SEAL_1</t>
  </si>
  <si>
    <t>Seal 1</t>
  </si>
  <si>
    <t>BV</t>
  </si>
  <si>
    <t>CDF</t>
  </si>
  <si>
    <t>PA8120_POS_ID1</t>
  </si>
  <si>
    <t>Key 1</t>
  </si>
  <si>
    <t>ZZEQ_SEAL_2</t>
  </si>
  <si>
    <t>Seal 2</t>
  </si>
  <si>
    <t>BW</t>
  </si>
  <si>
    <t>XPF</t>
  </si>
  <si>
    <t>PA8120_POS_ID2</t>
  </si>
  <si>
    <t>Key 2</t>
  </si>
  <si>
    <t>ZZEQ_SEAL_3</t>
  </si>
  <si>
    <t>Seal 3</t>
  </si>
  <si>
    <t>BY</t>
  </si>
  <si>
    <t>CHF</t>
  </si>
  <si>
    <t>PA8120_POS_ID3</t>
  </si>
  <si>
    <t>Key 3</t>
  </si>
  <si>
    <t>ZZEQ_TARE</t>
  </si>
  <si>
    <t>Tare</t>
  </si>
  <si>
    <t>BZ</t>
  </si>
  <si>
    <t>CLP</t>
  </si>
  <si>
    <t>PA8120_POS_ID4</t>
  </si>
  <si>
    <t>Key 4</t>
  </si>
  <si>
    <t>ZZITEM_NO</t>
  </si>
  <si>
    <t>Item number</t>
  </si>
  <si>
    <t>CA</t>
  </si>
  <si>
    <t>PA8121_POS_ID1</t>
  </si>
  <si>
    <t>ZZPRINTER</t>
  </si>
  <si>
    <t>Printer from Current systems</t>
  </si>
  <si>
    <t>CC</t>
  </si>
  <si>
    <t>CNY</t>
  </si>
  <si>
    <t>PA8121_POS_ID2</t>
  </si>
  <si>
    <t>ZZPRINTER_TRAY</t>
  </si>
  <si>
    <t>Printer form or tray</t>
  </si>
  <si>
    <t>CD</t>
  </si>
  <si>
    <t>COP</t>
  </si>
  <si>
    <t>PA8121_POS_ID3</t>
  </si>
  <si>
    <t>ZZPRODUCT_ID</t>
  </si>
  <si>
    <t>Product ID</t>
  </si>
  <si>
    <t>CF</t>
  </si>
  <si>
    <t>CRC</t>
  </si>
  <si>
    <t>PA8121_POS_ID4</t>
  </si>
  <si>
    <t>ZZRECORD_TYPE</t>
  </si>
  <si>
    <t>CG</t>
  </si>
  <si>
    <t>CSD</t>
  </si>
  <si>
    <t>POSTREL</t>
  </si>
  <si>
    <t>ZZREC_EMAIL_CC</t>
  </si>
  <si>
    <t>Receiver Email CC</t>
  </si>
  <si>
    <t>CH</t>
  </si>
  <si>
    <t>CUC</t>
  </si>
  <si>
    <t>PRCTR</t>
  </si>
  <si>
    <t>Profit Center</t>
  </si>
  <si>
    <t>ZZREC_EMAIL_TO</t>
  </si>
  <si>
    <t>Receiver Email TO</t>
  </si>
  <si>
    <t>CI</t>
  </si>
  <si>
    <t>CUP</t>
  </si>
  <si>
    <t>PREPAID</t>
  </si>
  <si>
    <t>Prepaid</t>
  </si>
  <si>
    <t>ZZREM_TEXT1</t>
  </si>
  <si>
    <t>Rem Text 1</t>
  </si>
  <si>
    <t>CK</t>
  </si>
  <si>
    <t>CVE</t>
  </si>
  <si>
    <t>PRINTREL</t>
  </si>
  <si>
    <t>ZZREM_TEXT2</t>
  </si>
  <si>
    <t>Rem Text 2</t>
  </si>
  <si>
    <t>CL</t>
  </si>
  <si>
    <t>CYP</t>
  </si>
  <si>
    <t>PRINT_SUBSTITUTE</t>
  </si>
  <si>
    <t>Substitute Group</t>
  </si>
  <si>
    <t>CM</t>
  </si>
  <si>
    <t>CZK</t>
  </si>
  <si>
    <t>PYMET</t>
  </si>
  <si>
    <t>Payment Method</t>
  </si>
  <si>
    <t>CN</t>
  </si>
  <si>
    <t>DEM</t>
  </si>
  <si>
    <t>RAREL</t>
  </si>
  <si>
    <t>Relevant for Rev. Accounting</t>
  </si>
  <si>
    <t>CO</t>
  </si>
  <si>
    <t>RA_ITEM_TYPE</t>
  </si>
  <si>
    <t>Type of Rev. Acctg Item</t>
  </si>
  <si>
    <t>CR</t>
  </si>
  <si>
    <t>DJF</t>
  </si>
  <si>
    <t>RA_ORIGDOC_ID</t>
  </si>
  <si>
    <t>Original Item ID</t>
  </si>
  <si>
    <t>CU</t>
  </si>
  <si>
    <t>DKK</t>
  </si>
  <si>
    <t>RA_ORIGDOC_TYPE</t>
  </si>
  <si>
    <t>Original Item Type</t>
  </si>
  <si>
    <t>CV</t>
  </si>
  <si>
    <t>DOP</t>
  </si>
  <si>
    <t>RA_REFID</t>
  </si>
  <si>
    <t>Reference ID</t>
  </si>
  <si>
    <t>CW</t>
  </si>
  <si>
    <t>DZD</t>
  </si>
  <si>
    <t>RA_REFTYPE</t>
  </si>
  <si>
    <t>Reference Type</t>
  </si>
  <si>
    <t>CX</t>
  </si>
  <si>
    <t>ECS</t>
  </si>
  <si>
    <t>SEGMT</t>
  </si>
  <si>
    <t>Segment</t>
  </si>
  <si>
    <t>CY</t>
  </si>
  <si>
    <t>EEK</t>
  </si>
  <si>
    <t>SERVICE_TYPE</t>
  </si>
  <si>
    <t>Service Type</t>
  </si>
  <si>
    <t>CZ</t>
  </si>
  <si>
    <t>EGP</t>
  </si>
  <si>
    <t>SIMULATED</t>
  </si>
  <si>
    <t>Sim. Billable Item</t>
  </si>
  <si>
    <t>ERN</t>
  </si>
  <si>
    <t>SPART</t>
  </si>
  <si>
    <t>Division</t>
  </si>
  <si>
    <t>DJ</t>
  </si>
  <si>
    <t>ESP</t>
  </si>
  <si>
    <t>SRCTASUBID</t>
  </si>
  <si>
    <t>Source Trans. Itm ID</t>
  </si>
  <si>
    <t>DK</t>
  </si>
  <si>
    <t>ETB</t>
  </si>
  <si>
    <t>STAKZ</t>
  </si>
  <si>
    <t>Statistical key</t>
  </si>
  <si>
    <t>DM</t>
  </si>
  <si>
    <t>EUR</t>
  </si>
  <si>
    <t>STRKZ</t>
  </si>
  <si>
    <t>Tax code other taxes</t>
  </si>
  <si>
    <t>DO</t>
  </si>
  <si>
    <t>EU4</t>
  </si>
  <si>
    <t>TAX_COUNTRY</t>
  </si>
  <si>
    <t>Destination Country</t>
  </si>
  <si>
    <t>DZ</t>
  </si>
  <si>
    <t>MICN</t>
  </si>
  <si>
    <t>FIM</t>
  </si>
  <si>
    <t>TAX_DATE_TYPE</t>
  </si>
  <si>
    <t>EC</t>
  </si>
  <si>
    <t>FJD</t>
  </si>
  <si>
    <t>TAX_DET_TYPE</t>
  </si>
  <si>
    <t>EE</t>
  </si>
  <si>
    <t>FKP</t>
  </si>
  <si>
    <t>TAX_GROUP</t>
  </si>
  <si>
    <t>Tax Grouping</t>
  </si>
  <si>
    <t>EG</t>
  </si>
  <si>
    <t>FRF</t>
  </si>
  <si>
    <t>TAX_INCLUDED</t>
  </si>
  <si>
    <t>Gross</t>
  </si>
  <si>
    <t>EH</t>
  </si>
  <si>
    <t>GBP</t>
  </si>
  <si>
    <t>TVORG</t>
  </si>
  <si>
    <t>Subtransaction</t>
  </si>
  <si>
    <t>ER</t>
  </si>
  <si>
    <t>GEL</t>
  </si>
  <si>
    <t>TXJCD</t>
  </si>
  <si>
    <t>Tax Jurisdiction</t>
  </si>
  <si>
    <t>ES</t>
  </si>
  <si>
    <t>GHC</t>
  </si>
  <si>
    <t>VKONA</t>
  </si>
  <si>
    <t>CtrAcct in LegacySys</t>
  </si>
  <si>
    <t>ET</t>
  </si>
  <si>
    <t>GHS</t>
  </si>
  <si>
    <t>XANZA</t>
  </si>
  <si>
    <t>Down Payment</t>
  </si>
  <si>
    <t>EU</t>
  </si>
  <si>
    <t>GIP</t>
  </si>
  <si>
    <t>FI</t>
  </si>
  <si>
    <t>GMD</t>
  </si>
  <si>
    <t>FJ</t>
  </si>
  <si>
    <t>GNF</t>
  </si>
  <si>
    <t>ZZ1ST_PR_DES_UNL</t>
  </si>
  <si>
    <t>1st PreCar Des</t>
  </si>
  <si>
    <t>FK</t>
  </si>
  <si>
    <t>GRD</t>
  </si>
  <si>
    <t>ZZ1ST_PR_DIRCTN</t>
  </si>
  <si>
    <t>1ST Direction</t>
  </si>
  <si>
    <t>FM</t>
  </si>
  <si>
    <t>GTQ</t>
  </si>
  <si>
    <t>ZZ1ST_PR_ORI_UNL</t>
  </si>
  <si>
    <t>1ST PCar Origin</t>
  </si>
  <si>
    <t>FO</t>
  </si>
  <si>
    <t>GWP</t>
  </si>
  <si>
    <t>ZZ1ST_PR_VOYAGE</t>
  </si>
  <si>
    <t>1ST Voyage</t>
  </si>
  <si>
    <t>FR</t>
  </si>
  <si>
    <t>GYD</t>
  </si>
  <si>
    <t>ZZ1ST_PR_VSL_CDE</t>
  </si>
  <si>
    <t>1ST Vessel Code</t>
  </si>
  <si>
    <t>GA</t>
  </si>
  <si>
    <t>HKD</t>
  </si>
  <si>
    <t>ZZAGENCY</t>
  </si>
  <si>
    <t>Agency / Booking Office</t>
  </si>
  <si>
    <t>GB</t>
  </si>
  <si>
    <t>HNL</t>
  </si>
  <si>
    <t>ZZAGENCY_SFC</t>
  </si>
  <si>
    <t>Third Party Agent</t>
  </si>
  <si>
    <t>GD</t>
  </si>
  <si>
    <t>HRK</t>
  </si>
  <si>
    <t>ZZAMOUNTCONTRACT</t>
  </si>
  <si>
    <t>Extended Amount</t>
  </si>
  <si>
    <t>GE</t>
  </si>
  <si>
    <t>HTG</t>
  </si>
  <si>
    <t>ZZBIT_ORDER</t>
  </si>
  <si>
    <t>BIT Order</t>
  </si>
  <si>
    <t>GF</t>
  </si>
  <si>
    <t>HUF</t>
  </si>
  <si>
    <t>ZZBIT_SEQUENCE</t>
  </si>
  <si>
    <t>Charge Line</t>
  </si>
  <si>
    <t>GG</t>
  </si>
  <si>
    <t>IDR</t>
  </si>
  <si>
    <t>ZZBL_BOUND</t>
  </si>
  <si>
    <t>GH</t>
  </si>
  <si>
    <t>IEP</t>
  </si>
  <si>
    <t>ZZBL_NUMB_SHORT</t>
  </si>
  <si>
    <t>BL Number</t>
  </si>
  <si>
    <t>GI</t>
  </si>
  <si>
    <t>ILS</t>
  </si>
  <si>
    <t>ZZBL_TOT_MEAS_UN</t>
  </si>
  <si>
    <t>Messure Unit</t>
  </si>
  <si>
    <t>GL</t>
  </si>
  <si>
    <t>INR</t>
  </si>
  <si>
    <t>ZZBL_TOT_MEASURE</t>
  </si>
  <si>
    <t>Measure</t>
  </si>
  <si>
    <t>GM</t>
  </si>
  <si>
    <t>IQD</t>
  </si>
  <si>
    <t>ZZBL_TOT_WGHT_GR</t>
  </si>
  <si>
    <t>Gross Weight</t>
  </si>
  <si>
    <t>GN</t>
  </si>
  <si>
    <t>IRR</t>
  </si>
  <si>
    <t>ZZBL_TOT_WGHT_GU</t>
  </si>
  <si>
    <t>Gross Weight Unit</t>
  </si>
  <si>
    <t>GP</t>
  </si>
  <si>
    <t>ISK</t>
  </si>
  <si>
    <t>ZZBL_TOT_WGHT_NT</t>
  </si>
  <si>
    <t>Net Weight</t>
  </si>
  <si>
    <t>GQ</t>
  </si>
  <si>
    <t>ITL</t>
  </si>
  <si>
    <t>ZZBL_TOT_WGHT_NU</t>
  </si>
  <si>
    <t>Net Weight Unit</t>
  </si>
  <si>
    <t>GR</t>
  </si>
  <si>
    <t>JMD</t>
  </si>
  <si>
    <t>ZZBL_VERSION</t>
  </si>
  <si>
    <t>BL Version</t>
  </si>
  <si>
    <t>GS</t>
  </si>
  <si>
    <t>JOD</t>
  </si>
  <si>
    <t>ZZBLUBLI</t>
  </si>
  <si>
    <t>UBLI</t>
  </si>
  <si>
    <t>GT</t>
  </si>
  <si>
    <t>JPY</t>
  </si>
  <si>
    <t>ZZBPAGRPARTY</t>
  </si>
  <si>
    <t>Agreement Party</t>
  </si>
  <si>
    <t>GU</t>
  </si>
  <si>
    <t>KES</t>
  </si>
  <si>
    <t>ZZBPCONSIGNEE</t>
  </si>
  <si>
    <t>Consignee</t>
  </si>
  <si>
    <t>GW</t>
  </si>
  <si>
    <t>KGS</t>
  </si>
  <si>
    <t>Ship To Party</t>
  </si>
  <si>
    <t>GY</t>
  </si>
  <si>
    <t>KHR</t>
  </si>
  <si>
    <t>ZZBPFORWARDER</t>
  </si>
  <si>
    <t>Forwarder</t>
  </si>
  <si>
    <t>HK</t>
  </si>
  <si>
    <t>KMF</t>
  </si>
  <si>
    <t>ZZBPSHIPPER</t>
  </si>
  <si>
    <t>Shipper</t>
  </si>
  <si>
    <t>HM</t>
  </si>
  <si>
    <t>KPW</t>
  </si>
  <si>
    <t>ZZBRAND</t>
  </si>
  <si>
    <t>Brand</t>
  </si>
  <si>
    <t>HN</t>
  </si>
  <si>
    <t>KRW</t>
  </si>
  <si>
    <t>ZZCBU</t>
  </si>
  <si>
    <t>Collection Business Unit</t>
  </si>
  <si>
    <t>HR</t>
  </si>
  <si>
    <t>KWD</t>
  </si>
  <si>
    <t>ZZCHARGE_CODE</t>
  </si>
  <si>
    <t>Charge Code</t>
  </si>
  <si>
    <t>HT</t>
  </si>
  <si>
    <t>KYD</t>
  </si>
  <si>
    <t>ZZCHARGE_PAYMODE</t>
  </si>
  <si>
    <t>Prepaid/Collect/D Prepaid at destination</t>
  </si>
  <si>
    <t>HU</t>
  </si>
  <si>
    <t>KZT</t>
  </si>
  <si>
    <t>ZZCOND_TYPE</t>
  </si>
  <si>
    <t>Condition type</t>
  </si>
  <si>
    <t>ID</t>
  </si>
  <si>
    <t>LAK</t>
  </si>
  <si>
    <t>ZZCONSIGNEE_TEXT</t>
  </si>
  <si>
    <t>Consignee Text</t>
  </si>
  <si>
    <t>IE</t>
  </si>
  <si>
    <t>LBP</t>
  </si>
  <si>
    <t>ZZCOUNTRYCODE</t>
  </si>
  <si>
    <t>IL</t>
  </si>
  <si>
    <t>LKR</t>
  </si>
  <si>
    <t>ZZCOUNTRY_POL</t>
  </si>
  <si>
    <t>Country of Port of Load</t>
  </si>
  <si>
    <t>IM</t>
  </si>
  <si>
    <t>LRD</t>
  </si>
  <si>
    <t>ZZCURR_INV</t>
  </si>
  <si>
    <t>IN</t>
  </si>
  <si>
    <t>LSL</t>
  </si>
  <si>
    <t>ZZCURRCONTRACT</t>
  </si>
  <si>
    <t>IO</t>
  </si>
  <si>
    <t>LTL</t>
  </si>
  <si>
    <t>ZZCY_LOC</t>
  </si>
  <si>
    <t>CY Location (GEO)</t>
  </si>
  <si>
    <t>IQ</t>
  </si>
  <si>
    <t>LUF</t>
  </si>
  <si>
    <t>ZZDESCODE</t>
  </si>
  <si>
    <t>Place of Destination</t>
  </si>
  <si>
    <t>IR</t>
  </si>
  <si>
    <t>LVL</t>
  </si>
  <si>
    <t>ZZDISCODE</t>
  </si>
  <si>
    <t>Port of Discharge</t>
  </si>
  <si>
    <t>IS</t>
  </si>
  <si>
    <t>LYD</t>
  </si>
  <si>
    <t>ZZDUE_DATE</t>
  </si>
  <si>
    <t>Due Date</t>
  </si>
  <si>
    <t>MAD</t>
  </si>
  <si>
    <t>ZZDUE_DAYS</t>
  </si>
  <si>
    <t>BIT: Credit Days</t>
  </si>
  <si>
    <t>JE</t>
  </si>
  <si>
    <t>MDL</t>
  </si>
  <si>
    <t>JM</t>
  </si>
  <si>
    <t>MGA</t>
  </si>
  <si>
    <t>JO</t>
  </si>
  <si>
    <t>MGF</t>
  </si>
  <si>
    <t>JP</t>
  </si>
  <si>
    <t>MKD</t>
  </si>
  <si>
    <t>KE</t>
  </si>
  <si>
    <t>MMK</t>
  </si>
  <si>
    <t>KG</t>
  </si>
  <si>
    <t>MNT</t>
  </si>
  <si>
    <t>KH</t>
  </si>
  <si>
    <t>MOP</t>
  </si>
  <si>
    <t>KI</t>
  </si>
  <si>
    <t>MRO</t>
  </si>
  <si>
    <t>KM</t>
  </si>
  <si>
    <t>MRU</t>
  </si>
  <si>
    <t>ZZEXCHG_RATE_C2I</t>
  </si>
  <si>
    <t>Tariff Rate of Exchange</t>
  </si>
  <si>
    <t>KN</t>
  </si>
  <si>
    <t>MTL</t>
  </si>
  <si>
    <t>ZZFEED_DIS_UNLOC</t>
  </si>
  <si>
    <t>Feed Discharge</t>
  </si>
  <si>
    <t>KP</t>
  </si>
  <si>
    <t>MUR</t>
  </si>
  <si>
    <t>ZZFEED_LOA_UNLOC</t>
  </si>
  <si>
    <t>Feed Load</t>
  </si>
  <si>
    <t>KR</t>
  </si>
  <si>
    <t>MVR</t>
  </si>
  <si>
    <t>ZZFEED_PR_DIRCTN</t>
  </si>
  <si>
    <t>Feed Direction</t>
  </si>
  <si>
    <t>KW</t>
  </si>
  <si>
    <t>MWK</t>
  </si>
  <si>
    <t>ZZFEED_PR_VOYAGE</t>
  </si>
  <si>
    <t>Feed Voyage</t>
  </si>
  <si>
    <t>KY</t>
  </si>
  <si>
    <t>MXN</t>
  </si>
  <si>
    <t>ZZFEED_PR_VSL_CO</t>
  </si>
  <si>
    <t>Feed Vessel Code</t>
  </si>
  <si>
    <t>KZ</t>
  </si>
  <si>
    <t>MYR</t>
  </si>
  <si>
    <t>ZZFOOTERNOTE</t>
  </si>
  <si>
    <t>External Billing Footer Text</t>
  </si>
  <si>
    <t>LA</t>
  </si>
  <si>
    <t>MZM</t>
  </si>
  <si>
    <t>ZZFREE_TIME</t>
  </si>
  <si>
    <t>Free time</t>
  </si>
  <si>
    <t>LB</t>
  </si>
  <si>
    <t>MZN</t>
  </si>
  <si>
    <t>ZZFREE_TIME_END</t>
  </si>
  <si>
    <t>Free time End</t>
  </si>
  <si>
    <t>LC</t>
  </si>
  <si>
    <t>NAD</t>
  </si>
  <si>
    <t>ZZFREE_TIME_START</t>
  </si>
  <si>
    <t>Free time Start</t>
  </si>
  <si>
    <t>LI</t>
  </si>
  <si>
    <t>NGN</t>
  </si>
  <si>
    <t>ZZFREE_TIME_UNIT</t>
  </si>
  <si>
    <t>Free time unit</t>
  </si>
  <si>
    <t>LK</t>
  </si>
  <si>
    <t>NIO</t>
  </si>
  <si>
    <t>ZZINHERITBOOKING</t>
  </si>
  <si>
    <t>Charge inherited from Booking</t>
  </si>
  <si>
    <t>LR</t>
  </si>
  <si>
    <t>NLG</t>
  </si>
  <si>
    <t>ZZINT_H</t>
  </si>
  <si>
    <t>Internal Header Note 1</t>
  </si>
  <si>
    <t>LS</t>
  </si>
  <si>
    <t>NOK</t>
  </si>
  <si>
    <t>ZZINT_NOTES</t>
  </si>
  <si>
    <t>Internal Status Notes</t>
  </si>
  <si>
    <t>LT</t>
  </si>
  <si>
    <t>NPR</t>
  </si>
  <si>
    <t>ZZINT_NOTES1</t>
  </si>
  <si>
    <t>Internal Item Note 1</t>
  </si>
  <si>
    <t>LU</t>
  </si>
  <si>
    <t>NZD</t>
  </si>
  <si>
    <t>ZZINV_GROUPING</t>
  </si>
  <si>
    <t>Invoice Grouping</t>
  </si>
  <si>
    <t>LV</t>
  </si>
  <si>
    <t>ZZINV_SUBJECT</t>
  </si>
  <si>
    <t>Invoice Subject</t>
  </si>
  <si>
    <t>LY</t>
  </si>
  <si>
    <t>OMR</t>
  </si>
  <si>
    <t>ZZINVOICE_PREV</t>
  </si>
  <si>
    <t>Previous Invoice Number</t>
  </si>
  <si>
    <t>MA</t>
  </si>
  <si>
    <t>PAB</t>
  </si>
  <si>
    <t>ZZLOACODE</t>
  </si>
  <si>
    <t>Port of Load</t>
  </si>
  <si>
    <t>MC</t>
  </si>
  <si>
    <t>PEN</t>
  </si>
  <si>
    <t>ZZLOG</t>
  </si>
  <si>
    <t>Log Column</t>
  </si>
  <si>
    <t>MD</t>
  </si>
  <si>
    <t>PGK</t>
  </si>
  <si>
    <t>ZZMANIFEST_NO</t>
  </si>
  <si>
    <t>Manifest Number</t>
  </si>
  <si>
    <t>ME</t>
  </si>
  <si>
    <t>PHP</t>
  </si>
  <si>
    <t>ZZMANIFESTED</t>
  </si>
  <si>
    <t>Manifested</t>
  </si>
  <si>
    <t>MF</t>
  </si>
  <si>
    <t>PKR</t>
  </si>
  <si>
    <t>ZZNOTIFY1</t>
  </si>
  <si>
    <t>Notify Party</t>
  </si>
  <si>
    <t>MG</t>
  </si>
  <si>
    <t>PLN</t>
  </si>
  <si>
    <t>ZZOCCURRING_AT</t>
  </si>
  <si>
    <t>Occuring at</t>
  </si>
  <si>
    <t>MH</t>
  </si>
  <si>
    <t>PTE</t>
  </si>
  <si>
    <t>ZZONCAR_DES_UNL</t>
  </si>
  <si>
    <t>OnCar Des</t>
  </si>
  <si>
    <t>MK</t>
  </si>
  <si>
    <t>PYG</t>
  </si>
  <si>
    <t>ZZONCAR_DIRECTN</t>
  </si>
  <si>
    <t>On Carriage Voyage Direction</t>
  </si>
  <si>
    <t>ML</t>
  </si>
  <si>
    <t>QAR</t>
  </si>
  <si>
    <t>ZZONCAR_ORI_UNL</t>
  </si>
  <si>
    <t>OnCar Origin</t>
  </si>
  <si>
    <t>MM</t>
  </si>
  <si>
    <t>ZZONCAR_VOYAGE</t>
  </si>
  <si>
    <t>Oncar Voyage</t>
  </si>
  <si>
    <t>MN</t>
  </si>
  <si>
    <t>ROL</t>
  </si>
  <si>
    <t>ZZONCAR_VSL_CODE</t>
  </si>
  <si>
    <t>Oncar Vessel Code</t>
  </si>
  <si>
    <t>MO</t>
  </si>
  <si>
    <t>RON</t>
  </si>
  <si>
    <t>ZZORICODE</t>
  </si>
  <si>
    <t>Place of Origin</t>
  </si>
  <si>
    <t>MP</t>
  </si>
  <si>
    <t>RSD</t>
  </si>
  <si>
    <t>ZZPAYER_SFC</t>
  </si>
  <si>
    <t>Bill To / Pay To Party</t>
  </si>
  <si>
    <t>MQ</t>
  </si>
  <si>
    <t>RUB</t>
  </si>
  <si>
    <t>ZZPO_DATE</t>
  </si>
  <si>
    <t>PO date</t>
  </si>
  <si>
    <t>MR</t>
  </si>
  <si>
    <t>RWF</t>
  </si>
  <si>
    <t>ZZPO_NO</t>
  </si>
  <si>
    <t>PO Number</t>
  </si>
  <si>
    <t>MS</t>
  </si>
  <si>
    <t>SAR</t>
  </si>
  <si>
    <t>ZZPOI_UNLOC</t>
  </si>
  <si>
    <t>Place of BL Issue</t>
  </si>
  <si>
    <t>MT</t>
  </si>
  <si>
    <t>SBD</t>
  </si>
  <si>
    <t>ZZPOP_UNLOC</t>
  </si>
  <si>
    <t>Place of Payment</t>
  </si>
  <si>
    <t>MU</t>
  </si>
  <si>
    <t>SCR</t>
  </si>
  <si>
    <t>ZZQUANTITY_RULE</t>
  </si>
  <si>
    <t>MV</t>
  </si>
  <si>
    <t>SDD</t>
  </si>
  <si>
    <t>ZZRATE</t>
  </si>
  <si>
    <t>MW</t>
  </si>
  <si>
    <t>SDG</t>
  </si>
  <si>
    <t>ZZRATE_FACTOR</t>
  </si>
  <si>
    <t>MX</t>
  </si>
  <si>
    <t>SDP</t>
  </si>
  <si>
    <t>ZZRATE_RULE</t>
  </si>
  <si>
    <t>SUDUA5DAIS09TEST</t>
  </si>
  <si>
    <t>MY</t>
  </si>
  <si>
    <t>SEK</t>
  </si>
  <si>
    <t>ZZRATE_TIME_END</t>
  </si>
  <si>
    <t>Rate time End</t>
  </si>
  <si>
    <t>MZ</t>
  </si>
  <si>
    <t>SGD</t>
  </si>
  <si>
    <t>ZZRATE_TIME_START</t>
  </si>
  <si>
    <t>Rate time Start</t>
  </si>
  <si>
    <t>NA</t>
  </si>
  <si>
    <t>SHP</t>
  </si>
  <si>
    <t>ZZREF</t>
  </si>
  <si>
    <t>Reference</t>
  </si>
  <si>
    <t>NC</t>
  </si>
  <si>
    <t>SIT</t>
  </si>
  <si>
    <t>ZZREF_FORWARDER</t>
  </si>
  <si>
    <t>NE</t>
  </si>
  <si>
    <t>SKK</t>
  </si>
  <si>
    <t>ZZREF_SHIPPER</t>
  </si>
  <si>
    <t>NF</t>
  </si>
  <si>
    <t>SLL</t>
  </si>
  <si>
    <t>ZZREPUBLISH_FLAG</t>
  </si>
  <si>
    <t>Republishing Flag</t>
  </si>
  <si>
    <t>NG</t>
  </si>
  <si>
    <t>SOS</t>
  </si>
  <si>
    <t>ZZSALES_OFC</t>
  </si>
  <si>
    <t>Sales Office</t>
  </si>
  <si>
    <t>NI</t>
  </si>
  <si>
    <t>SRD</t>
  </si>
  <si>
    <t>ZZSBI</t>
  </si>
  <si>
    <t>Self-Billing Indicator</t>
  </si>
  <si>
    <t>NL</t>
  </si>
  <si>
    <t>SRG</t>
  </si>
  <si>
    <t>ZZSCAC</t>
  </si>
  <si>
    <t>Standard Carrier Alfa Code</t>
  </si>
  <si>
    <t>NO</t>
  </si>
  <si>
    <t>SSP</t>
  </si>
  <si>
    <t>ZZSLOTOWNER</t>
  </si>
  <si>
    <t>Owner Code</t>
  </si>
  <si>
    <t>NP</t>
  </si>
  <si>
    <t>STD</t>
  </si>
  <si>
    <t>ZZSOLDTOPARTY</t>
  </si>
  <si>
    <t>Sold To Party</t>
  </si>
  <si>
    <t>NR</t>
  </si>
  <si>
    <t>STN</t>
  </si>
  <si>
    <t>ZZSRCTRNTYP</t>
  </si>
  <si>
    <t>NT</t>
  </si>
  <si>
    <t>SVC</t>
  </si>
  <si>
    <t>ZZSRVC_CNTRCT_NO</t>
  </si>
  <si>
    <t>Service Contract Number</t>
  </si>
  <si>
    <t>NU</t>
  </si>
  <si>
    <t>SYP</t>
  </si>
  <si>
    <t>ZZTARIFFCURR</t>
  </si>
  <si>
    <t>Tariff Currency</t>
  </si>
  <si>
    <t>NZ</t>
  </si>
  <si>
    <t>SZL</t>
  </si>
  <si>
    <t>ZZTAXABLE</t>
  </si>
  <si>
    <t>OM</t>
  </si>
  <si>
    <t>THB</t>
  </si>
  <si>
    <t>ZZTRATE_APP_DATE</t>
  </si>
  <si>
    <t>Pricing Date</t>
  </si>
  <si>
    <t>OR</t>
  </si>
  <si>
    <t>TJR</t>
  </si>
  <si>
    <t>ZZTRAVELMODE</t>
  </si>
  <si>
    <t>Travel Mode</t>
  </si>
  <si>
    <t>PA</t>
  </si>
  <si>
    <t>TJS</t>
  </si>
  <si>
    <t>ZZTSP_DATE</t>
  </si>
  <si>
    <t>Transshipment Date</t>
  </si>
  <si>
    <t>PE</t>
  </si>
  <si>
    <t>TMM</t>
  </si>
  <si>
    <t>ZZTSP_TIME</t>
  </si>
  <si>
    <t>Transshipment Time</t>
  </si>
  <si>
    <t>PF</t>
  </si>
  <si>
    <t>TMT</t>
  </si>
  <si>
    <t>ZZTSP_UNLOC</t>
  </si>
  <si>
    <t>Transshipment Port</t>
  </si>
  <si>
    <t>PG</t>
  </si>
  <si>
    <t>TND</t>
  </si>
  <si>
    <t>ZZVSA_CONTRACT_TYPE</t>
  </si>
  <si>
    <t>VSA Contract Type</t>
  </si>
  <si>
    <t>PH</t>
  </si>
  <si>
    <t>TOP</t>
  </si>
  <si>
    <t>ZZVSA_Service</t>
  </si>
  <si>
    <t>VSA Service code</t>
  </si>
  <si>
    <t>PK</t>
  </si>
  <si>
    <t>TPE</t>
  </si>
  <si>
    <t>ZZVSL_CALLSIGN</t>
  </si>
  <si>
    <t>Vessel Callsign</t>
  </si>
  <si>
    <t>PL</t>
  </si>
  <si>
    <t>TRL</t>
  </si>
  <si>
    <t>ZZVSL_EDI_CODE</t>
  </si>
  <si>
    <t>Vessel EDI Code</t>
  </si>
  <si>
    <t>PM</t>
  </si>
  <si>
    <t>TRY</t>
  </si>
  <si>
    <t>ZZVSL_NAME</t>
  </si>
  <si>
    <t>Vessel Name</t>
  </si>
  <si>
    <t>PN</t>
  </si>
  <si>
    <t>TTD</t>
  </si>
  <si>
    <t>ZZVSL_SHORT_NAME</t>
  </si>
  <si>
    <t>Vessel Short Name</t>
  </si>
  <si>
    <t>PR</t>
  </si>
  <si>
    <t>TWD</t>
  </si>
  <si>
    <t>ZZVSLCODE</t>
  </si>
  <si>
    <t>Vessel Code</t>
  </si>
  <si>
    <t>PS</t>
  </si>
  <si>
    <t>TZS</t>
  </si>
  <si>
    <t>ZZVSLDIRECTION</t>
  </si>
  <si>
    <t>Direction</t>
  </si>
  <si>
    <t>PT</t>
  </si>
  <si>
    <t>UAH</t>
  </si>
  <si>
    <t>ZZVSLVOYAGE</t>
  </si>
  <si>
    <t>Voyage</t>
  </si>
  <si>
    <t>PW</t>
  </si>
  <si>
    <t>ZZYMC</t>
  </si>
  <si>
    <t>Yellow Manual Code</t>
  </si>
  <si>
    <t>PY</t>
  </si>
  <si>
    <t>UGX</t>
  </si>
  <si>
    <t>ZZYMC_SUB</t>
  </si>
  <si>
    <t>Yellow Manual Subcode</t>
  </si>
  <si>
    <t>QA</t>
  </si>
  <si>
    <t>USD</t>
  </si>
  <si>
    <t>ZZYOUR_REF</t>
  </si>
  <si>
    <t>Your Reference</t>
  </si>
  <si>
    <t>RE</t>
  </si>
  <si>
    <t>RO</t>
  </si>
  <si>
    <t>RS</t>
  </si>
  <si>
    <t>UYI</t>
  </si>
  <si>
    <t>RU</t>
  </si>
  <si>
    <t>UYU</t>
  </si>
  <si>
    <t>RW</t>
  </si>
  <si>
    <t>UZS</t>
  </si>
  <si>
    <t>SA</t>
  </si>
  <si>
    <t>VEB</t>
  </si>
  <si>
    <t>SB</t>
  </si>
  <si>
    <t>VEF</t>
  </si>
  <si>
    <t>SC</t>
  </si>
  <si>
    <t>VES</t>
  </si>
  <si>
    <t>SD</t>
  </si>
  <si>
    <t>VND</t>
  </si>
  <si>
    <t>SE</t>
  </si>
  <si>
    <t>VUV</t>
  </si>
  <si>
    <t>SG</t>
  </si>
  <si>
    <t>WST</t>
  </si>
  <si>
    <t>SH</t>
  </si>
  <si>
    <t>XAF</t>
  </si>
  <si>
    <t>SI</t>
  </si>
  <si>
    <t>XCD</t>
  </si>
  <si>
    <t>SJ</t>
  </si>
  <si>
    <t>XEU</t>
  </si>
  <si>
    <t>SK</t>
  </si>
  <si>
    <t>XOF</t>
  </si>
  <si>
    <t>SL</t>
  </si>
  <si>
    <t>SM</t>
  </si>
  <si>
    <t>YER</t>
  </si>
  <si>
    <t>SN</t>
  </si>
  <si>
    <t>YUM</t>
  </si>
  <si>
    <t>SO</t>
  </si>
  <si>
    <t>ZAR</t>
  </si>
  <si>
    <t>SR</t>
  </si>
  <si>
    <t>ZMK</t>
  </si>
  <si>
    <t>SS</t>
  </si>
  <si>
    <t>ZMW</t>
  </si>
  <si>
    <t>ST</t>
  </si>
  <si>
    <t>ZRN</t>
  </si>
  <si>
    <t>SV</t>
  </si>
  <si>
    <t>ZWD</t>
  </si>
  <si>
    <t>SX</t>
  </si>
  <si>
    <t>ZWL</t>
  </si>
  <si>
    <t>SY</t>
  </si>
  <si>
    <t>ZWN</t>
  </si>
  <si>
    <t>SZ</t>
  </si>
  <si>
    <t>ZWR</t>
  </si>
  <si>
    <t>TC</t>
  </si>
  <si>
    <t>TD</t>
  </si>
  <si>
    <t>TF</t>
  </si>
  <si>
    <t>TG</t>
  </si>
  <si>
    <t>TH</t>
  </si>
  <si>
    <t>TJ</t>
  </si>
  <si>
    <t>TK</t>
  </si>
  <si>
    <t>TL</t>
  </si>
  <si>
    <t>TM</t>
  </si>
  <si>
    <t>TN</t>
  </si>
  <si>
    <t>TO</t>
  </si>
  <si>
    <t>TR</t>
  </si>
  <si>
    <t>TV</t>
  </si>
  <si>
    <t>TW</t>
  </si>
  <si>
    <t>TZ</t>
  </si>
  <si>
    <t>UA</t>
  </si>
  <si>
    <t>UG</t>
  </si>
  <si>
    <t>UM</t>
  </si>
  <si>
    <t>UN</t>
  </si>
  <si>
    <t>US</t>
  </si>
  <si>
    <t>UY</t>
  </si>
  <si>
    <t>UZ</t>
  </si>
  <si>
    <t>VA</t>
  </si>
  <si>
    <t>VC</t>
  </si>
  <si>
    <t>VE</t>
  </si>
  <si>
    <t>VG</t>
  </si>
  <si>
    <t>VI</t>
  </si>
  <si>
    <t>VN</t>
  </si>
  <si>
    <t>VU</t>
  </si>
  <si>
    <t>WF</t>
  </si>
  <si>
    <t>WS</t>
  </si>
  <si>
    <t>YE</t>
  </si>
  <si>
    <t>YT</t>
  </si>
  <si>
    <t>YU</t>
  </si>
  <si>
    <t>ZA</t>
  </si>
  <si>
    <t>ZM</t>
  </si>
  <si>
    <t>ZW</t>
  </si>
  <si>
    <t>* Tax Determination Relevant</t>
  </si>
  <si>
    <t>Charge Code Description</t>
  </si>
  <si>
    <t>TEXT1</t>
  </si>
  <si>
    <t>Main Items (IT)</t>
  </si>
  <si>
    <t>Text Items (TT)</t>
  </si>
  <si>
    <t>Field Name</t>
  </si>
  <si>
    <t>Description</t>
  </si>
  <si>
    <t>Usage</t>
  </si>
  <si>
    <t>Identification code for an application area which uses functions from Contract Accounts Receivable and Payable.
Application Area 'S' = Convergent Invoicing</t>
  </si>
  <si>
    <t>Date entry in a billable item as the basis for determining the billing period (for periodic billing) or for determining the target date for billing of this item.</t>
  </si>
  <si>
    <t>In DOCSYS Invoice, this is the STATION ID + POSTING ID
Used to group billable items, which belong together, in a source transaction.</t>
  </si>
  <si>
    <t>Is the earliest possible time of billing for a billable item. It specifies that a billable item is not allowed to be billed until the date specified is reached (in relation to the billing date).</t>
  </si>
  <si>
    <t>Further processing of billable items is always controlled by the source transaction, that is, by each combination of a source transaction ID and source transaction type.</t>
  </si>
  <si>
    <t>Specifies the date, on which the business event occurred that led to the creation of the billable items.</t>
  </si>
  <si>
    <t>Links the main items of a source transaction with billable items of the Text Attachments record type.</t>
  </si>
  <si>
    <t>From Date</t>
  </si>
  <si>
    <t>Is the earliest possible time of billing for a billable item. It specifies that a billable item is not allowed to be billed until the date specified is reached (in relation to the billing date).
ETA</t>
  </si>
  <si>
    <t>To Date</t>
  </si>
  <si>
    <t>Specifies the ending date of the time period that the billable item relates to in a business or accounting sense (such as, the end of the billing period).
ETD</t>
  </si>
  <si>
    <t>Specifies the time, at which the business event occurred that led to the creation of the billable items.</t>
  </si>
  <si>
    <t>Specifies the start date of the time period that the billable item relates to in a business or accounting sense (such as, the start of the billing period).</t>
  </si>
  <si>
    <t>Specifies, together with the end date, the end of the time period that the billable item relates to in a business or accounting sense (such as, the end of the billing period).</t>
  </si>
  <si>
    <t>The billable item type, together with the subprocess, describes the business significance of a billable item. Each item type is assigned to one or more subprocesses.
For Manual Invoice (SMAN) following are the BIT Types:
COCN - Charge Ocean
CINT - Charge Intermodal
CDND - Charge DnD
CDDW - Charge DnD Waiver
CCAB - Charge Cabotage
COTH - Charge Others</t>
  </si>
  <si>
    <t>Specifies the billing amount of the billable item.</t>
  </si>
  <si>
    <t>Specifies the key of the currency for the amount of the billable item.</t>
  </si>
  <si>
    <t>Unit of measure in which stocks of the material are managed. The system converts all the quantities you enter in other units of measure (alternative units of measure) to the base unit of measure.</t>
  </si>
  <si>
    <t>Specifies the billing quantity of a billable item.</t>
  </si>
  <si>
    <t>Business partner number from an external system or a legacy system.
If the current business partner is known under a different number in an external system, you can store this number here for information purposes.</t>
  </si>
  <si>
    <t>Company Code based from Master Data Setup
"2000" is for HSud Release</t>
  </si>
  <si>
    <t>Translation date for determining the exchange rate which is to be used for translation. The exchange rates are stored in the system.</t>
  </si>
  <si>
    <t>Exchange rate used for the translation between foreign currency and local currency.</t>
  </si>
  <si>
    <t>Not Used</t>
  </si>
  <si>
    <t>External date for which the tax is to be calculated.</t>
  </si>
  <si>
    <t>Business Partner Number for Billing and Invoicing</t>
  </si>
  <si>
    <t>Key that uniquely identifies a business area.</t>
  </si>
  <si>
    <t>Derived in Customizing</t>
  </si>
  <si>
    <t>Derived in Master Data setup</t>
  </si>
  <si>
    <r>
      <t xml:space="preserve">The tax code represents a tax category which must be taken into consideration when making a tax return to the tax authorities.
Tax codes are unique per country. The tax rate calculation rules and further features are stored in a table for each tax code.
If this is not filled out, </t>
    </r>
    <r>
      <rPr>
        <b/>
        <i/>
        <sz val="11"/>
        <color theme="1"/>
        <rFont val="Calibri"/>
        <family val="2"/>
        <scheme val="minor"/>
      </rPr>
      <t>Tax Determination Engine</t>
    </r>
    <r>
      <rPr>
        <sz val="11"/>
        <color theme="1"/>
        <rFont val="Calibri"/>
        <family val="2"/>
        <scheme val="minor"/>
      </rPr>
      <t xml:space="preserve"> will be called based on the parameters used in the upload file</t>
    </r>
  </si>
  <si>
    <t>Indicates posting-relevant items of a billing document.
Items that are not relevant for posting can, for example, contain information for invoice printing. However, their amounts and quantities are not posted in Contract Accounts Receivable and Payable.</t>
  </si>
  <si>
    <t>Key which together with the controlling area uniquely identifies a profit center.</t>
  </si>
  <si>
    <t>Indicates line items relevant for invoice printing</t>
  </si>
  <si>
    <t>Items that are not relevant for posting can, for example, contain information for invoice printing. However, their amounts and quantities are not posted in Contract Accounts Receivable and Payable.</t>
  </si>
  <si>
    <t>This indicator can be set when billable items are entered. It can have the following values:
•' ' Item Is Not Simulated
•'X'  Simulated Item, Only Simulated Invoicing Possible
•'1' Simulated Item, Invoicing Without Posting Possible</t>
  </si>
  <si>
    <t xml:space="preserve"> further processing of billable items is always controlled by the source transaction, that is, by each combination of a source transaction ID and source transaction type.</t>
  </si>
  <si>
    <t>Stands for a tax type and a tax percentage.
While this indicator is not used for sales tax, it is used for other taxes for which a verification from a line item is required. The verification includes the tax percentage, the tax amount (which corresponds to the posting amount of the line item) as well as the base amount for taxes that is saved in a separate field in the line item.</t>
  </si>
  <si>
    <t>A subprocess is a self-sufficient processing branch within a billing process for the selection and grouping of billable items and forming a billing document. Billable items are immediately assigned to a subprocess when they are created. It is not possible for the system to process them together with billable items of another subprocess in a common billing document.
For Manual Invoice:
IMAN - Manual Invoice
CMAN - Credit Note for Manual Invoice</t>
  </si>
  <si>
    <t xml:space="preserve">Definition
Defines how the tax is calculated for the invoicing of a billing document.
00 No Tax Calculation
01 Internal Tax Calculation
02 External Tax Calculation (Other Taxes)
03 External Tax Calculation with Internal Handling
04 Telecommunications Tax (USA) w/ Ext. Tax System Integration
</t>
  </si>
  <si>
    <t>Links the main items of a source transaction with billable items of the Tax Items record type.</t>
  </si>
  <si>
    <t>Relevant only if upstream is sending Gross amounts including Taxes</t>
  </si>
  <si>
    <t>Contract Currency amount</t>
  </si>
  <si>
    <t>BIT Sequence</t>
  </si>
  <si>
    <t>Contract Currency</t>
  </si>
  <si>
    <t>Invoicing Currency</t>
  </si>
  <si>
    <t>Exchange rate from contract</t>
  </si>
  <si>
    <t>Go to T-Code BP</t>
  </si>
  <si>
    <t>In the area to the left choose pick organisation from the dropdown</t>
  </si>
  <si>
    <t>Choose a search term and enter the required details (eg name and the name of the cutomer)</t>
  </si>
  <si>
    <t xml:space="preserve">This generates a list of bp numbers pick the appropriate one. </t>
  </si>
  <si>
    <t>Charge Code Text</t>
  </si>
  <si>
    <t/>
  </si>
  <si>
    <t>CREM</t>
  </si>
  <si>
    <t>CIAS</t>
  </si>
  <si>
    <t>CTCH</t>
  </si>
  <si>
    <t>Invoice Type</t>
  </si>
  <si>
    <t>Std Invoice</t>
  </si>
  <si>
    <t xml:space="preserve">Std Credit </t>
  </si>
  <si>
    <t>VSA Credit</t>
  </si>
  <si>
    <t>VIP Credit</t>
  </si>
  <si>
    <t>Claims Credit</t>
  </si>
  <si>
    <t>ICPREMUN</t>
  </si>
  <si>
    <t>TNMM Remuneration - EBIT</t>
  </si>
  <si>
    <t>ICPRELOC</t>
  </si>
  <si>
    <t>TNMM Remuneration - LOC</t>
  </si>
  <si>
    <t>CMNF</t>
  </si>
  <si>
    <t>ICPMARKU</t>
  </si>
  <si>
    <t>Mark Up</t>
  </si>
  <si>
    <t>ICPROE1</t>
  </si>
  <si>
    <t>ROE Recharge SET 1</t>
  </si>
  <si>
    <t>CRFC</t>
  </si>
  <si>
    <t>ICPROE2</t>
  </si>
  <si>
    <t>ROE Recharge SET 2</t>
  </si>
  <si>
    <t>CRFL</t>
  </si>
  <si>
    <t>ICPROE3</t>
  </si>
  <si>
    <t>ROE Recharge SET 3</t>
  </si>
  <si>
    <t>CRCL</t>
  </si>
  <si>
    <t>ICPROE4</t>
  </si>
  <si>
    <t>ROE Recharge SET 4</t>
  </si>
  <si>
    <t>CRLB</t>
  </si>
  <si>
    <t>ICPBMSS</t>
  </si>
  <si>
    <t>CSFC</t>
  </si>
  <si>
    <t>ICPHRS</t>
  </si>
  <si>
    <t>ICPLEGAL</t>
  </si>
  <si>
    <t>Legal Services / Fees</t>
  </si>
  <si>
    <t>CLEF</t>
  </si>
  <si>
    <t>ICPSPS</t>
  </si>
  <si>
    <t>ICPCSS</t>
  </si>
  <si>
    <t>ICPCPRS</t>
  </si>
  <si>
    <t>ICPBMS</t>
  </si>
  <si>
    <t>ICPTAS</t>
  </si>
  <si>
    <t>COPF</t>
  </si>
  <si>
    <t>ICPSECS</t>
  </si>
  <si>
    <t>ICPACBKS</t>
  </si>
  <si>
    <t>ICPFAS</t>
  </si>
  <si>
    <t>ICPFTRES</t>
  </si>
  <si>
    <t>ICPRECCS</t>
  </si>
  <si>
    <t>ICPITS</t>
  </si>
  <si>
    <t>Information Technology Services</t>
  </si>
  <si>
    <t>ICPITERP</t>
  </si>
  <si>
    <t>IT Software - ERP Cost</t>
  </si>
  <si>
    <t>ICPITPRO</t>
  </si>
  <si>
    <t>IT Software - Product Cost</t>
  </si>
  <si>
    <t>ICPITCOM</t>
  </si>
  <si>
    <t>IT Hardware - Computer Cost</t>
  </si>
  <si>
    <t>ICPITPER</t>
  </si>
  <si>
    <t>IT Hardware - Peripherals</t>
  </si>
  <si>
    <t>ICPITSER</t>
  </si>
  <si>
    <t>IT Hardware -Servers</t>
  </si>
  <si>
    <t>ICPIMPS</t>
  </si>
  <si>
    <t>ICPMARKD</t>
  </si>
  <si>
    <t>Business Develop. - Marketing &amp; Distrib.</t>
  </si>
  <si>
    <t>CMKC</t>
  </si>
  <si>
    <t>ICPEMANS</t>
  </si>
  <si>
    <t>ICPSCMLS</t>
  </si>
  <si>
    <t>ICPRMS</t>
  </si>
  <si>
    <t>Risk Management Services</t>
  </si>
  <si>
    <t>ICPPAYMS</t>
  </si>
  <si>
    <t>ICPSPROC</t>
  </si>
  <si>
    <t>ASTSALIT</t>
  </si>
  <si>
    <t>ASTSALVE</t>
  </si>
  <si>
    <t>ASTSALFU</t>
  </si>
  <si>
    <t>ASTSALOE</t>
  </si>
  <si>
    <t>ASTSALLB</t>
  </si>
  <si>
    <t>ASTSALOT</t>
  </si>
  <si>
    <t>ICPPRENT</t>
  </si>
  <si>
    <t>Property Rental - Internal</t>
  </si>
  <si>
    <t>COCR</t>
  </si>
  <si>
    <t>ICPPRENE</t>
  </si>
  <si>
    <t>ICPCORPT</t>
  </si>
  <si>
    <t>Recharge of Corporation Tax</t>
  </si>
  <si>
    <t>COTT</t>
  </si>
  <si>
    <t>ICPVATG</t>
  </si>
  <si>
    <t>Rechage of VAT/GST</t>
  </si>
  <si>
    <t>CARG</t>
  </si>
  <si>
    <t>ICPTLCOS</t>
  </si>
  <si>
    <t>Rech. of Travel &amp; Living Costs</t>
  </si>
  <si>
    <t>CTVC</t>
  </si>
  <si>
    <t>ICPTLCND</t>
  </si>
  <si>
    <t>Rech. of Travel &amp; Living Cost</t>
  </si>
  <si>
    <t>ICPEMTRA</t>
  </si>
  <si>
    <t>Rech. of Employee Training Costs</t>
  </si>
  <si>
    <t>CTRC</t>
  </si>
  <si>
    <t>ICPEMTND</t>
  </si>
  <si>
    <t>Rech. of Emp. Training Costs</t>
  </si>
  <si>
    <t>ICPVISIM</t>
  </si>
  <si>
    <t>ICPSOCSE</t>
  </si>
  <si>
    <t>CSSC</t>
  </si>
  <si>
    <t>ICPICLOI</t>
  </si>
  <si>
    <t>Intercompany Loan Interests - Short Term</t>
  </si>
  <si>
    <t>CISL</t>
  </si>
  <si>
    <t>ICPICLLT</t>
  </si>
  <si>
    <t>Intercompany Loan Interests - Long Term</t>
  </si>
  <si>
    <t>CILL</t>
  </si>
  <si>
    <t>ICPBNKCH</t>
  </si>
  <si>
    <t>Bank Charges and Fees</t>
  </si>
  <si>
    <t>CIBF</t>
  </si>
  <si>
    <t>ICPIHBCA</t>
  </si>
  <si>
    <t>Interest Income IHB Internal Cash Pool</t>
  </si>
  <si>
    <t>CICP</t>
  </si>
  <si>
    <t>ICPAUDIT</t>
  </si>
  <si>
    <t>Audit Fees</t>
  </si>
  <si>
    <t>CAUF</t>
  </si>
  <si>
    <t>ICPPROFF</t>
  </si>
  <si>
    <t>Professional Fees</t>
  </si>
  <si>
    <t>NOPPOST</t>
  </si>
  <si>
    <t>Postage Charges / Fees - External</t>
  </si>
  <si>
    <t>CCAP</t>
  </si>
  <si>
    <t>ICPSALRY</t>
  </si>
  <si>
    <t>CSIC</t>
  </si>
  <si>
    <t>ICPBONUS</t>
  </si>
  <si>
    <t>CBIC</t>
  </si>
  <si>
    <t>ICPDISBO</t>
  </si>
  <si>
    <t>CDBI</t>
  </si>
  <si>
    <t>ICPEMPIN</t>
  </si>
  <si>
    <t>CEII</t>
  </si>
  <si>
    <t>ICPHOLAL</t>
  </si>
  <si>
    <t>CHAI</t>
  </si>
  <si>
    <t>ICPSCHFE</t>
  </si>
  <si>
    <t>CSFI</t>
  </si>
  <si>
    <t>ICPHOURE</t>
  </si>
  <si>
    <t>CHRI</t>
  </si>
  <si>
    <t>ICPPENPL</t>
  </si>
  <si>
    <t>CCPP</t>
  </si>
  <si>
    <t>ICPOVERT</t>
  </si>
  <si>
    <t>COII</t>
  </si>
  <si>
    <t>ICPALLOW</t>
  </si>
  <si>
    <t>CAII</t>
  </si>
  <si>
    <t>ICPKMMIL</t>
  </si>
  <si>
    <t>CKMA</t>
  </si>
  <si>
    <t>ICPFOOD</t>
  </si>
  <si>
    <t>CFCI</t>
  </si>
  <si>
    <t>NOPADMIN</t>
  </si>
  <si>
    <t>Administrative Service - External</t>
  </si>
  <si>
    <t>COAE</t>
  </si>
  <si>
    <t>NOPRENT</t>
  </si>
  <si>
    <t>Property Rental - External</t>
  </si>
  <si>
    <t>CORU</t>
  </si>
  <si>
    <t>NOPLEGAL</t>
  </si>
  <si>
    <t>Legal Services / Fees - External</t>
  </si>
  <si>
    <t>CLFC</t>
  </si>
  <si>
    <t>NOPVELES</t>
  </si>
  <si>
    <t>Vehicle Lease - External</t>
  </si>
  <si>
    <t>CVLI</t>
  </si>
  <si>
    <t>NOPAUDIT</t>
  </si>
  <si>
    <t>Audit Fees - External</t>
  </si>
  <si>
    <t>CAFE</t>
  </si>
  <si>
    <t>NOPBNKCH</t>
  </si>
  <si>
    <t>CBCF</t>
  </si>
  <si>
    <t>CVSC</t>
  </si>
  <si>
    <t>Storage - CY</t>
  </si>
  <si>
    <t>COFR</t>
  </si>
  <si>
    <t>Additional Invoice</t>
  </si>
  <si>
    <t>ADVANCE PAYMENT- PORT</t>
  </si>
  <si>
    <t>ALAMEDA CORRIDOR RAIL SURCHARGE</t>
  </si>
  <si>
    <t>CBUN</t>
  </si>
  <si>
    <t>CTER</t>
  </si>
  <si>
    <t>CARGO INSURANCE FACILITATION</t>
  </si>
  <si>
    <t>CARGO INSURANCE PREMIUM</t>
  </si>
  <si>
    <t>USGVT - CARGO PROTECTION SERVICE</t>
  </si>
  <si>
    <t>Container Terminal Order Service</t>
  </si>
  <si>
    <t>Customs Clearance Administration Fee</t>
  </si>
  <si>
    <t>Customs Inspection</t>
  </si>
  <si>
    <t>Demurrage Storage Charge</t>
  </si>
  <si>
    <t>Detention Equip.Charge-Merchants Haulage</t>
  </si>
  <si>
    <t>Diversion For Delivery Fee</t>
  </si>
  <si>
    <t>Inland Haulage Congestion Surcharge</t>
  </si>
  <si>
    <t>Port Additionals</t>
  </si>
  <si>
    <t>Pre-Trip Inspection Service</t>
  </si>
  <si>
    <t>SHANGHAI PORT SURCHARGE</t>
  </si>
  <si>
    <t>Submission of Cargo Declaration - Import</t>
  </si>
  <si>
    <t>Terminal Handling Charge - Destination</t>
  </si>
  <si>
    <t>WHARFAGE FEE</t>
  </si>
  <si>
    <t>VIP Incentives</t>
  </si>
  <si>
    <t>Customs Document Issuance</t>
  </si>
  <si>
    <t>Export Documentation Fee</t>
  </si>
  <si>
    <t>Other Income</t>
  </si>
  <si>
    <t>COIE</t>
  </si>
  <si>
    <t>Internal Time Charter Hire</t>
  </si>
  <si>
    <t>IMPORT CHASSIS USAGE CHARGE</t>
  </si>
  <si>
    <t>Off-hire Diesel Oil (MDO)</t>
  </si>
  <si>
    <t>Positioning rebate</t>
  </si>
  <si>
    <t>Slotcharter - Feeder - Full</t>
  </si>
  <si>
    <t>External Time Charter Hire</t>
  </si>
  <si>
    <t>Deduction of Offhire - External TC</t>
  </si>
  <si>
    <t>Disbursement Handling - External TC</t>
  </si>
  <si>
    <t>Miscellaneous Cost - External TC</t>
  </si>
  <si>
    <t>Crew works</t>
  </si>
  <si>
    <t>Broker Commission</t>
  </si>
  <si>
    <t>Broker Commission Refund due to Offhire</t>
  </si>
  <si>
    <t>Address Commission</t>
  </si>
  <si>
    <t>Address Commission Refund due to Offhire</t>
  </si>
  <si>
    <t>Fuel Analysis</t>
  </si>
  <si>
    <t>Renewal of Certificate</t>
  </si>
  <si>
    <t>Stevedore Damage Recovery - TC vessels</t>
  </si>
  <si>
    <t>Line and Op center fee</t>
  </si>
  <si>
    <t>VSA - Ocean - Full</t>
  </si>
  <si>
    <t>VSA - Ocean - Empty</t>
  </si>
  <si>
    <t>VSA - Feeder - Empty</t>
  </si>
  <si>
    <t>Slotcharter - Reefer Plugs</t>
  </si>
  <si>
    <t>Slot Charter - Fixed Charges</t>
  </si>
  <si>
    <t>Slot Charter - Excess Charges</t>
  </si>
  <si>
    <t>Performance Bonus</t>
  </si>
  <si>
    <t>NON-LOAD, MISSING CUSTOMS APPROVAL FEE</t>
  </si>
  <si>
    <t>VIP Overrider</t>
  </si>
  <si>
    <t>RECOVERY FOR HANDLING - EXPORT</t>
  </si>
  <si>
    <t>Leaking container charges</t>
  </si>
  <si>
    <t>Other Rebates</t>
  </si>
  <si>
    <t>USM Reefer Monitoring / Plug-in Service</t>
  </si>
  <si>
    <t>USM Waiting Time</t>
  </si>
  <si>
    <t>USM Cost Recovery Charges</t>
  </si>
  <si>
    <t>PLA Sub-lease income</t>
  </si>
  <si>
    <t>CELI</t>
  </si>
  <si>
    <t>Super Freezer lease income</t>
  </si>
  <si>
    <t>DAL Full lease &amp; Empty lease</t>
  </si>
  <si>
    <t>DAL Pick-up &amp; Drop-off</t>
  </si>
  <si>
    <t>DAL Repair</t>
  </si>
  <si>
    <t>DAL Imbalance</t>
  </si>
  <si>
    <t>USGVT-Port Additional /Port Dues -Export</t>
  </si>
  <si>
    <t>USGVT-Port Additional/Port Dues -Import</t>
  </si>
  <si>
    <t>USGVT - Port Security Service - Export</t>
  </si>
  <si>
    <t>USGVT - Port Security Service - Import</t>
  </si>
  <si>
    <t>USGVT - Value Added Service Allowance</t>
  </si>
  <si>
    <t>Container Shifting Origin</t>
  </si>
  <si>
    <t>Container Shifting Destination</t>
  </si>
  <si>
    <t>Origin Terminal Order Service</t>
  </si>
  <si>
    <t>Destination Terminal Order Service</t>
  </si>
  <si>
    <t>Customs Clearance Origin</t>
  </si>
  <si>
    <t>Customs Clearance Destination</t>
  </si>
  <si>
    <t>Origin Dangerous Cargo Service</t>
  </si>
  <si>
    <t>Destination Dangerous Cargo Service</t>
  </si>
  <si>
    <t>Equipment Management Imports</t>
  </si>
  <si>
    <t>Examination Service Imports</t>
  </si>
  <si>
    <t>Examination Service Exports</t>
  </si>
  <si>
    <t>Lift On Lift Off Imports</t>
  </si>
  <si>
    <t>Lift On Lift Off Exports</t>
  </si>
  <si>
    <t>Merchant Haulage Imports</t>
  </si>
  <si>
    <t>Merchant Haulage Exports</t>
  </si>
  <si>
    <t>Multi Stop Service Imports</t>
  </si>
  <si>
    <t>Triaxle Chassis Export</t>
  </si>
  <si>
    <t>Triaxle Chassis Import</t>
  </si>
  <si>
    <t>Agency Logistic Fee Export</t>
  </si>
  <si>
    <t>Agency Logistic Fee Import</t>
  </si>
  <si>
    <t>Waiting Time Origin</t>
  </si>
  <si>
    <t>Waiting Time Destination</t>
  </si>
  <si>
    <t>Algerian Stamp Origin</t>
  </si>
  <si>
    <t>Dangerous Cargo Service Class 1</t>
  </si>
  <si>
    <t>Dangerous Cargo Service Class 1.1</t>
  </si>
  <si>
    <t>Dangerous Cargo Service Class 1.2</t>
  </si>
  <si>
    <t>Dangerous Cargo Service Class 1.3</t>
  </si>
  <si>
    <t>Dangerous Cargo Service Class 1.4</t>
  </si>
  <si>
    <t>Dangerous Cargo Service Class 1.5</t>
  </si>
  <si>
    <t>Dangerous Cargo Service Class 1.6</t>
  </si>
  <si>
    <t>Dangerous Cargo Service Class 2</t>
  </si>
  <si>
    <t>Dangerous Cargo Service Class 2.1</t>
  </si>
  <si>
    <t>Dangerous Cargo Service Class 2.3</t>
  </si>
  <si>
    <t>Dangerous Cargo Service Class 3</t>
  </si>
  <si>
    <t>Dangerous Cargo Service Class 4</t>
  </si>
  <si>
    <t>Dangerous Cargo Service Class 4.1</t>
  </si>
  <si>
    <t>Dangerous Cargo Service Class 4.2</t>
  </si>
  <si>
    <t>Dangerous Cargo Service Class 4.3</t>
  </si>
  <si>
    <t>Dangerous Cargo Service Class 5</t>
  </si>
  <si>
    <t>Dangerous Cargo Service Class 5.1</t>
  </si>
  <si>
    <t>Dangerous Cargo Service Class 5.2</t>
  </si>
  <si>
    <t>Dangerous Cargo Service Class 6</t>
  </si>
  <si>
    <t>Dangerous Cargo Service Class 6.1</t>
  </si>
  <si>
    <t>Dangerous Cargo Service Class 6.2</t>
  </si>
  <si>
    <t>Dangerous Cargo Service Class 7</t>
  </si>
  <si>
    <t>Local Income Charges</t>
  </si>
  <si>
    <t>2M - Slotcharter income - bunker</t>
  </si>
  <si>
    <t>2M - Slotcharter income - non bunker</t>
  </si>
  <si>
    <t>Dry Port Surcharge - Export</t>
  </si>
  <si>
    <t>Heavy Weight Surcharge - Export</t>
  </si>
  <si>
    <t>Heavy Weight Surcharge - Import</t>
  </si>
  <si>
    <t>Document Stamp Tax Export</t>
  </si>
  <si>
    <t>Document Stamp Tax Import</t>
  </si>
  <si>
    <t>Automatic Set-point Change Service</t>
  </si>
  <si>
    <t>Data Download request</t>
  </si>
  <si>
    <t>Electronic Cargo Release Service-Import</t>
  </si>
  <si>
    <t>Inland Cancellation Fee Import</t>
  </si>
  <si>
    <t>Inland Haulage Container Weighing - Dest</t>
  </si>
  <si>
    <t>Inland Haulage Container Weighing - Orig</t>
  </si>
  <si>
    <t>Magnum Reefer Service</t>
  </si>
  <si>
    <t>Sortie Reefer Service</t>
  </si>
  <si>
    <t>Star Fresh Reefer Service</t>
  </si>
  <si>
    <t>Stuffie Reefer Service</t>
  </si>
  <si>
    <t>Transport Document Amendment Fee-Import</t>
  </si>
  <si>
    <t>Transport Document Amendment Fee-Export</t>
  </si>
  <si>
    <t>EXPORT STORAGE</t>
  </si>
  <si>
    <t>Combined Demurrage and Detention Import</t>
  </si>
  <si>
    <t>USDA Inspection Charge</t>
  </si>
  <si>
    <t>EXPORT COMBINED D&amp;D</t>
  </si>
  <si>
    <t>EXPORT DEMURRAGE</t>
  </si>
  <si>
    <t>LiquiCool Export</t>
  </si>
  <si>
    <t>Liquicool Import</t>
  </si>
  <si>
    <t>Verified Gross Mass Charge</t>
  </si>
  <si>
    <t>Manual transmission- Verified GrossMass</t>
  </si>
  <si>
    <t>Transloading Origin General</t>
  </si>
  <si>
    <t>Transloading Destination General</t>
  </si>
  <si>
    <t>Tank Container</t>
  </si>
  <si>
    <t>Tarping Origin</t>
  </si>
  <si>
    <t>Tarping Destination</t>
  </si>
  <si>
    <t>Transloading Origin Vehicle</t>
  </si>
  <si>
    <t>Transloading Destination Vehicle</t>
  </si>
  <si>
    <t>3D Inspection</t>
  </si>
  <si>
    <t>Port Arbitrary</t>
  </si>
  <si>
    <t>Cargo Clearance Export</t>
  </si>
  <si>
    <t>Cargo Clearance Import</t>
  </si>
  <si>
    <t>Drop and Pick</t>
  </si>
  <si>
    <t>Daily ITV</t>
  </si>
  <si>
    <t>Flatrack Tie-Down Equipment</t>
  </si>
  <si>
    <t>Opentop Container</t>
  </si>
  <si>
    <t>Outer Routing - Chaman</t>
  </si>
  <si>
    <t>Enhanced ITV import</t>
  </si>
  <si>
    <t>Security Convoy export</t>
  </si>
  <si>
    <t>Security Convoy import</t>
  </si>
  <si>
    <t>Flat Rack Surcharge</t>
  </si>
  <si>
    <t>Veterinarian Inspectable</t>
  </si>
  <si>
    <t>Washing</t>
  </si>
  <si>
    <t>Interior Washing</t>
  </si>
  <si>
    <t>Fuel Adjustment Factor</t>
  </si>
  <si>
    <t>Hazardous Surcharge</t>
  </si>
  <si>
    <t>Cargo Handling Export</t>
  </si>
  <si>
    <t>Cargo Handling Import</t>
  </si>
  <si>
    <t>Late Gate Service - Export</t>
  </si>
  <si>
    <t>Late Gate Service - Import</t>
  </si>
  <si>
    <t>CFS Export activities</t>
  </si>
  <si>
    <t>CFS Import activities</t>
  </si>
  <si>
    <t>X-border charge</t>
  </si>
  <si>
    <t>Provisional Performance Bonus</t>
  </si>
  <si>
    <t>Final Performance Bonus</t>
  </si>
  <si>
    <t>VSA Swap sale</t>
  </si>
  <si>
    <t>Chassis Usage Surcharge</t>
  </si>
  <si>
    <t>Origin DET Freetime Ext. - 6 days</t>
  </si>
  <si>
    <t>Extra Seal charge</t>
  </si>
  <si>
    <t>3rd Party Fine Export</t>
  </si>
  <si>
    <t>3rd Party Fine Import</t>
  </si>
  <si>
    <t>Carrier Provided Packaging</t>
  </si>
  <si>
    <t>Inlands Campaign Origin</t>
  </si>
  <si>
    <t>Inlands Campaign Destination</t>
  </si>
  <si>
    <t>Low Water Surcharge</t>
  </si>
  <si>
    <t>High Water Surcharge</t>
  </si>
  <si>
    <t>Origin Specialised Chassis</t>
  </si>
  <si>
    <t>Destination Specialised Chassis</t>
  </si>
  <si>
    <t>RCM Premium subscription</t>
  </si>
  <si>
    <t>Weekend and Holiday Haulage Export</t>
  </si>
  <si>
    <t>Weekend and Holiday Haulage Import</t>
  </si>
  <si>
    <t>DE-Coupling Export</t>
  </si>
  <si>
    <t>DE-Coupling Import</t>
  </si>
  <si>
    <t>Additional Driver Export</t>
  </si>
  <si>
    <t>Additional driver Import</t>
  </si>
  <si>
    <t>GPS Service Export</t>
  </si>
  <si>
    <t>GPS Service Import</t>
  </si>
  <si>
    <t>IMO label add/removal Origin</t>
  </si>
  <si>
    <t>IMO label removal Destination</t>
  </si>
  <si>
    <t>Change of destination - Admin Cost</t>
  </si>
  <si>
    <t>Change of destination - Restow</t>
  </si>
  <si>
    <t>VSA Reefer sales</t>
  </si>
  <si>
    <t>VSA Other sales</t>
  </si>
  <si>
    <t>Storage1</t>
  </si>
  <si>
    <t>Manifest Corrector</t>
  </si>
  <si>
    <t>Referral Fee</t>
  </si>
  <si>
    <t>Shortfall to Minimum Quantity Commitment</t>
  </si>
  <si>
    <t>Reefer Monitoring/Plug-in Service-Export</t>
  </si>
  <si>
    <t>Reefer Monitoring/Plug-in Service-Import</t>
  </si>
  <si>
    <t>Transport Document Issuance Service-Exp</t>
  </si>
  <si>
    <t>Transport Document Issuance Service-Imp</t>
  </si>
  <si>
    <t>Value Protect Starter</t>
  </si>
  <si>
    <t>Value Protect Base</t>
  </si>
  <si>
    <t>Value Protect Plus</t>
  </si>
  <si>
    <t>Value Protect Extended</t>
  </si>
  <si>
    <t>Change in Transport mode-Import(CTI)</t>
  </si>
  <si>
    <t>Change in Transport mode-Export(CTE)</t>
  </si>
  <si>
    <t>Fixed Bunker Insurance</t>
  </si>
  <si>
    <t>Bunker Increase Insurance</t>
  </si>
  <si>
    <t>Value Protect Cool Standard</t>
  </si>
  <si>
    <t>Manual Booking Amendment Fee</t>
  </si>
  <si>
    <t>Value Protect Cool Advanced</t>
  </si>
  <si>
    <t>Late Documentation Fee - Export</t>
  </si>
  <si>
    <t>Late Documentation Fee - Import</t>
  </si>
  <si>
    <t>Inland Inspection Fee</t>
  </si>
  <si>
    <t>High Value Pharmaceuticals</t>
  </si>
  <si>
    <t>Low Value Pharmaceuticals</t>
  </si>
  <si>
    <t>Cold Storage</t>
  </si>
  <si>
    <t>Fresh Pass</t>
  </si>
  <si>
    <t>Inland Additional Export Service</t>
  </si>
  <si>
    <t>Inland Additional Import Service</t>
  </si>
  <si>
    <t>Inland Peak season surcharge - Import</t>
  </si>
  <si>
    <t>Duties and/or User Fees</t>
  </si>
  <si>
    <t>Warehousing and Distribution</t>
  </si>
  <si>
    <t>Inland Peak season surcharge - Export</t>
  </si>
  <si>
    <t>Value Protect Special Standard</t>
  </si>
  <si>
    <t>Value Protect Special Advanced</t>
  </si>
  <si>
    <t>Spot Booking No Show</t>
  </si>
  <si>
    <t>Payer Amendment Fee - Origin</t>
  </si>
  <si>
    <t>Maersk Accelerate 1</t>
  </si>
  <si>
    <t>Spot Booking Compensation</t>
  </si>
  <si>
    <t>Special Export Haulage</t>
  </si>
  <si>
    <t>Special Import Haulage</t>
  </si>
  <si>
    <t>Priority Rail Service</t>
  </si>
  <si>
    <t>Origin Low Water</t>
  </si>
  <si>
    <t>Destination Low Water</t>
  </si>
  <si>
    <t>Single Truck Surcharge -Origin</t>
  </si>
  <si>
    <t>Single Truck Surcharge -Destination</t>
  </si>
  <si>
    <t>Delivery Order Issuance - Import</t>
  </si>
  <si>
    <t>Pre Trip Inspection - Reefer Import</t>
  </si>
  <si>
    <t>Mis declaration fee - Origin</t>
  </si>
  <si>
    <t>Inter-Continental Rail</t>
  </si>
  <si>
    <t>Gulf Emergency Risk Surcharge</t>
  </si>
  <si>
    <t>Maersk ECO Delivery Surcharge</t>
  </si>
  <si>
    <t>AES Filing</t>
  </si>
  <si>
    <t>Environmental Fuel Fee</t>
  </si>
  <si>
    <t>Pier Pass</t>
  </si>
  <si>
    <t>Customs Clearance 3rd party -Destination</t>
  </si>
  <si>
    <t>Payer Amendment Fee - Destination</t>
  </si>
  <si>
    <t>Tanzanian Shipping Fee -Export</t>
  </si>
  <si>
    <t>Tanzanian Shipping Fee - Import</t>
  </si>
  <si>
    <t>TW - SPOT BOOKING CANCELLATION FEE</t>
  </si>
  <si>
    <t>TW -SPOT BOOKING AMENDMENT FEE</t>
  </si>
  <si>
    <t>Spot Booking No Show with VAT applied</t>
  </si>
  <si>
    <t>Equipment Positioning Service - Export</t>
  </si>
  <si>
    <t>Equipment Positioning Service - Import</t>
  </si>
  <si>
    <t>Reefer truck Charge</t>
  </si>
  <si>
    <t>Reefer truck Multi Stop Service</t>
  </si>
  <si>
    <t>Reefer truck Waiting time</t>
  </si>
  <si>
    <t>Reefer truck X-border</t>
  </si>
  <si>
    <t>Container Weighing Service</t>
  </si>
  <si>
    <t>Cross Booking Fee</t>
  </si>
  <si>
    <t>Disbursement to Insurer: Insurance Prem.</t>
  </si>
  <si>
    <t>Transfer to Bonded - Export</t>
  </si>
  <si>
    <t>Pre-Pull service Export</t>
  </si>
  <si>
    <t>Pre-Pull service Import</t>
  </si>
  <si>
    <t>Futile Trip Export</t>
  </si>
  <si>
    <t>Futile Trip Import</t>
  </si>
  <si>
    <t>Maersk Accelerate 8</t>
  </si>
  <si>
    <t>Transhipment Letter</t>
  </si>
  <si>
    <t>COURIER</t>
  </si>
  <si>
    <t>MESSENGER SERVICE</t>
  </si>
  <si>
    <t>Disbursement to Insurer: Ins Premium Tax</t>
  </si>
  <si>
    <t>Inland Overweight Import</t>
  </si>
  <si>
    <t>Inland Overweight Export</t>
  </si>
  <si>
    <t>Advance Release</t>
  </si>
  <si>
    <t>Cargo Hold-Aforo Rojo</t>
  </si>
  <si>
    <t>Free Trade Agreement (TLC)</t>
  </si>
  <si>
    <t>Change of provision</t>
  </si>
  <si>
    <t>Destination Genset Charge</t>
  </si>
  <si>
    <t>Destination Non-Genset Use Charge</t>
  </si>
  <si>
    <t>CFS Rebate</t>
  </si>
  <si>
    <t>COTO</t>
  </si>
  <si>
    <t>Booking Agent Fee</t>
  </si>
  <si>
    <t>OSE/Off-terminal stuffing export</t>
  </si>
  <si>
    <t>OSI/Off-terminal unstuffing import</t>
  </si>
  <si>
    <t>Vado Ligure M/H Compensation - Export</t>
  </si>
  <si>
    <t>Vado Ligure M/H Compensation - Import</t>
  </si>
  <si>
    <t>Export Landside Haulage</t>
  </si>
  <si>
    <t>Maersk Accelerate 2</t>
  </si>
  <si>
    <t>Flex Hub</t>
  </si>
  <si>
    <t>Maersk Accelerate</t>
  </si>
  <si>
    <t>Customs Additional Item Charge-Exp</t>
  </si>
  <si>
    <t>Customs Additional Item Charge-Imp</t>
  </si>
  <si>
    <t>Customs Tax / VAT - Destination</t>
  </si>
  <si>
    <t>Customs Tax / VAT - Origin</t>
  </si>
  <si>
    <t>Customs Duty - Origin</t>
  </si>
  <si>
    <t>Customs Duty - Destination</t>
  </si>
  <si>
    <t>Customs Deferment Usage-Origin</t>
  </si>
  <si>
    <t>Customs Port Costs - Origin</t>
  </si>
  <si>
    <t>Customs Port Costs - Destination</t>
  </si>
  <si>
    <t>Cargo premium (US Military)</t>
  </si>
  <si>
    <t>Customs Deferment Usage-Destination</t>
  </si>
  <si>
    <t>Customs - Port Cost</t>
  </si>
  <si>
    <t>Unassigned Container Fee -Import</t>
  </si>
  <si>
    <t>Fresh Pass - Export</t>
  </si>
  <si>
    <t>Maersk ECO Delivery</t>
  </si>
  <si>
    <t>Captain Peter RCM Premium Subscription</t>
  </si>
  <si>
    <t>Payment by Cheque - Import</t>
  </si>
  <si>
    <t>Equipment Positioning Service Export(CY)</t>
  </si>
  <si>
    <t>Equipment Positioning Service Import(CY)</t>
  </si>
  <si>
    <t>Payment by Cheque - Export</t>
  </si>
  <si>
    <t>Token Fee - Export</t>
  </si>
  <si>
    <t>Token Fee - Import</t>
  </si>
  <si>
    <t>Slide Trailer Export</t>
  </si>
  <si>
    <t>Slide Trailer Import</t>
  </si>
  <si>
    <t>Flatbed Chassis Import</t>
  </si>
  <si>
    <t>Low Flatbed / Low Deck Chassis Export</t>
  </si>
  <si>
    <t>Low Flatbed / Low Deck Chassis Import</t>
  </si>
  <si>
    <t>Ocean Container Weighing -Destination</t>
  </si>
  <si>
    <t>Pending Advance Manifest Requisites</t>
  </si>
  <si>
    <t>Flatbed Chassis Export</t>
  </si>
  <si>
    <t>Side Loader Chassis Export</t>
  </si>
  <si>
    <t>Side Loader Chassis Import</t>
  </si>
  <si>
    <t>Booking Services - Origin</t>
  </si>
  <si>
    <t>Booking Services - Destination</t>
  </si>
  <si>
    <t>Rollable Compensation</t>
  </si>
  <si>
    <t>Captain Peter for RCM Datalog Download</t>
  </si>
  <si>
    <t>Double Axle Chassis Export</t>
  </si>
  <si>
    <t>Double Axle Chassis Import</t>
  </si>
  <si>
    <t>Tipper Trailer Export</t>
  </si>
  <si>
    <t>Tipper Trailer Import</t>
  </si>
  <si>
    <t>Dry Port Surcharge - Import</t>
  </si>
  <si>
    <t>Online Payment Charges</t>
  </si>
  <si>
    <t>Freetime Extension 1Day</t>
  </si>
  <si>
    <t>Freetime Extension 2 Days</t>
  </si>
  <si>
    <t>Cold Store - Inspection Charge - IMP</t>
  </si>
  <si>
    <t>Cold store - LCL Service Charge - IMP</t>
  </si>
  <si>
    <t>Cold store - Value added - IMP</t>
  </si>
  <si>
    <t>Cold Store - Handling Activities - IMP</t>
  </si>
  <si>
    <t>Cold Store - Inspection Charge - EXP</t>
  </si>
  <si>
    <t>SPOT subscription</t>
  </si>
  <si>
    <t>Fresh Pass Captain Peter Export -Origin</t>
  </si>
  <si>
    <t>FRESH PASS CAPTAIN PETER IMP-DESTINATION</t>
  </si>
  <si>
    <t>FRESH PASS BOOKING SERVICE EXPORT-ORIGIN</t>
  </si>
  <si>
    <t>FRESH PASS BOOKING SERV. IMP-DESTINATION</t>
  </si>
  <si>
    <t>DEPOT Full Container Storage - Origin</t>
  </si>
  <si>
    <t>DEPOT Full Container Storage-Destination</t>
  </si>
  <si>
    <t>Reefer Emergency Additional</t>
  </si>
  <si>
    <t>Ocean Fresh Pass Import - Destination</t>
  </si>
  <si>
    <t>Ocean Fresh Pass Export - Origin</t>
  </si>
  <si>
    <t>Ocean Captain Peter Cold Chain</t>
  </si>
  <si>
    <t>Inland Fresh Pass Import - Destination</t>
  </si>
  <si>
    <t>Inland Captain Peter Import-Destination</t>
  </si>
  <si>
    <t>Inland Fresh Pass Export- Origin</t>
  </si>
  <si>
    <t>Inland Captain Peter Export-Origin</t>
  </si>
  <si>
    <t>CHB Fresh Pass Export- Origin</t>
  </si>
  <si>
    <t>CHB Fresh Pass Import - Destination</t>
  </si>
  <si>
    <t>Cold Store Fresh Pass Export- Origin</t>
  </si>
  <si>
    <t>COLD STORE FRESH PASS IMP-DESTINATION</t>
  </si>
  <si>
    <t>Freetime Extension 11 Days</t>
  </si>
  <si>
    <t>Freetime Extension 12 Days</t>
  </si>
  <si>
    <t>Freetime Extension 13 Days</t>
  </si>
  <si>
    <t>Freetime Extension 14 Days</t>
  </si>
  <si>
    <t>Cold store - Value added - EXP</t>
  </si>
  <si>
    <t>Cold Store - Handling Activities - EXP</t>
  </si>
  <si>
    <t>Non-CONT REEF TRK IMP</t>
  </si>
  <si>
    <t>Non-CONT REEF TRK Layover IMP</t>
  </si>
  <si>
    <t>Non-CONT REEF TRK Stopoff IMP</t>
  </si>
  <si>
    <t>Bobtail - Export</t>
  </si>
  <si>
    <t>Bobtail - Import</t>
  </si>
  <si>
    <t>Maersk Accelerate Collect</t>
  </si>
  <si>
    <t>Freetime Extension 3 Days</t>
  </si>
  <si>
    <t>Freetime Extension 4 Days</t>
  </si>
  <si>
    <t>Freetime Extension 5 Days</t>
  </si>
  <si>
    <t>Freetime Extension 6 Days</t>
  </si>
  <si>
    <t>Freetime Extension 7 Days</t>
  </si>
  <si>
    <t>Freetime Extension 8 Days</t>
  </si>
  <si>
    <t>Freetime Extension 9 Days</t>
  </si>
  <si>
    <t>Freetime Extension 10 Days</t>
  </si>
  <si>
    <t>Inland Security Service Export</t>
  </si>
  <si>
    <t>Inland Security Service Import</t>
  </si>
  <si>
    <t>Reefer Cargo Payout</t>
  </si>
  <si>
    <t>Proof of Delivery- Export</t>
  </si>
  <si>
    <t>Proof of Delivery - Import</t>
  </si>
  <si>
    <t>Sales on Water</t>
  </si>
  <si>
    <t>Container Protect Essential</t>
  </si>
  <si>
    <t>Container Protect Unlimited</t>
  </si>
  <si>
    <t>Container Protect Add-on</t>
  </si>
  <si>
    <t>Lashing and Securing</t>
  </si>
  <si>
    <t>VSA Cargo Rehandling</t>
  </si>
  <si>
    <t>VSA Change of Destination Service</t>
  </si>
  <si>
    <t>VSA Change of Vessel</t>
  </si>
  <si>
    <t>VSA Lift On Lift Off</t>
  </si>
  <si>
    <t>VSA Overtime Differential</t>
  </si>
  <si>
    <t>VSA Out of Gauge</t>
  </si>
  <si>
    <t>VSA Discharge - 20' - Dry - Empty</t>
  </si>
  <si>
    <t>VSA Discharge - 20' - Dry - Full</t>
  </si>
  <si>
    <t>VSA Discharge - 20' - Reefer - Full</t>
  </si>
  <si>
    <t>VSA Discharge - 40' - Dry - Full</t>
  </si>
  <si>
    <t>VSA Discharge - 40' - Reefer - Full</t>
  </si>
  <si>
    <t>VSA Load - 20' - Dry - Full</t>
  </si>
  <si>
    <t>VSA Load - 20' - Reefer - Full</t>
  </si>
  <si>
    <t>VSA Load - 40' - Dry - Full</t>
  </si>
  <si>
    <t>VSA Load - 40' - Reefer - Full</t>
  </si>
  <si>
    <t>VSA Reefer Monitoring</t>
  </si>
  <si>
    <t>VSA Storage CY - Full - 20-DRY</t>
  </si>
  <si>
    <t>VSA Storage CY - Full - 40- DRY</t>
  </si>
  <si>
    <t>VSA Storage CY - Full - 40 - Reefer</t>
  </si>
  <si>
    <t>Drop and Swap Export</t>
  </si>
  <si>
    <t>Drop and Swap Import</t>
  </si>
  <si>
    <t>Cold Chain Value 1</t>
  </si>
  <si>
    <t>Trailer Hire Export</t>
  </si>
  <si>
    <t>Trailer Hire Import</t>
  </si>
  <si>
    <t>VSA Structural sales</t>
  </si>
  <si>
    <t>VSA Reefer sale</t>
  </si>
  <si>
    <t>VSA Coastal Sale</t>
  </si>
  <si>
    <t>VSA Other (adhoc) Sale</t>
  </si>
  <si>
    <t>VSA Blanking compensation Sale</t>
  </si>
  <si>
    <t>VSA Dangerous goods surcharge Sale</t>
  </si>
  <si>
    <t>VSA Feeder - Empty Sale</t>
  </si>
  <si>
    <t>VSA - Feeder - Full Sale</t>
  </si>
  <si>
    <t>Lumpsum Payment- Income</t>
  </si>
  <si>
    <t>P&amp;I - Prem &amp; Adj TC Charter hire</t>
  </si>
  <si>
    <t>Communication &amp; Cables</t>
  </si>
  <si>
    <t>Lashing Equipment</t>
  </si>
  <si>
    <t>Other Owner Husbandry Expense</t>
  </si>
  <si>
    <t>Meals Lumpsum</t>
  </si>
  <si>
    <t>Repr. &amp; Entertainment Lumpsum</t>
  </si>
  <si>
    <t>Stevedore Damages Recovery</t>
  </si>
  <si>
    <t>CIDT</t>
  </si>
  <si>
    <t>COMMERCIAL CLAIM - DRY</t>
  </si>
  <si>
    <t>CICC</t>
  </si>
  <si>
    <t>COMMERCIAL CLAIM - REEFER</t>
  </si>
  <si>
    <t>Asset Number</t>
  </si>
  <si>
    <t>Asset Sub number</t>
  </si>
  <si>
    <t>ZZANLN1</t>
  </si>
  <si>
    <t>ZZANLN2</t>
  </si>
  <si>
    <t>Optional / Mandatory based on Other Fields</t>
  </si>
  <si>
    <t>DET</t>
  </si>
  <si>
    <t>DMR</t>
  </si>
  <si>
    <t>Demurrage Fee</t>
  </si>
  <si>
    <t>Truck Detention</t>
  </si>
  <si>
    <t>EMR Rebate and Vendor Penalty</t>
  </si>
  <si>
    <t>ECW</t>
  </si>
  <si>
    <t>OOS</t>
  </si>
  <si>
    <t>PDR</t>
  </si>
  <si>
    <t>RTL</t>
  </si>
  <si>
    <t>3DI</t>
  </si>
  <si>
    <t>ACC</t>
  </si>
  <si>
    <t>ADE</t>
  </si>
  <si>
    <t>Agency Documentation fee Exports</t>
  </si>
  <si>
    <t>ADF</t>
  </si>
  <si>
    <t>Agency Documentation Fee</t>
  </si>
  <si>
    <t>ADI</t>
  </si>
  <si>
    <t>Agency Documentation fee Imports</t>
  </si>
  <si>
    <t>ADM</t>
  </si>
  <si>
    <t>AES</t>
  </si>
  <si>
    <t>AFO</t>
  </si>
  <si>
    <t>AIC</t>
  </si>
  <si>
    <t>Additional Item Charge</t>
  </si>
  <si>
    <t>AME</t>
  </si>
  <si>
    <t>AMF</t>
  </si>
  <si>
    <t>Transport Document Amendment Fee</t>
  </si>
  <si>
    <t>AMI</t>
  </si>
  <si>
    <t>AOL</t>
  </si>
  <si>
    <t>Additional Operational Expenses</t>
  </si>
  <si>
    <t>ARB</t>
  </si>
  <si>
    <t>ARE</t>
  </si>
  <si>
    <t>ASC</t>
  </si>
  <si>
    <t>ASD</t>
  </si>
  <si>
    <t>Algerian Stamp Destination</t>
  </si>
  <si>
    <t>ASE</t>
  </si>
  <si>
    <t>Additional Export Service</t>
  </si>
  <si>
    <t>ASI</t>
  </si>
  <si>
    <t>Additional Import Service</t>
  </si>
  <si>
    <t>ASO</t>
  </si>
  <si>
    <t>AVC</t>
  </si>
  <si>
    <t>BAE</t>
  </si>
  <si>
    <t>BAF</t>
  </si>
  <si>
    <t>Bunker Adjustment Factor</t>
  </si>
  <si>
    <t>BAS</t>
  </si>
  <si>
    <t>Basic Ocean Freight</t>
  </si>
  <si>
    <t>BASCI1</t>
  </si>
  <si>
    <t>Ocean Cold Chain Integrated Value 1</t>
  </si>
  <si>
    <t>BASCP2</t>
  </si>
  <si>
    <t>BASFPE</t>
  </si>
  <si>
    <t>BASFPI</t>
  </si>
  <si>
    <t>BASFPS</t>
  </si>
  <si>
    <t>Ocean-Fresh Pass-contractual Sales</t>
  </si>
  <si>
    <t>BCA</t>
  </si>
  <si>
    <t>Bounced Cheque Administration Fee</t>
  </si>
  <si>
    <t>BCD</t>
  </si>
  <si>
    <t>Maersk Accelerate 5</t>
  </si>
  <si>
    <t>BCF</t>
  </si>
  <si>
    <t>Booking Cancellation</t>
  </si>
  <si>
    <t>BCL</t>
  </si>
  <si>
    <t>BII</t>
  </si>
  <si>
    <t>BKA</t>
  </si>
  <si>
    <t>BKC</t>
  </si>
  <si>
    <t>Booking coordination</t>
  </si>
  <si>
    <t>BKF</t>
  </si>
  <si>
    <t>Bank Charge</t>
  </si>
  <si>
    <t>BLE</t>
  </si>
  <si>
    <t>BLF</t>
  </si>
  <si>
    <t>Transport Document Issuance Service</t>
  </si>
  <si>
    <t>BLI</t>
  </si>
  <si>
    <t>BLS</t>
  </si>
  <si>
    <t>Blanket Surcharge</t>
  </si>
  <si>
    <t>BNS</t>
  </si>
  <si>
    <t>BTE</t>
  </si>
  <si>
    <t>BTI</t>
  </si>
  <si>
    <t>CAE</t>
  </si>
  <si>
    <t>CAF</t>
  </si>
  <si>
    <t>Currency Adjustment Factor</t>
  </si>
  <si>
    <t>CAI</t>
  </si>
  <si>
    <t>CAM</t>
  </si>
  <si>
    <t>Cargo Declaration Amendment Fee</t>
  </si>
  <si>
    <t>CAP</t>
  </si>
  <si>
    <t>Capatazia</t>
  </si>
  <si>
    <t>CAS</t>
  </si>
  <si>
    <t>Controlled Atmosphere Service</t>
  </si>
  <si>
    <t>CAT</t>
  </si>
  <si>
    <t>Controlled Atmosphere</t>
  </si>
  <si>
    <t>CBF</t>
  </si>
  <si>
    <t>CCD</t>
  </si>
  <si>
    <t>CCDFPI</t>
  </si>
  <si>
    <t>CCE</t>
  </si>
  <si>
    <t>Container Cleaning Exports</t>
  </si>
  <si>
    <t>CCF</t>
  </si>
  <si>
    <t>CURRENCY CHANGE FEE</t>
  </si>
  <si>
    <t>CCH</t>
  </si>
  <si>
    <t>Chassis Usage</t>
  </si>
  <si>
    <t>CCI</t>
  </si>
  <si>
    <t>Container Cleaning Imports</t>
  </si>
  <si>
    <t>CCL</t>
  </si>
  <si>
    <t>Container Cleaning</t>
  </si>
  <si>
    <t>CCO</t>
  </si>
  <si>
    <t>CCOFPE</t>
  </si>
  <si>
    <t>CDD</t>
  </si>
  <si>
    <t>CDO</t>
  </si>
  <si>
    <t>CDT</t>
  </si>
  <si>
    <t>CED</t>
  </si>
  <si>
    <t>CER</t>
  </si>
  <si>
    <t>Government Agency Certification Service</t>
  </si>
  <si>
    <t>CFD</t>
  </si>
  <si>
    <t>Congestion Fee Destination</t>
  </si>
  <si>
    <t>CFE</t>
  </si>
  <si>
    <t>CFI</t>
  </si>
  <si>
    <t>CFO</t>
  </si>
  <si>
    <t>Congestion Fee Origin</t>
  </si>
  <si>
    <t>CFS</t>
  </si>
  <si>
    <t>Customs Fine Service</t>
  </si>
  <si>
    <t>CHA</t>
  </si>
  <si>
    <t>USGVT Outer Routing- Chaman</t>
  </si>
  <si>
    <t>CHE</t>
  </si>
  <si>
    <t>CHI</t>
  </si>
  <si>
    <t>CI1</t>
  </si>
  <si>
    <t>Cold Chain Integrated Value 1</t>
  </si>
  <si>
    <t>CID</t>
  </si>
  <si>
    <t>CIE</t>
  </si>
  <si>
    <t>CIF</t>
  </si>
  <si>
    <t>CII</t>
  </si>
  <si>
    <t>CIP</t>
  </si>
  <si>
    <t>CLD</t>
  </si>
  <si>
    <t>Freight Collection Destination</t>
  </si>
  <si>
    <t>CLE</t>
  </si>
  <si>
    <t>CLF</t>
  </si>
  <si>
    <t>Freight Collection Fee</t>
  </si>
  <si>
    <t>CLI</t>
  </si>
  <si>
    <t>CLL</t>
  </si>
  <si>
    <t>Cancellation Fee</t>
  </si>
  <si>
    <t>CLO</t>
  </si>
  <si>
    <t>Freight Collection Origin</t>
  </si>
  <si>
    <t>CME</t>
  </si>
  <si>
    <t>CMI</t>
  </si>
  <si>
    <t>CND</t>
  </si>
  <si>
    <t>Customs Navigator Fee - Destination</t>
  </si>
  <si>
    <t>CNO</t>
  </si>
  <si>
    <t>Customs Navigator Fee – Origin</t>
  </si>
  <si>
    <t>CNS</t>
  </si>
  <si>
    <t>Container Nomination Service</t>
  </si>
  <si>
    <t>COD</t>
  </si>
  <si>
    <t>Change of Destination Service</t>
  </si>
  <si>
    <t>CON</t>
  </si>
  <si>
    <t>Congestion Fee</t>
  </si>
  <si>
    <t>COU</t>
  </si>
  <si>
    <t>COV</t>
  </si>
  <si>
    <t>Change of Vessel</t>
  </si>
  <si>
    <t>CP1</t>
  </si>
  <si>
    <t>CP2</t>
  </si>
  <si>
    <t>CP3</t>
  </si>
  <si>
    <t>CP4</t>
  </si>
  <si>
    <t>CPC</t>
  </si>
  <si>
    <t>CPD</t>
  </si>
  <si>
    <t>CPO</t>
  </si>
  <si>
    <t>CPP</t>
  </si>
  <si>
    <t>CSC</t>
  </si>
  <si>
    <t>Container service charge</t>
  </si>
  <si>
    <t>CSE</t>
  </si>
  <si>
    <t>CSH</t>
  </si>
  <si>
    <t>Container Shifting Fee</t>
  </si>
  <si>
    <t>CSI</t>
  </si>
  <si>
    <t>CSO</t>
  </si>
  <si>
    <t>CSP</t>
  </si>
  <si>
    <t>Simplified Import Clearance</t>
  </si>
  <si>
    <t>CST</t>
  </si>
  <si>
    <t>CSTFPE</t>
  </si>
  <si>
    <t>CSTFPI</t>
  </si>
  <si>
    <t>CTD</t>
  </si>
  <si>
    <t>CTE</t>
  </si>
  <si>
    <t>CTI</t>
  </si>
  <si>
    <t>CTN</t>
  </si>
  <si>
    <t>ICTN Admin Charge</t>
  </si>
  <si>
    <t>CTO</t>
  </si>
  <si>
    <t>CTS</t>
  </si>
  <si>
    <t>Cold Treatment Service</t>
  </si>
  <si>
    <t>CU1</t>
  </si>
  <si>
    <t>CU3</t>
  </si>
  <si>
    <t>CUS</t>
  </si>
  <si>
    <t>Customs Clearance</t>
  </si>
  <si>
    <t>CV1</t>
  </si>
  <si>
    <t>CVI</t>
  </si>
  <si>
    <t>CWD</t>
  </si>
  <si>
    <t>CWS</t>
  </si>
  <si>
    <t>DAE</t>
  </si>
  <si>
    <t>DAI</t>
  </si>
  <si>
    <t>DAM</t>
  </si>
  <si>
    <t>Equipment Damage</t>
  </si>
  <si>
    <t>DBK</t>
  </si>
  <si>
    <t>DCD</t>
  </si>
  <si>
    <t>DCF</t>
  </si>
  <si>
    <t>Dangerous Cargo Documentation Fee</t>
  </si>
  <si>
    <t>DCG</t>
  </si>
  <si>
    <t>Destination certificate charge</t>
  </si>
  <si>
    <t>DCI</t>
  </si>
  <si>
    <t>Dangerous Cargo Service (Inland Haulage)</t>
  </si>
  <si>
    <t>DCL</t>
  </si>
  <si>
    <t>Destination Cancellation Fee</t>
  </si>
  <si>
    <t>DCO</t>
  </si>
  <si>
    <t>DCS</t>
  </si>
  <si>
    <t>DCT</t>
  </si>
  <si>
    <t>DDC</t>
  </si>
  <si>
    <t>DDF</t>
  </si>
  <si>
    <t>Documentation fee - Destination</t>
  </si>
  <si>
    <t>DFC</t>
  </si>
  <si>
    <t>DGC</t>
  </si>
  <si>
    <t>DGF</t>
  </si>
  <si>
    <t>Destination Genset Fee</t>
  </si>
  <si>
    <t>DGS</t>
  </si>
  <si>
    <t>Cooling Service - Destination</t>
  </si>
  <si>
    <t>DHC</t>
  </si>
  <si>
    <t>Terminal Handling Service - Destination</t>
  </si>
  <si>
    <t>DIT</t>
  </si>
  <si>
    <t>DLR</t>
  </si>
  <si>
    <t>DLW</t>
  </si>
  <si>
    <t>DMC</t>
  </si>
  <si>
    <t>Daily Maersk Compensation</t>
  </si>
  <si>
    <t>DME</t>
  </si>
  <si>
    <t>DNG</t>
  </si>
  <si>
    <t>DOF</t>
  </si>
  <si>
    <t>DOI</t>
  </si>
  <si>
    <t>DPA</t>
  </si>
  <si>
    <t>Arbitrary - Destination</t>
  </si>
  <si>
    <t>DPI</t>
  </si>
  <si>
    <t>DPO</t>
  </si>
  <si>
    <t>DPS</t>
  </si>
  <si>
    <t>DRP</t>
  </si>
  <si>
    <t>Drop Off Charge (Imports)</t>
  </si>
  <si>
    <t>DSC</t>
  </si>
  <si>
    <t>DSD</t>
  </si>
  <si>
    <t>DSE</t>
  </si>
  <si>
    <t>DSI</t>
  </si>
  <si>
    <t>DSO</t>
  </si>
  <si>
    <t>DTE</t>
  </si>
  <si>
    <t>Origin DET Freetime Ext. - 3 days</t>
  </si>
  <si>
    <t>DTI</t>
  </si>
  <si>
    <t>Freetime Extension Contracts</t>
  </si>
  <si>
    <t>DTS</t>
  </si>
  <si>
    <t>Detention Fee - Export</t>
  </si>
  <si>
    <t>DTV</t>
  </si>
  <si>
    <t>DU1</t>
  </si>
  <si>
    <t>DUD</t>
  </si>
  <si>
    <t>DUO</t>
  </si>
  <si>
    <t>DWL</t>
  </si>
  <si>
    <t>Damage Waiver Limitation</t>
  </si>
  <si>
    <t>EBS</t>
  </si>
  <si>
    <t>Emergency Bunker Fee</t>
  </si>
  <si>
    <t>ECO</t>
  </si>
  <si>
    <t>ECU</t>
  </si>
  <si>
    <t>Export Chassis Usage Charge</t>
  </si>
  <si>
    <t>EDC</t>
  </si>
  <si>
    <t>EDD</t>
  </si>
  <si>
    <t>Submission of Cargo Declaration - Export</t>
  </si>
  <si>
    <t>EDF</t>
  </si>
  <si>
    <t>Emissions Dashboard fee</t>
  </si>
  <si>
    <t>EDI</t>
  </si>
  <si>
    <t>Electronic Data Interchange Fee</t>
  </si>
  <si>
    <t>EDR</t>
  </si>
  <si>
    <t>Reefer truck De-coupling/Drop and Pick</t>
  </si>
  <si>
    <t>EDT</t>
  </si>
  <si>
    <t>EFF</t>
  </si>
  <si>
    <t>EFS</t>
  </si>
  <si>
    <t>Export Intermodal Fuel Fee</t>
  </si>
  <si>
    <t>EGS</t>
  </si>
  <si>
    <t>Emergency Government Port Storage Charge</t>
  </si>
  <si>
    <t>EHU</t>
  </si>
  <si>
    <t>Export Hub Administration</t>
  </si>
  <si>
    <t>EII</t>
  </si>
  <si>
    <t>ELA</t>
  </si>
  <si>
    <t>USGVT EXPEDITED LINEHAUL AIR</t>
  </si>
  <si>
    <t>ELH</t>
  </si>
  <si>
    <t>EME</t>
  </si>
  <si>
    <t>Equipment Management Exports</t>
  </si>
  <si>
    <t>EMF</t>
  </si>
  <si>
    <t>Equipment Management Service</t>
  </si>
  <si>
    <t>EMI</t>
  </si>
  <si>
    <t>EQC</t>
  </si>
  <si>
    <t>Equipment Surcharge</t>
  </si>
  <si>
    <t>EQR</t>
  </si>
  <si>
    <t>Equipment Repositioning Surcharge</t>
  </si>
  <si>
    <t>ERI</t>
  </si>
  <si>
    <t>Ecological and Radiological Service</t>
  </si>
  <si>
    <t>ERS</t>
  </si>
  <si>
    <t>Emergency Risk Surcharge</t>
  </si>
  <si>
    <t>ESC</t>
  </si>
  <si>
    <t>ETC</t>
  </si>
  <si>
    <t>Equipment Transfer Charge</t>
  </si>
  <si>
    <t>EX3</t>
  </si>
  <si>
    <t>Expedited Delivery 200-400 miles</t>
  </si>
  <si>
    <t>EXA</t>
  </si>
  <si>
    <t>Examination Service</t>
  </si>
  <si>
    <t>EXE</t>
  </si>
  <si>
    <t>EXI</t>
  </si>
  <si>
    <t>EXP</t>
  </si>
  <si>
    <t>EXU</t>
  </si>
  <si>
    <t>F01</t>
  </si>
  <si>
    <t>F02</t>
  </si>
  <si>
    <t>F03</t>
  </si>
  <si>
    <t>F04</t>
  </si>
  <si>
    <t>F05</t>
  </si>
  <si>
    <t>F06</t>
  </si>
  <si>
    <t>F07</t>
  </si>
  <si>
    <t>F08</t>
  </si>
  <si>
    <t>F09</t>
  </si>
  <si>
    <t>F10</t>
  </si>
  <si>
    <t>F11</t>
  </si>
  <si>
    <t>F12</t>
  </si>
  <si>
    <t>F13</t>
  </si>
  <si>
    <t>F14</t>
  </si>
  <si>
    <t>FAF</t>
  </si>
  <si>
    <t>FBI</t>
  </si>
  <si>
    <t>FCE</t>
  </si>
  <si>
    <t>FCI</t>
  </si>
  <si>
    <t>FDH</t>
  </si>
  <si>
    <t>Discharge Fee - Destination</t>
  </si>
  <si>
    <t>FFC</t>
  </si>
  <si>
    <t>Forwarder Commission - Origin</t>
  </si>
  <si>
    <t>FID</t>
  </si>
  <si>
    <t>FIO</t>
  </si>
  <si>
    <t>FLD</t>
  </si>
  <si>
    <t>Fish Loader</t>
  </si>
  <si>
    <t>FLR</t>
  </si>
  <si>
    <t>FME</t>
  </si>
  <si>
    <t>Fumigation And Gas measurement - Export</t>
  </si>
  <si>
    <t>FMI</t>
  </si>
  <si>
    <t>Fumigation And Gas measurement - Import</t>
  </si>
  <si>
    <t>FOC</t>
  </si>
  <si>
    <t>Forwarder Commission - Destination</t>
  </si>
  <si>
    <t>FPA</t>
  </si>
  <si>
    <t>FPE</t>
  </si>
  <si>
    <t>FPEBKS</t>
  </si>
  <si>
    <t>FPECP2</t>
  </si>
  <si>
    <t>FPI</t>
  </si>
  <si>
    <t>FPIBKS</t>
  </si>
  <si>
    <t>FPICP2</t>
  </si>
  <si>
    <t>FPS</t>
  </si>
  <si>
    <t>Fresh Pass-contractual Sales country</t>
  </si>
  <si>
    <t>FRD</t>
  </si>
  <si>
    <t>USGVT Flatrack tiedown material</t>
  </si>
  <si>
    <t>FRI</t>
  </si>
  <si>
    <t>Free In Service</t>
  </si>
  <si>
    <t>FRO</t>
  </si>
  <si>
    <t>Free Out Service</t>
  </si>
  <si>
    <t>FSP</t>
  </si>
  <si>
    <t>FTD</t>
  </si>
  <si>
    <t>FTE</t>
  </si>
  <si>
    <t>Freight Tax Service Export</t>
  </si>
  <si>
    <t>FTI</t>
  </si>
  <si>
    <t>Freight Tax Service Import</t>
  </si>
  <si>
    <t>FTR</t>
  </si>
  <si>
    <t>Futile Trip</t>
  </si>
  <si>
    <t>FTS</t>
  </si>
  <si>
    <t>Freight Tax Service</t>
  </si>
  <si>
    <t>FUD</t>
  </si>
  <si>
    <t>FUM</t>
  </si>
  <si>
    <t>Fumigation Service</t>
  </si>
  <si>
    <t>FUO</t>
  </si>
  <si>
    <t>FUS</t>
  </si>
  <si>
    <t>FX1</t>
  </si>
  <si>
    <t>Maersk Accelerate 3</t>
  </si>
  <si>
    <t>GEN</t>
  </si>
  <si>
    <t>Genset Service</t>
  </si>
  <si>
    <t>GPE</t>
  </si>
  <si>
    <t>GPI</t>
  </si>
  <si>
    <t>GRS</t>
  </si>
  <si>
    <t>GTE</t>
  </si>
  <si>
    <t>Government &amp; Port Tax Exports</t>
  </si>
  <si>
    <t>GTI</t>
  </si>
  <si>
    <t>Government &amp; Port Tax Imports</t>
  </si>
  <si>
    <t>GWM</t>
  </si>
  <si>
    <t>HAN</t>
  </si>
  <si>
    <t>HBL</t>
  </si>
  <si>
    <t>House Transport Document Service</t>
  </si>
  <si>
    <t>HDE</t>
  </si>
  <si>
    <t>HDI</t>
  </si>
  <si>
    <t>HDL</t>
  </si>
  <si>
    <t>Lift On Lift Off</t>
  </si>
  <si>
    <t>HEC</t>
  </si>
  <si>
    <t>Garments on Hangers Service</t>
  </si>
  <si>
    <t>HK1</t>
  </si>
  <si>
    <t>Maersk Accelerate 7</t>
  </si>
  <si>
    <t>HVP</t>
  </si>
  <si>
    <t>HWC</t>
  </si>
  <si>
    <t>HWE</t>
  </si>
  <si>
    <t>HWI</t>
  </si>
  <si>
    <t>HWS</t>
  </si>
  <si>
    <t>Heavy Weight Service</t>
  </si>
  <si>
    <t>HZD</t>
  </si>
  <si>
    <t>IAE</t>
  </si>
  <si>
    <t>IAI</t>
  </si>
  <si>
    <t>IBC</t>
  </si>
  <si>
    <t>Transfer to Bonded Warehouse Service</t>
  </si>
  <si>
    <t>IBE</t>
  </si>
  <si>
    <t>ICD</t>
  </si>
  <si>
    <t>ICE</t>
  </si>
  <si>
    <t>Inland Cancellation Fee Export</t>
  </si>
  <si>
    <t>ICF</t>
  </si>
  <si>
    <t>Inland Haulage Cancellation Fee</t>
  </si>
  <si>
    <t>ICI</t>
  </si>
  <si>
    <t>ICO</t>
  </si>
  <si>
    <t>ICU</t>
  </si>
  <si>
    <t>IDC</t>
  </si>
  <si>
    <t>IDD</t>
  </si>
  <si>
    <t>Import Door Delivery</t>
  </si>
  <si>
    <t>IEC</t>
  </si>
  <si>
    <t>Inspection Empty Container Service</t>
  </si>
  <si>
    <t>IFF</t>
  </si>
  <si>
    <t>IFS</t>
  </si>
  <si>
    <t>Import Intermodal Fuel Fee</t>
  </si>
  <si>
    <t>IHE</t>
  </si>
  <si>
    <t>Inland Haulage Export</t>
  </si>
  <si>
    <t>IHECI1</t>
  </si>
  <si>
    <t>Inland-Cold Chain Integrated Value 1-Exp</t>
  </si>
  <si>
    <t>IHECP2</t>
  </si>
  <si>
    <t>IHEFPE</t>
  </si>
  <si>
    <t>IHI</t>
  </si>
  <si>
    <t>Inland Haulage Import</t>
  </si>
  <si>
    <t>IHICP2</t>
  </si>
  <si>
    <t>IHIFPI</t>
  </si>
  <si>
    <t>IHW</t>
  </si>
  <si>
    <t>Inland Haulage Container Weighing</t>
  </si>
  <si>
    <t>ILD</t>
  </si>
  <si>
    <t>ILH</t>
  </si>
  <si>
    <t>Inland Landside Haulage</t>
  </si>
  <si>
    <t>ILI</t>
  </si>
  <si>
    <t>ILO</t>
  </si>
  <si>
    <t>ILR</t>
  </si>
  <si>
    <t>IMO Label Add/Remove</t>
  </si>
  <si>
    <t>IMO</t>
  </si>
  <si>
    <t>Dangerous Cargo Service</t>
  </si>
  <si>
    <t>IMO1</t>
  </si>
  <si>
    <t>IMO1_1</t>
  </si>
  <si>
    <t>IMO1_2</t>
  </si>
  <si>
    <t>IMO1_3</t>
  </si>
  <si>
    <t>IMO1_4</t>
  </si>
  <si>
    <t>IMO1_5</t>
  </si>
  <si>
    <t>IMO1_6</t>
  </si>
  <si>
    <t>IMO2</t>
  </si>
  <si>
    <t>IMO2_1</t>
  </si>
  <si>
    <t>IMO2_2</t>
  </si>
  <si>
    <t>Dangerous Cargo Service Class 2.2</t>
  </si>
  <si>
    <t>IMO2_3</t>
  </si>
  <si>
    <t>IMO3</t>
  </si>
  <si>
    <t>IMO4</t>
  </si>
  <si>
    <t>IMO4_1</t>
  </si>
  <si>
    <t>IMO4_2</t>
  </si>
  <si>
    <t>IMO4_3</t>
  </si>
  <si>
    <t>IMO5</t>
  </si>
  <si>
    <t>IMO5_1</t>
  </si>
  <si>
    <t>IMO5_2</t>
  </si>
  <si>
    <t>IMO6</t>
  </si>
  <si>
    <t>IMO6_1</t>
  </si>
  <si>
    <t>IMO6_2</t>
  </si>
  <si>
    <t>IMO7</t>
  </si>
  <si>
    <t>IMO8</t>
  </si>
  <si>
    <t>Dangerous Cargo Service Class 8</t>
  </si>
  <si>
    <t>IMO9</t>
  </si>
  <si>
    <t>Dangerous Cargo Service Class 9</t>
  </si>
  <si>
    <t>IMP</t>
  </si>
  <si>
    <t>INE</t>
  </si>
  <si>
    <t>INI</t>
  </si>
  <si>
    <t>INS</t>
  </si>
  <si>
    <t>IOE</t>
  </si>
  <si>
    <t>IOI</t>
  </si>
  <si>
    <t>IPE</t>
  </si>
  <si>
    <t>IPI</t>
  </si>
  <si>
    <t>IPT</t>
  </si>
  <si>
    <t>ISF</t>
  </si>
  <si>
    <t>Import Security Filing</t>
  </si>
  <si>
    <t>ITC</t>
  </si>
  <si>
    <t>India GST Cancellation</t>
  </si>
  <si>
    <t>ITR</t>
  </si>
  <si>
    <t>India GST Recovery</t>
  </si>
  <si>
    <t>ITS</t>
  </si>
  <si>
    <t>IWD</t>
  </si>
  <si>
    <t>IWO</t>
  </si>
  <si>
    <t>JTC</t>
  </si>
  <si>
    <t>Probe Service</t>
  </si>
  <si>
    <t>KKT</t>
  </si>
  <si>
    <t>USGVT Outer Routing-KKT</t>
  </si>
  <si>
    <t>KUT</t>
  </si>
  <si>
    <t>USGVT Outer Routing -KUT</t>
  </si>
  <si>
    <t>LAS</t>
  </si>
  <si>
    <t>LB1</t>
  </si>
  <si>
    <t>LBC</t>
  </si>
  <si>
    <t>Liner Bag Service</t>
  </si>
  <si>
    <t>Late Transp. Doc. or D/O Pick Up Fee</t>
  </si>
  <si>
    <t>LCE</t>
  </si>
  <si>
    <t>LCI</t>
  </si>
  <si>
    <t>LDE</t>
  </si>
  <si>
    <t>LDI</t>
  </si>
  <si>
    <t>LDS</t>
  </si>
  <si>
    <t>Late Documentation Fee</t>
  </si>
  <si>
    <t>LEG</t>
  </si>
  <si>
    <t>Legalisation of Documents Service</t>
  </si>
  <si>
    <t>LGC</t>
  </si>
  <si>
    <t>Late Gate Service</t>
  </si>
  <si>
    <t>LGE</t>
  </si>
  <si>
    <t>LGI</t>
  </si>
  <si>
    <t>LLE</t>
  </si>
  <si>
    <t>LLI</t>
  </si>
  <si>
    <t>LOC</t>
  </si>
  <si>
    <t>Liner Out Fee</t>
  </si>
  <si>
    <t>LPF</t>
  </si>
  <si>
    <t>Late Payment Fee - Marine</t>
  </si>
  <si>
    <t>LS1</t>
  </si>
  <si>
    <t>LSS</t>
  </si>
  <si>
    <t>Low Sulphur Surcharge</t>
  </si>
  <si>
    <t>LVP</t>
  </si>
  <si>
    <t>LWC</t>
  </si>
  <si>
    <t>LZ1</t>
  </si>
  <si>
    <t>Maersk Accelerate 6</t>
  </si>
  <si>
    <t>MA2</t>
  </si>
  <si>
    <t>MAC</t>
  </si>
  <si>
    <t>MBA</t>
  </si>
  <si>
    <t>MBF</t>
  </si>
  <si>
    <t>Manual Booking Fee</t>
  </si>
  <si>
    <t>MCA</t>
  </si>
  <si>
    <t>MDF</t>
  </si>
  <si>
    <t>Manual Documentation Processing Fee</t>
  </si>
  <si>
    <t>MES</t>
  </si>
  <si>
    <t>MGM</t>
  </si>
  <si>
    <t>MHE</t>
  </si>
  <si>
    <t>MHH</t>
  </si>
  <si>
    <t>Merchant Haulage Service</t>
  </si>
  <si>
    <t>MHI</t>
  </si>
  <si>
    <t>MID</t>
  </si>
  <si>
    <t>MSE</t>
  </si>
  <si>
    <t>Multi Stop Service Exports</t>
  </si>
  <si>
    <t>MSI</t>
  </si>
  <si>
    <t>MSR</t>
  </si>
  <si>
    <t>MST</t>
  </si>
  <si>
    <t>Multi Stop Service</t>
  </si>
  <si>
    <t>NSE</t>
  </si>
  <si>
    <t>NSF</t>
  </si>
  <si>
    <t>NSI</t>
  </si>
  <si>
    <t>OBK</t>
  </si>
  <si>
    <t>OCG</t>
  </si>
  <si>
    <t>Origin certificate charge</t>
  </si>
  <si>
    <t>OCL</t>
  </si>
  <si>
    <t>Origin Cancellation Fee</t>
  </si>
  <si>
    <t>OCS</t>
  </si>
  <si>
    <t>Origin Customs Fine</t>
  </si>
  <si>
    <t>OCT</t>
  </si>
  <si>
    <t>ODC</t>
  </si>
  <si>
    <t>ODF</t>
  </si>
  <si>
    <t>Documentation Fee- Origin</t>
  </si>
  <si>
    <t>OGS</t>
  </si>
  <si>
    <t>Cooling service - Origin</t>
  </si>
  <si>
    <t>OHC</t>
  </si>
  <si>
    <t>Terminal Handling Service - Origin</t>
  </si>
  <si>
    <t>OLW</t>
  </si>
  <si>
    <t>OOG</t>
  </si>
  <si>
    <t>Out of Gauge Service</t>
  </si>
  <si>
    <t>OPA</t>
  </si>
  <si>
    <t>Arbitrary - Origin</t>
  </si>
  <si>
    <t>OPC</t>
  </si>
  <si>
    <t>OPE</t>
  </si>
  <si>
    <t>USGVT Open top additional charge</t>
  </si>
  <si>
    <t>OPN</t>
  </si>
  <si>
    <t>ORC</t>
  </si>
  <si>
    <t>OSC</t>
  </si>
  <si>
    <t>OSE</t>
  </si>
  <si>
    <t>OSI</t>
  </si>
  <si>
    <t>OVH</t>
  </si>
  <si>
    <t>USGVT Over height additional charge</t>
  </si>
  <si>
    <t>OWH</t>
  </si>
  <si>
    <t>Overw. Handl</t>
  </si>
  <si>
    <t>PAD</t>
  </si>
  <si>
    <t>PAE</t>
  </si>
  <si>
    <t>Port Additionals / Port Dues - Export</t>
  </si>
  <si>
    <t>PAI</t>
  </si>
  <si>
    <t>Port Additionals / Port Dues - Import</t>
  </si>
  <si>
    <t>PAM</t>
  </si>
  <si>
    <t>PAO</t>
  </si>
  <si>
    <t>PBC</t>
  </si>
  <si>
    <t>PBF</t>
  </si>
  <si>
    <t>PCC</t>
  </si>
  <si>
    <t>Panama Canal Fee</t>
  </si>
  <si>
    <t>PCE</t>
  </si>
  <si>
    <t>PCI</t>
  </si>
  <si>
    <t>PCS</t>
  </si>
  <si>
    <t>USGVT additional private convoy security</t>
  </si>
  <si>
    <t>PDE</t>
  </si>
  <si>
    <t>PDI</t>
  </si>
  <si>
    <t>PEA</t>
  </si>
  <si>
    <t>PED</t>
  </si>
  <si>
    <t>PEO</t>
  </si>
  <si>
    <t>PES</t>
  </si>
  <si>
    <t>PHE</t>
  </si>
  <si>
    <t>PHI</t>
  </si>
  <si>
    <t>PHY</t>
  </si>
  <si>
    <t>Phytosanitary Certificate Service</t>
  </si>
  <si>
    <t>PIA</t>
  </si>
  <si>
    <t>PIC</t>
  </si>
  <si>
    <t>Pick-Up Charge (Exports)</t>
  </si>
  <si>
    <t>PIO</t>
  </si>
  <si>
    <t>Pick-Up/Drop-Off</t>
  </si>
  <si>
    <t>PIP</t>
  </si>
  <si>
    <t>PIS</t>
  </si>
  <si>
    <t>POE</t>
  </si>
  <si>
    <t>POI</t>
  </si>
  <si>
    <t>POS</t>
  </si>
  <si>
    <t>Equipment Positioning Service</t>
  </si>
  <si>
    <t>PPE</t>
  </si>
  <si>
    <t>PPI</t>
  </si>
  <si>
    <t>PQC</t>
  </si>
  <si>
    <t>PRI</t>
  </si>
  <si>
    <t>PSC</t>
  </si>
  <si>
    <t>Port Security Charge</t>
  </si>
  <si>
    <t>PSE</t>
  </si>
  <si>
    <t>Port Security Service - Export</t>
  </si>
  <si>
    <t>PSI</t>
  </si>
  <si>
    <t>Port Security Service - Import</t>
  </si>
  <si>
    <t>PSS</t>
  </si>
  <si>
    <t>Peak Season Surcharge</t>
  </si>
  <si>
    <t>PTD</t>
  </si>
  <si>
    <t>Port Dues</t>
  </si>
  <si>
    <t>PTI</t>
  </si>
  <si>
    <t>PTX</t>
  </si>
  <si>
    <t>Port Taxes</t>
  </si>
  <si>
    <t>RBC</t>
  </si>
  <si>
    <t>RCH</t>
  </si>
  <si>
    <t>Repairs</t>
  </si>
  <si>
    <t>RCP</t>
  </si>
  <si>
    <t>REB</t>
  </si>
  <si>
    <t>REC</t>
  </si>
  <si>
    <t>RFA</t>
  </si>
  <si>
    <t>RFD</t>
  </si>
  <si>
    <t>RFE</t>
  </si>
  <si>
    <t>RFI</t>
  </si>
  <si>
    <t>RFM</t>
  </si>
  <si>
    <t>Reefer Monitoring / Plug-in Service</t>
  </si>
  <si>
    <t>RHE</t>
  </si>
  <si>
    <t>RHI</t>
  </si>
  <si>
    <t>Recovery for Handling - Import</t>
  </si>
  <si>
    <t>RTC</t>
  </si>
  <si>
    <t>RTI</t>
  </si>
  <si>
    <t>SBC</t>
  </si>
  <si>
    <t>SBF</t>
  </si>
  <si>
    <t>Standard Bunker Adjustment Factor</t>
  </si>
  <si>
    <t>SCD</t>
  </si>
  <si>
    <t>USGVT- Submission of Cargo Declaration</t>
  </si>
  <si>
    <t>SCE</t>
  </si>
  <si>
    <t>SCI</t>
  </si>
  <si>
    <t>SCU</t>
  </si>
  <si>
    <t>SDE</t>
  </si>
  <si>
    <t>SDI</t>
  </si>
  <si>
    <t>SEC</t>
  </si>
  <si>
    <t>Seal Charge</t>
  </si>
  <si>
    <t>SEH</t>
  </si>
  <si>
    <t>SEI</t>
  </si>
  <si>
    <t>SEP</t>
  </si>
  <si>
    <t>Special Equipment Service</t>
  </si>
  <si>
    <t>SER</t>
  </si>
  <si>
    <t>Carrier Security Charge</t>
  </si>
  <si>
    <t>SFR</t>
  </si>
  <si>
    <t>SGF</t>
  </si>
  <si>
    <t>Space Guarantee Fee</t>
  </si>
  <si>
    <t>SIA</t>
  </si>
  <si>
    <t>Shipping Instruction Amendment Fee</t>
  </si>
  <si>
    <t>SIE</t>
  </si>
  <si>
    <t>SIH</t>
  </si>
  <si>
    <t>SII</t>
  </si>
  <si>
    <t>SLE</t>
  </si>
  <si>
    <t>SLI</t>
  </si>
  <si>
    <t>SME</t>
  </si>
  <si>
    <t>SMI</t>
  </si>
  <si>
    <t>SOC</t>
  </si>
  <si>
    <t>Shipper-Owned/Leased Equipment Fee</t>
  </si>
  <si>
    <t>SOT</t>
  </si>
  <si>
    <t>SOW</t>
  </si>
  <si>
    <t>SPC</t>
  </si>
  <si>
    <t>Container Stuffing / Stripping Service</t>
  </si>
  <si>
    <t>SPE</t>
  </si>
  <si>
    <t>Container Stuffing Service</t>
  </si>
  <si>
    <t>SPI</t>
  </si>
  <si>
    <t>Container Stripping Service</t>
  </si>
  <si>
    <t>SPO</t>
  </si>
  <si>
    <t>ST1</t>
  </si>
  <si>
    <t>STE</t>
  </si>
  <si>
    <t>STF</t>
  </si>
  <si>
    <t>STI</t>
  </si>
  <si>
    <t>STS</t>
  </si>
  <si>
    <t>STT</t>
  </si>
  <si>
    <t>Suez Canal Fee</t>
  </si>
  <si>
    <t>SWC</t>
  </si>
  <si>
    <t>Switch Transport Document Service</t>
  </si>
  <si>
    <t>T1D</t>
  </si>
  <si>
    <t>T1 Documentation Fee</t>
  </si>
  <si>
    <t>Government and Port Taxes</t>
  </si>
  <si>
    <t>TCE</t>
  </si>
  <si>
    <t>Temporary Customs Service - Export</t>
  </si>
  <si>
    <t>TCI</t>
  </si>
  <si>
    <t>Temporary Customs Service - Import</t>
  </si>
  <si>
    <t>TGE</t>
  </si>
  <si>
    <t>TGI</t>
  </si>
  <si>
    <t>THE</t>
  </si>
  <si>
    <t>THI</t>
  </si>
  <si>
    <t>TKE</t>
  </si>
  <si>
    <t>TKI</t>
  </si>
  <si>
    <t>TL1</t>
  </si>
  <si>
    <t>TradeLens Core Essential</t>
  </si>
  <si>
    <t>TL3</t>
  </si>
  <si>
    <t>TradeLens Core Collaboration</t>
  </si>
  <si>
    <t>TLC</t>
  </si>
  <si>
    <t>TLE</t>
  </si>
  <si>
    <t>Electronic Cargo Release Service -Export</t>
  </si>
  <si>
    <t>TLI</t>
  </si>
  <si>
    <t>TLX</t>
  </si>
  <si>
    <t>Electronic Cargo Release Service</t>
  </si>
  <si>
    <t>TNK</t>
  </si>
  <si>
    <t>TPI</t>
  </si>
  <si>
    <t>TRE</t>
  </si>
  <si>
    <t>TRI</t>
  </si>
  <si>
    <t>TRK</t>
  </si>
  <si>
    <t>Trucking</t>
  </si>
  <si>
    <t>TRS</t>
  </si>
  <si>
    <t>Triaxle Chassis Service</t>
  </si>
  <si>
    <t>TSE</t>
  </si>
  <si>
    <t>TSI</t>
  </si>
  <si>
    <t>TSL</t>
  </si>
  <si>
    <t>TTE</t>
  </si>
  <si>
    <t>TTI</t>
  </si>
  <si>
    <t>TVE</t>
  </si>
  <si>
    <t>TVI</t>
  </si>
  <si>
    <t>UCI</t>
  </si>
  <si>
    <t>UIC</t>
  </si>
  <si>
    <t>ULE</t>
  </si>
  <si>
    <t>ULF</t>
  </si>
  <si>
    <t>Agency Logistics Fee</t>
  </si>
  <si>
    <t>ULI</t>
  </si>
  <si>
    <t>ULT</t>
  </si>
  <si>
    <t>ULT Weight Surcharge</t>
  </si>
  <si>
    <t>VAA</t>
  </si>
  <si>
    <t>VAT</t>
  </si>
  <si>
    <t>Value Added Tax</t>
  </si>
  <si>
    <t>VET</t>
  </si>
  <si>
    <t>Veterinary Certificate Service</t>
  </si>
  <si>
    <t>VGM</t>
  </si>
  <si>
    <t>VP1</t>
  </si>
  <si>
    <t>VP2</t>
  </si>
  <si>
    <t>VP3</t>
  </si>
  <si>
    <t>VP4</t>
  </si>
  <si>
    <t>VP5</t>
  </si>
  <si>
    <t>VP6</t>
  </si>
  <si>
    <t>VP7</t>
  </si>
  <si>
    <t>VP8</t>
  </si>
  <si>
    <t>VRE</t>
  </si>
  <si>
    <t>VRI</t>
  </si>
  <si>
    <t>VTI</t>
  </si>
  <si>
    <t>WAV</t>
  </si>
  <si>
    <t>Waiver Certificate Issuance</t>
  </si>
  <si>
    <t>WDF</t>
  </si>
  <si>
    <t>Weight Discrepancy Fee</t>
  </si>
  <si>
    <t>WFC</t>
  </si>
  <si>
    <t>WHE</t>
  </si>
  <si>
    <t>WHI</t>
  </si>
  <si>
    <t>WRS</t>
  </si>
  <si>
    <t>WSC</t>
  </si>
  <si>
    <t>Winter Fee</t>
  </si>
  <si>
    <t>WSE</t>
  </si>
  <si>
    <t>WSH</t>
  </si>
  <si>
    <t>WSI</t>
  </si>
  <si>
    <t>WTD</t>
  </si>
  <si>
    <t>WTI</t>
  </si>
  <si>
    <t>Inland Haulage Waiting Time Fee</t>
  </si>
  <si>
    <t>WTO</t>
  </si>
  <si>
    <t>WTR</t>
  </si>
  <si>
    <t>XBC</t>
  </si>
  <si>
    <t>XBR</t>
  </si>
  <si>
    <t>CARGO CLAIM SURVEY</t>
  </si>
  <si>
    <t>CVIP</t>
  </si>
  <si>
    <t>CARGO CLAIM LEGAL COSTS</t>
  </si>
  <si>
    <t>Cargo Claim Salvage Sale Proceeds</t>
  </si>
  <si>
    <t>CVTS</t>
  </si>
  <si>
    <t>VSA Dangerous goods surcharge Purchase</t>
  </si>
  <si>
    <t>Cargo Claim 3rd Party Recovery</t>
  </si>
  <si>
    <t>CVTM</t>
  </si>
  <si>
    <t>VSA Empty Sale</t>
  </si>
  <si>
    <t>FIN - Accounting &amp; Bookkeeping Services</t>
  </si>
  <si>
    <t>ICPADMIN</t>
  </si>
  <si>
    <t>ADMINISTRATIVE SERVICE - INTERNAL</t>
  </si>
  <si>
    <t>Allowances</t>
  </si>
  <si>
    <t>Business Management Services</t>
  </si>
  <si>
    <t>Business Management Support Services</t>
  </si>
  <si>
    <t>Bonus</t>
  </si>
  <si>
    <t>ICPCONLE</t>
  </si>
  <si>
    <t>CONTAINER LEASE - INTERNAL</t>
  </si>
  <si>
    <t>ICPCREW</t>
  </si>
  <si>
    <t>CREW MANAGEMENT SERVICES - INTERNAL</t>
  </si>
  <si>
    <t>Customer Support Services</t>
  </si>
  <si>
    <t>Discretionary bonus</t>
  </si>
  <si>
    <t>Executive Management Services</t>
  </si>
  <si>
    <t>FIN - Financial Accounting Services</t>
  </si>
  <si>
    <t>Food and canteen</t>
  </si>
  <si>
    <t>Finance and Treasury Services</t>
  </si>
  <si>
    <t>Holiday allowance</t>
  </si>
  <si>
    <t>Housing rental</t>
  </si>
  <si>
    <t>Human Resources Services</t>
  </si>
  <si>
    <t>Investment Management &amp; Policy Services</t>
  </si>
  <si>
    <t>CITC</t>
  </si>
  <si>
    <t>Km/miles allowance</t>
  </si>
  <si>
    <t>ICPMGTIN</t>
  </si>
  <si>
    <t>PARTNERSHIP FEES TO HOLDING - INCOME</t>
  </si>
  <si>
    <t>CPSF</t>
  </si>
  <si>
    <t>Overtime</t>
  </si>
  <si>
    <t>Payroll Management and Support Services</t>
  </si>
  <si>
    <t>Contribution pension plan</t>
  </si>
  <si>
    <t>Property Rental (Exempt)</t>
  </si>
  <si>
    <t>Receivables Collection Services</t>
  </si>
  <si>
    <t>Salaries</t>
  </si>
  <si>
    <t>School fees</t>
  </si>
  <si>
    <t>Supply Chain Manage. &amp; Logist Services</t>
  </si>
  <si>
    <t>Security and Crisis Management</t>
  </si>
  <si>
    <t>ICPSOSEC</t>
  </si>
  <si>
    <t>Social security contributions</t>
  </si>
  <si>
    <t>Sourcing and Procurement Services</t>
  </si>
  <si>
    <t>Sales and Promotional Services</t>
  </si>
  <si>
    <t>Tax Advisory Services</t>
  </si>
  <si>
    <t>Recharge of Visa / Immigration costs</t>
  </si>
  <si>
    <t>NOPCREW</t>
  </si>
  <si>
    <t>NOPHEDGE</t>
  </si>
  <si>
    <t>CF HEDGE GAIN/LOSS</t>
  </si>
  <si>
    <t>CCFH</t>
  </si>
  <si>
    <t>NOPHRS</t>
  </si>
  <si>
    <t>NOPINCEX</t>
  </si>
  <si>
    <t>OTHER NON-OPERATIONAL INCOME (EXTERNAL)</t>
  </si>
  <si>
    <t>NOPINCIC</t>
  </si>
  <si>
    <t>OTHER NON-OPERATIONAL INCOME (IC)</t>
  </si>
  <si>
    <t>NOPLEASE</t>
  </si>
  <si>
    <t>FINANCE LEASE RECEIVABLES</t>
  </si>
  <si>
    <t>CFLR</t>
  </si>
  <si>
    <t>NOPLEASI</t>
  </si>
  <si>
    <t>CFIN</t>
  </si>
  <si>
    <t>NOPLEINT</t>
  </si>
  <si>
    <t>NOPLOANI</t>
  </si>
  <si>
    <t>NOPLOINT</t>
  </si>
  <si>
    <t>NOPMARKD</t>
  </si>
  <si>
    <t>NOPPROFF</t>
  </si>
  <si>
    <t>NOPREMUN</t>
  </si>
  <si>
    <t>CARGO CLAIM WITH REFERENCE TO B/L NO</t>
  </si>
  <si>
    <t>TERMINAL - EXTRA HANDLING / EXTRA MOVE</t>
  </si>
  <si>
    <t>Management Fee - Recharge</t>
  </si>
  <si>
    <t>VSA Excess Purchase</t>
  </si>
  <si>
    <t>VSA Structural Sale</t>
  </si>
  <si>
    <t>FREIGHT PENALTY</t>
  </si>
  <si>
    <t>PORT CONSTRUCTION FEE</t>
  </si>
  <si>
    <t>STATUS CHANGE</t>
  </si>
  <si>
    <t>AGRICULTURE EXAM, AQI</t>
  </si>
  <si>
    <t>CUSTOM EXAM, VACIS</t>
  </si>
  <si>
    <t>FOOD EXAM, CFIA</t>
  </si>
  <si>
    <t>CUSTOM FINE</t>
  </si>
  <si>
    <t>CUSTOM FINE (BR)</t>
  </si>
  <si>
    <t>CUSTOMS OVERTIME RECOVERY</t>
  </si>
  <si>
    <t>CAT, MULTI-STOP</t>
  </si>
  <si>
    <t>CAT, OVERTIME</t>
  </si>
  <si>
    <t>CAT, LOW LOADER ADDITIONAL</t>
  </si>
  <si>
    <t>EMPTY POSITIONING - 20'RF</t>
  </si>
  <si>
    <t>EMPTY POSITIONING - 20'DC</t>
  </si>
  <si>
    <t>EMPTY POSITIONING - 40'RF</t>
  </si>
  <si>
    <t>EMPTY POSITIONING - 40'DC</t>
  </si>
  <si>
    <t>LASHING MATERIAL (LUMBER, PAPER)</t>
  </si>
  <si>
    <t>REPACK</t>
  </si>
  <si>
    <t>CONTAINER DEPRECIATED VALUE - 20'RF</t>
  </si>
  <si>
    <t>CONTAINER DEPRECIATED VALUE - 40'RF</t>
  </si>
  <si>
    <t>CONTAINER DEPRECIATED VALUE - 40'DC</t>
  </si>
  <si>
    <t>CONTAINER TOTAL LOSS - 40'RF</t>
  </si>
  <si>
    <t>GENSET DEPRECIATED VALUE</t>
  </si>
  <si>
    <t>CONTAINER RENTAL</t>
  </si>
  <si>
    <t>CONTAINER CONTROLL FEE</t>
  </si>
  <si>
    <t>DIRECT INTERCHANGE FEE</t>
  </si>
  <si>
    <t>OUT OF SERVICE FEE</t>
  </si>
  <si>
    <t>POSTAGE DISBURSEMENT</t>
  </si>
  <si>
    <t>CARGO CLAIMS 3RD.PARTY</t>
  </si>
  <si>
    <t>EXCHANGE RATE DIFFERENCE,FREIGHT - CRED</t>
  </si>
  <si>
    <t>STEVADORE CLAIMS</t>
  </si>
  <si>
    <t>EXCHANGE RATE DIFFERENCE,NON FREIGHT - C</t>
  </si>
  <si>
    <t>ATTENDANCE FEE</t>
  </si>
  <si>
    <t>CARGO CLAIMS INSURANCE</t>
  </si>
  <si>
    <t>EXCHANGE RATE DIFFERENCE,FREIGHT - DEBIT</t>
  </si>
  <si>
    <t>EXCHANGE RATE DIFFERENCE,NON FREIGHT - D</t>
  </si>
  <si>
    <t>DEPOSIT - BKG / DOCUMENT RELATED</t>
  </si>
  <si>
    <t>ADVANCE CHARGE</t>
  </si>
  <si>
    <t>TAXES</t>
  </si>
  <si>
    <t>VAT RECOVERY</t>
  </si>
  <si>
    <t>PASSENGER CARGO SHIP</t>
  </si>
  <si>
    <t>COST TRANSFER "COSTS"</t>
  </si>
  <si>
    <t>COST TRANSFER BIEGES "MAINTENANCE"</t>
  </si>
  <si>
    <t>CSG LUMP SUM</t>
  </si>
  <si>
    <t>LOAN INTEREST</t>
  </si>
  <si>
    <t>VESSEL HIRE/AFFILIATED COMPANIES</t>
  </si>
  <si>
    <t>3CTR BL</t>
  </si>
  <si>
    <t>3RD COUNTRY RELEASE FEE</t>
  </si>
  <si>
    <t>OTHERS .</t>
  </si>
  <si>
    <t>DESPACHO CONTENEDOR VACIO</t>
  </si>
  <si>
    <t>CARRIERS ASSISTED TRANSPORT ML</t>
  </si>
  <si>
    <t>CAT, WAITING TIME</t>
  </si>
  <si>
    <t>ADMINISTRACION DE CONTENEDORES</t>
  </si>
  <si>
    <t>EMPAPELADO CONTENEDOR</t>
  </si>
  <si>
    <t>CONTAINER TOTAL LOSS - 40'DC</t>
  </si>
  <si>
    <t>ALQUILER EQUIPOS OPERACION</t>
  </si>
  <si>
    <t>CAMBIO SET POINT</t>
  </si>
  <si>
    <t>TAX DISBURSEMENT FEE</t>
  </si>
  <si>
    <t>CUSTODY</t>
  </si>
  <si>
    <t>SUMMARY DECLARATION</t>
  </si>
  <si>
    <t>EXTRAORDINARY / EXCEPTIONAL REVENUES</t>
  </si>
  <si>
    <t>EUST</t>
  </si>
  <si>
    <t>ADD</t>
  </si>
  <si>
    <t>DRAYAGE</t>
  </si>
  <si>
    <t>ADDDRIVE</t>
  </si>
  <si>
    <t>ADDITIONAL DRIVER</t>
  </si>
  <si>
    <t>ADM FEE</t>
  </si>
  <si>
    <t>ADVALORE</t>
  </si>
  <si>
    <t>AD VALOREM</t>
  </si>
  <si>
    <t>AGC</t>
  </si>
  <si>
    <t>AGRICULTURE CERTIFICATE</t>
  </si>
  <si>
    <t>AGENCY S</t>
  </si>
  <si>
    <t>AGENCY SERVICE</t>
  </si>
  <si>
    <t>AGI</t>
  </si>
  <si>
    <t>AGRICULTURE INSPECTION</t>
  </si>
  <si>
    <t>ALAMEDA</t>
  </si>
  <si>
    <t>ALAMEDA CORRIDOR SURCHARGE</t>
  </si>
  <si>
    <t>AMENDM F</t>
  </si>
  <si>
    <t>AMENDMENT FEE</t>
  </si>
  <si>
    <t>APE</t>
  </si>
  <si>
    <t>AQI/PPQ EXAMS</t>
  </si>
  <si>
    <t>ARR NOTI</t>
  </si>
  <si>
    <t>ARRIVAL NOTIFICATION SURCHARGE</t>
  </si>
  <si>
    <t>Asset Sale - Furniture</t>
  </si>
  <si>
    <t>Asset Sale - IT</t>
  </si>
  <si>
    <t>Asset Sale - Land &amp; Building</t>
  </si>
  <si>
    <t>Asset Sale - Office Equipments</t>
  </si>
  <si>
    <t>Asset Sale - Others</t>
  </si>
  <si>
    <t>ASTSALRV</t>
  </si>
  <si>
    <t>CHARGES OTHERS- NON OPERTATIONAL</t>
  </si>
  <si>
    <t>Asset Sale - Vehicle</t>
  </si>
  <si>
    <t>BAR CONG</t>
  </si>
  <si>
    <t>BARGE CONGESTION</t>
  </si>
  <si>
    <t>BASTL2</t>
  </si>
  <si>
    <t>BAS incl.Ocean TradeLens Core Visibility</t>
  </si>
  <si>
    <t>BHC</t>
  </si>
  <si>
    <t>BUNKER HEDGING CHARGE</t>
  </si>
  <si>
    <t>BKGAMEND</t>
  </si>
  <si>
    <t>AMEND BKG</t>
  </si>
  <si>
    <t>BKGCANCL</t>
  </si>
  <si>
    <t>BOOKING CANCELLATION FEE</t>
  </si>
  <si>
    <t>BLAMEND</t>
  </si>
  <si>
    <t>BILL OF LADING AMENDMENT FEE</t>
  </si>
  <si>
    <t>BLREISSU</t>
  </si>
  <si>
    <t>B/L REISSUE</t>
  </si>
  <si>
    <t>BLSURFEE</t>
  </si>
  <si>
    <t>BILL OF LADING SURRENDER FEE</t>
  </si>
  <si>
    <t>BNK</t>
  </si>
  <si>
    <t>BON</t>
  </si>
  <si>
    <t>BOND CAR</t>
  </si>
  <si>
    <t>BOOK REL</t>
  </si>
  <si>
    <t>BOOKING RELEASE FEE</t>
  </si>
  <si>
    <t>BOOK ROL</t>
  </si>
  <si>
    <t>BOOKING ROLL FEE</t>
  </si>
  <si>
    <t>BOOKSYST</t>
  </si>
  <si>
    <t>TERMINAL TIME SLOT BOOKING FEE</t>
  </si>
  <si>
    <t>CAD FEE</t>
  </si>
  <si>
    <t>CHANGE OF DESTINATION IN HUB FEE</t>
  </si>
  <si>
    <t>CAPAT EX</t>
  </si>
  <si>
    <t>CAPATAZIA ORIGIN</t>
  </si>
  <si>
    <t>CAPAT IM</t>
  </si>
  <si>
    <t>CAPATAZIA DESTINATION</t>
  </si>
  <si>
    <t>CARGOTAX</t>
  </si>
  <si>
    <t>CARGO TAX</t>
  </si>
  <si>
    <t>CARGSURV</t>
  </si>
  <si>
    <t>3RD PARTY SURVEYOR FEE</t>
  </si>
  <si>
    <t>Carriers assisted transport</t>
  </si>
  <si>
    <t>CAT EX</t>
  </si>
  <si>
    <t>CAT EXPORT</t>
  </si>
  <si>
    <t>CAT IM</t>
  </si>
  <si>
    <t>CAT IMPORT</t>
  </si>
  <si>
    <t>CAT_1</t>
  </si>
  <si>
    <t>CB SP BL</t>
  </si>
  <si>
    <t>COMBINE / SPLIT BILL OF LADING</t>
  </si>
  <si>
    <t>CCC</t>
  </si>
  <si>
    <t>CDC</t>
  </si>
  <si>
    <t>CDY</t>
  </si>
  <si>
    <t>CUSTOM DUTY</t>
  </si>
  <si>
    <t>CED FEE</t>
  </si>
  <si>
    <t>CHANGE OF DESTI. EXTRA OPERA.COST FEE</t>
  </si>
  <si>
    <t>CERTIF</t>
  </si>
  <si>
    <t>CERTIFICATES</t>
  </si>
  <si>
    <t>CEX</t>
  </si>
  <si>
    <t>CFC</t>
  </si>
  <si>
    <t>CORRCUSTOMSFLNG.</t>
  </si>
  <si>
    <t>CGO CARE</t>
  </si>
  <si>
    <t>REEFER SERVICE</t>
  </si>
  <si>
    <t>CHASSIS</t>
  </si>
  <si>
    <t>CHASSIS SURCHARGE</t>
  </si>
  <si>
    <t>CHASSISF</t>
  </si>
  <si>
    <t>CHCA ADD</t>
  </si>
  <si>
    <t>CHILLED ADD (CONTROL ATMOSPH)</t>
  </si>
  <si>
    <t>CHMA ADD</t>
  </si>
  <si>
    <t>CHILLED ADD (MODIF ATMOSPHERE)</t>
  </si>
  <si>
    <t>CHQ  FEE</t>
  </si>
  <si>
    <t>CHEQUE TRANSACT. FEE</t>
  </si>
  <si>
    <t>CHSA ADD</t>
  </si>
  <si>
    <t>CHILLED ADDITIONAL (STANDARD ATMOSPHERE)</t>
  </si>
  <si>
    <t>CID FEE</t>
  </si>
  <si>
    <t>CIF_1</t>
  </si>
  <si>
    <t>CL2</t>
  </si>
  <si>
    <t>CONTAINER TOTAL LOSS - 20RF</t>
  </si>
  <si>
    <t>CL4</t>
  </si>
  <si>
    <t>CONTAINER TOTAL LOSS - 40RF</t>
  </si>
  <si>
    <t>CLEANFEE</t>
  </si>
  <si>
    <t>CLEANFEL</t>
  </si>
  <si>
    <t>CLEANING</t>
  </si>
  <si>
    <t>CLEANING FEE (CORP)</t>
  </si>
  <si>
    <t>CRRD</t>
  </si>
  <si>
    <t>CNT PROT</t>
  </si>
  <si>
    <t>CONTAINER PROTECTION LINER</t>
  </si>
  <si>
    <t>CNT REL</t>
  </si>
  <si>
    <t>CNTADMRL</t>
  </si>
  <si>
    <t>CONTAINER RELEASE ADM FEE</t>
  </si>
  <si>
    <t>CNTDOOR</t>
  </si>
  <si>
    <t>DOOR RE-ATTACHMENT</t>
  </si>
  <si>
    <t>CNTLSG</t>
  </si>
  <si>
    <t>CONTAINER LEASING</t>
  </si>
  <si>
    <t>COD FEE</t>
  </si>
  <si>
    <t>CHANGE OF DESTINATION</t>
  </si>
  <si>
    <t>CODCAPAT</t>
  </si>
  <si>
    <t>CHANGE OF DESTINATION CAPATAZIA IM</t>
  </si>
  <si>
    <t>COF</t>
  </si>
  <si>
    <t>COLDTREA</t>
  </si>
  <si>
    <t>COLL FEE</t>
  </si>
  <si>
    <t>COLLECTION FEE</t>
  </si>
  <si>
    <t>COLLFEEW</t>
  </si>
  <si>
    <t>COLLECT.FEE WHARFAGE</t>
  </si>
  <si>
    <t>COM MAGT</t>
  </si>
  <si>
    <t>PORTI/COURIER</t>
  </si>
  <si>
    <t>COMPENSA</t>
  </si>
  <si>
    <t>SPOT PRICE COMPENSATION</t>
  </si>
  <si>
    <t>CONADM F</t>
  </si>
  <si>
    <t>CONTAINER ADMINISTRATION FEE</t>
  </si>
  <si>
    <t>CONGEST</t>
  </si>
  <si>
    <t>PORT CONGESTION (LUMPSUM)</t>
  </si>
  <si>
    <t>CONGESTC</t>
  </si>
  <si>
    <t>CONGESTION SURCHARGE</t>
  </si>
  <si>
    <t>CONSOLEC</t>
  </si>
  <si>
    <t>CONSOLE CHARGES (LCL SHIPMENTS)</t>
  </si>
  <si>
    <t>CONT AS</t>
  </si>
  <si>
    <t>CONTAINER ASSIGNMENT (LINE)</t>
  </si>
  <si>
    <t>CONT ASS</t>
  </si>
  <si>
    <t>CONTAINER ASSIGNMENT</t>
  </si>
  <si>
    <t>CORRECT</t>
  </si>
  <si>
    <t>CORRECTION FEE</t>
  </si>
  <si>
    <t>COURIER SERVICE</t>
  </si>
  <si>
    <t>CP1NM</t>
  </si>
  <si>
    <t>CONTAINER PROTECT ESSENTIAL NON-MANDATOR</t>
  </si>
  <si>
    <t>CP3M</t>
  </si>
  <si>
    <t>CONT.PROT.UNLIMITEDM</t>
  </si>
  <si>
    <t>CPRFDATA</t>
  </si>
  <si>
    <t>CAPTAIN PETERS RF DATA DOWNLOAD</t>
  </si>
  <si>
    <t>CPT</t>
  </si>
  <si>
    <t>CUSTOMER PREFERRED TRUCKER FEE</t>
  </si>
  <si>
    <t>COST RECOVERY CHARGE</t>
  </si>
  <si>
    <t>CRF</t>
  </si>
  <si>
    <t>CRSBORD</t>
  </si>
  <si>
    <t>CROOS BORDER CHARGE</t>
  </si>
  <si>
    <t>CSF</t>
  </si>
  <si>
    <t>CONTAINER SERVICE FEE</t>
  </si>
  <si>
    <t>CSTFINES</t>
  </si>
  <si>
    <t>CT MONIT</t>
  </si>
  <si>
    <t>CT MONITORING CHARGE</t>
  </si>
  <si>
    <t>CAT, TOLL CHARGE EXPORT</t>
  </si>
  <si>
    <t>CTE_1</t>
  </si>
  <si>
    <t>CTF</t>
  </si>
  <si>
    <t>CHEQUE TRANSACTION FEE</t>
  </si>
  <si>
    <t>CTM</t>
  </si>
  <si>
    <t>CTRESERV</t>
  </si>
  <si>
    <t>CTR RESERVATION FEE INTERMODAL TRANSPORT</t>
  </si>
  <si>
    <t>CUDE</t>
  </si>
  <si>
    <t>CUST EL</t>
  </si>
  <si>
    <t>CUSTOMS CLEARENCE EXCLUSIVE LOCAL</t>
  </si>
  <si>
    <t>CUST EX</t>
  </si>
  <si>
    <t>ORIG.CUSTOMS CLEARANCE</t>
  </si>
  <si>
    <t>CUST IM</t>
  </si>
  <si>
    <t>DEST.CUSTOMS CLEARANCE</t>
  </si>
  <si>
    <t>CUST PL</t>
  </si>
  <si>
    <t>ZOLLABF.PAPERL.PORT</t>
  </si>
  <si>
    <t>CUST TEM</t>
  </si>
  <si>
    <t>TEMPORARY CUSTOMS CLEARANCE</t>
  </si>
  <si>
    <t>CUSTFINE</t>
  </si>
  <si>
    <t>CUSTRADC</t>
  </si>
  <si>
    <t>CUSTOMS TRANSIT DOC</t>
  </si>
  <si>
    <t>CWT</t>
  </si>
  <si>
    <t>DEL ORD</t>
  </si>
  <si>
    <t>DEM EXP</t>
  </si>
  <si>
    <t>DEMURRAGE EXPORT</t>
  </si>
  <si>
    <t>DEM IMP</t>
  </si>
  <si>
    <t>DEMURRAG</t>
  </si>
  <si>
    <t>DEPOHDLG</t>
  </si>
  <si>
    <t>DEPOT HANDL.CHARGE (LINE)</t>
  </si>
  <si>
    <t>DET EXP</t>
  </si>
  <si>
    <t>DETENTION EXPORT</t>
  </si>
  <si>
    <t>DET IMP</t>
  </si>
  <si>
    <t>DETENTION IMPORT</t>
  </si>
  <si>
    <t>DETENT</t>
  </si>
  <si>
    <t>DETENTION ON ITEM</t>
  </si>
  <si>
    <t>DG ADD</t>
  </si>
  <si>
    <t>IMO ADDITIONAL</t>
  </si>
  <si>
    <t>DG DOC F</t>
  </si>
  <si>
    <t>DG MID</t>
  </si>
  <si>
    <t>DG MISS DECLARATION FEE</t>
  </si>
  <si>
    <t>DGDOCFEX</t>
  </si>
  <si>
    <t>DGDOCFIM</t>
  </si>
  <si>
    <t>DIS</t>
  </si>
  <si>
    <t>DISPOSAL CHARGES</t>
  </si>
  <si>
    <t>DISB FEE</t>
  </si>
  <si>
    <t>DISBURSEMENT FEE</t>
  </si>
  <si>
    <t>DND EXP</t>
  </si>
  <si>
    <t>DEM &amp; DET EXPORT</t>
  </si>
  <si>
    <t>DND IMP</t>
  </si>
  <si>
    <t>DEM &amp; DET IMPORT</t>
  </si>
  <si>
    <t>DNP</t>
  </si>
  <si>
    <t>DROP AND PICK SURCHARGE</t>
  </si>
  <si>
    <t>DOAMEND</t>
  </si>
  <si>
    <t>DELIVERY ORDER AM</t>
  </si>
  <si>
    <t>DOC F EX</t>
  </si>
  <si>
    <t>EXPORT DOC.FEE/B/L ISS.</t>
  </si>
  <si>
    <t>DOC F IM</t>
  </si>
  <si>
    <t>IMPORT DOC.FEE/B/L ISS.</t>
  </si>
  <si>
    <t>DOC FEE</t>
  </si>
  <si>
    <t>DOC FEE / OLD 66 / L</t>
  </si>
  <si>
    <t>DOCFTREX</t>
  </si>
  <si>
    <t>DOC FEE TRADE EXPORT</t>
  </si>
  <si>
    <t>DRAYCUST</t>
  </si>
  <si>
    <t>TRANSPORT TO CUSTOMS FACILITY</t>
  </si>
  <si>
    <t>DRM</t>
  </si>
  <si>
    <t>DUNNAGE REMOVAL</t>
  </si>
  <si>
    <t>DROP EL</t>
  </si>
  <si>
    <t>DROP FEE</t>
  </si>
  <si>
    <t>DROP OFF</t>
  </si>
  <si>
    <t>DROPPICK</t>
  </si>
  <si>
    <t>DRPPCKSV</t>
  </si>
  <si>
    <t>E FF</t>
  </si>
  <si>
    <t>ENVIRONMENT FUEL FEE</t>
  </si>
  <si>
    <t>E40</t>
  </si>
  <si>
    <t>EMPTY POSITIONING - 40DC</t>
  </si>
  <si>
    <t>EARLYARR</t>
  </si>
  <si>
    <t>EARLY ARRIVAL</t>
  </si>
  <si>
    <t>ECA</t>
  </si>
  <si>
    <t>EMISSION CONTROL AREA</t>
  </si>
  <si>
    <t>ECOFUEL</t>
  </si>
  <si>
    <t>CARBON-ZERO FUEL</t>
  </si>
  <si>
    <t>EEE</t>
  </si>
  <si>
    <t>Emergency Inland Energy Surcharge Export</t>
  </si>
  <si>
    <t>EEE2</t>
  </si>
  <si>
    <t>EMERGENCY INLAND ENERGYSURCHARGE EXPORT2</t>
  </si>
  <si>
    <t>EEI</t>
  </si>
  <si>
    <t>Emergency Inland Energy Surcharge Import</t>
  </si>
  <si>
    <t>EEI2</t>
  </si>
  <si>
    <t>EMERGENCY INLAND ENERGYSURCHARGE IMPORT2</t>
  </si>
  <si>
    <t>EFAF</t>
  </si>
  <si>
    <t>EMERGENCY FUEL SURCHARGE</t>
  </si>
  <si>
    <t>DWELL CHARGE US</t>
  </si>
  <si>
    <t>EGS_1</t>
  </si>
  <si>
    <t>EHC</t>
  </si>
  <si>
    <t>EXTRAORD. HANDL. CHARGE (LINE)</t>
  </si>
  <si>
    <t>EIF</t>
  </si>
  <si>
    <t>EQUIPMENT INVESTMENT FACTOR</t>
  </si>
  <si>
    <t>EIS</t>
  </si>
  <si>
    <t>ELC</t>
  </si>
  <si>
    <t>USGVT Extra length additional charge</t>
  </si>
  <si>
    <t>EMFE</t>
  </si>
  <si>
    <t>EQUIPMENT MAINTENANCE FEE</t>
  </si>
  <si>
    <t>EMPT POS</t>
  </si>
  <si>
    <t>EMT</t>
  </si>
  <si>
    <t>EQU IMB</t>
  </si>
  <si>
    <t>EXAMDOEL</t>
  </si>
  <si>
    <t>EXAMINATION D/O FEE</t>
  </si>
  <si>
    <t>EXP SERV</t>
  </si>
  <si>
    <t>EXTCOPRM</t>
  </si>
  <si>
    <t>VIA CHARGE</t>
  </si>
  <si>
    <t>FAC</t>
  </si>
  <si>
    <t>FORW. AG. COM. (LUMPSUM)</t>
  </si>
  <si>
    <t>FDR CDC</t>
  </si>
  <si>
    <t>FEEDER CDC</t>
  </si>
  <si>
    <t>FEXCHFEE</t>
  </si>
  <si>
    <t>FOREIGN EXCHANGE FEE</t>
  </si>
  <si>
    <t>FIN</t>
  </si>
  <si>
    <t>FLEX ADD</t>
  </si>
  <si>
    <t>FLEXITANK ADDITIONAL</t>
  </si>
  <si>
    <t>FOOD GRA</t>
  </si>
  <si>
    <t>FOOD GRADE SURCHARGE</t>
  </si>
  <si>
    <t>FOOD QUA</t>
  </si>
  <si>
    <t>FOODQUAL / FOOD QUALITY CNTR</t>
  </si>
  <si>
    <t>FOPAYFEE</t>
  </si>
  <si>
    <t>ELSEWHERE PAYMENT FEE</t>
  </si>
  <si>
    <t>Fresh Pass - Import</t>
  </si>
  <si>
    <t>FREE IN</t>
  </si>
  <si>
    <t>FREE OUT</t>
  </si>
  <si>
    <t>FROZ ADD</t>
  </si>
  <si>
    <t>FROZEN ADDITIONAL (-35°C)</t>
  </si>
  <si>
    <t>FTSVCDMI</t>
  </si>
  <si>
    <t>FREE TIME SERV. PORT</t>
  </si>
  <si>
    <t>FTSVCDTI</t>
  </si>
  <si>
    <t>FREE TIME SERVICE DETENTION IMPORT</t>
  </si>
  <si>
    <t>FTSVCIM</t>
  </si>
  <si>
    <t>FREE TIME SERVICE COMBINED IMPORT</t>
  </si>
  <si>
    <t>FUM RAIL</t>
  </si>
  <si>
    <t>FUMIGATION FOR RAIL CARGO</t>
  </si>
  <si>
    <t>FUMTRUCK</t>
  </si>
  <si>
    <t>FUM INCL. MOVES</t>
  </si>
  <si>
    <t>GATE I O</t>
  </si>
  <si>
    <t>GATE CHARGE</t>
  </si>
  <si>
    <t>GATE IO</t>
  </si>
  <si>
    <t>GCH</t>
  </si>
  <si>
    <t>GDP RF</t>
  </si>
  <si>
    <t>GDP CALIBRATION RF</t>
  </si>
  <si>
    <t>GEN S CH</t>
  </si>
  <si>
    <t>GEN SET CHARGE</t>
  </si>
  <si>
    <t>GENSET</t>
  </si>
  <si>
    <t>GENSET CHARGE</t>
  </si>
  <si>
    <t>GENSHAND</t>
  </si>
  <si>
    <t>COST FOR MOUNTING/DISMANTLING OF GENSETS</t>
  </si>
  <si>
    <t>GOH DBS</t>
  </si>
  <si>
    <t>GARMENT ON HANGERS (DOUBLE BAR SYSTEM)</t>
  </si>
  <si>
    <t>GOH DIS</t>
  </si>
  <si>
    <t>GARMENT ON HANGERS (DISMANTLING)</t>
  </si>
  <si>
    <t>GOH SS</t>
  </si>
  <si>
    <t>GARMENT ON HANGERS (STRING SYSTEM)</t>
  </si>
  <si>
    <t>GPS TRK</t>
  </si>
  <si>
    <t>GPS TRACKING</t>
  </si>
  <si>
    <t>GST NZ</t>
  </si>
  <si>
    <t>GENERAL SERVICE TAX</t>
  </si>
  <si>
    <t>GSTINDLS</t>
  </si>
  <si>
    <t>GSTINDOF</t>
  </si>
  <si>
    <t>H20</t>
  </si>
  <si>
    <t>EMPTY GATE IN / GATE OUT - 20DC</t>
  </si>
  <si>
    <t>H40</t>
  </si>
  <si>
    <t>EMPTY GATE IN / GATE OUT - 40DC</t>
  </si>
  <si>
    <t>HAB FOND</t>
  </si>
  <si>
    <t>PORT SURCHARGE</t>
  </si>
  <si>
    <t>HGHWATER</t>
  </si>
  <si>
    <t>HIGH WATER SURCHARGE (LINE)</t>
  </si>
  <si>
    <t>HOLID CH</t>
  </si>
  <si>
    <t>SUNDAY PUBLIC HOLIDAY CHARGE</t>
  </si>
  <si>
    <t>HOUSEBL</t>
  </si>
  <si>
    <t>HOUSE BL SURCHARGE</t>
  </si>
  <si>
    <t>HVPHARMA</t>
  </si>
  <si>
    <t>HIGH VALUE PHARMACE.</t>
  </si>
  <si>
    <t>HZC</t>
  </si>
  <si>
    <t>CH, HAZARDOUS CARGO ADDITIONAL</t>
  </si>
  <si>
    <t>Terminal-intensive customs ins</t>
  </si>
  <si>
    <t>ICE_1</t>
  </si>
  <si>
    <t>ICMS</t>
  </si>
  <si>
    <t>Communication &amp; Public Relations Service</t>
  </si>
  <si>
    <t>Rech of Social Contrib pay. for expats t</t>
  </si>
  <si>
    <t>ICW</t>
  </si>
  <si>
    <t>INLAND CONTAINER WEIGHING</t>
  </si>
  <si>
    <t>IDL</t>
  </si>
  <si>
    <t>DRIVER LAYOVER</t>
  </si>
  <si>
    <t>IMO LAB</t>
  </si>
  <si>
    <t>IMO LABELLING</t>
  </si>
  <si>
    <t>IMP SERV</t>
  </si>
  <si>
    <t>IMP TAX</t>
  </si>
  <si>
    <t>ADD. SERVICE TAX</t>
  </si>
  <si>
    <t>INAMDFEE</t>
  </si>
  <si>
    <t>INSTANT BOOKING AMENDMENT FEE</t>
  </si>
  <si>
    <t>INCEN BO</t>
  </si>
  <si>
    <t>INCEN CO</t>
  </si>
  <si>
    <t>DEFERRED REBATE</t>
  </si>
  <si>
    <t>INCEN GL</t>
  </si>
  <si>
    <t>SPECIAL REBATE</t>
  </si>
  <si>
    <t>INLANDOW</t>
  </si>
  <si>
    <t>INLAND OVER WEIGHT</t>
  </si>
  <si>
    <t>INLANDPK</t>
  </si>
  <si>
    <t>INLAND PEAK SEASON SURCHARGE</t>
  </si>
  <si>
    <t>INLD IMO</t>
  </si>
  <si>
    <t>INLAND IMO ADDITIONAL</t>
  </si>
  <si>
    <t>INSPECLS</t>
  </si>
  <si>
    <t>X-RAY INSPECTION</t>
  </si>
  <si>
    <t>INSPECT</t>
  </si>
  <si>
    <t>INSURANC</t>
  </si>
  <si>
    <t>TRANSPORT INSURANCE FOR PRE/ON-CARRIAGE</t>
  </si>
  <si>
    <t>INT</t>
  </si>
  <si>
    <t>INTEREST</t>
  </si>
  <si>
    <t>INT FUEL</t>
  </si>
  <si>
    <t>ISPS CAR</t>
  </si>
  <si>
    <t>SECURITY SURCHARGE CARRIER</t>
  </si>
  <si>
    <t>ISPS EX</t>
  </si>
  <si>
    <t>SECURITY SURCHARGE ORIGIN</t>
  </si>
  <si>
    <t>ISPS IM</t>
  </si>
  <si>
    <t>SECURITY SURCHARGE DESTINATION</t>
  </si>
  <si>
    <t>LAG</t>
  </si>
  <si>
    <t>LAND FEE</t>
  </si>
  <si>
    <t>LANDING FEE CHARGE</t>
  </si>
  <si>
    <t>LASHING</t>
  </si>
  <si>
    <t>LASHING MATERIAL</t>
  </si>
  <si>
    <t>LATE ARR</t>
  </si>
  <si>
    <t>LATE BL</t>
  </si>
  <si>
    <t>LATE PICKUP OF B/L</t>
  </si>
  <si>
    <t>LATE DOC</t>
  </si>
  <si>
    <t>LATE DOC FEE</t>
  </si>
  <si>
    <t>LATE PAY</t>
  </si>
  <si>
    <t>LATE PAYMENT</t>
  </si>
  <si>
    <t>LATE SI</t>
  </si>
  <si>
    <t>LATE DELIVERY OF SHIPPING INSTRUCTIONS</t>
  </si>
  <si>
    <t>LATE VGM</t>
  </si>
  <si>
    <t>LATE VGM SUBMISSION</t>
  </si>
  <si>
    <t>LCF</t>
  </si>
  <si>
    <t>LATE COLLECTION FEE</t>
  </si>
  <si>
    <t>LINEDUST</t>
  </si>
  <si>
    <t>PROTECTIVE LINER APPLICATION SURCHARGE</t>
  </si>
  <si>
    <t>LIQ</t>
  </si>
  <si>
    <t>LIQUID PERMIT</t>
  </si>
  <si>
    <t>LL</t>
  </si>
  <si>
    <t>LONG LENGTH</t>
  </si>
  <si>
    <t>LLA</t>
  </si>
  <si>
    <t>LOW LOADER CHARGE</t>
  </si>
  <si>
    <t>LIFT ON LIFT OFF IMPORT</t>
  </si>
  <si>
    <t>LLI_1</t>
  </si>
  <si>
    <t>LO LO EX</t>
  </si>
  <si>
    <t>LOAD ON LOAD EXPORT (LOLO EX)</t>
  </si>
  <si>
    <t>LO LO IM</t>
  </si>
  <si>
    <t>LOAD ON LOAD IMPORT (LOLO IM)</t>
  </si>
  <si>
    <t>LO2</t>
  </si>
  <si>
    <t>CONTAINER TOTAL LOSS – 20DC</t>
  </si>
  <si>
    <t>LO4</t>
  </si>
  <si>
    <t>CONTAINER TOTAL LOSS - 40DC</t>
  </si>
  <si>
    <t>LOG FEE</t>
  </si>
  <si>
    <t>LOGISTIC FEE</t>
  </si>
  <si>
    <t>LOL</t>
  </si>
  <si>
    <t>EMPTY LIFT ON LIFT OFF IMPORT</t>
  </si>
  <si>
    <t>LOWWATER</t>
  </si>
  <si>
    <t>LOW WATER SURCHARGE (LINE)</t>
  </si>
  <si>
    <t>LATE REDIRECTION FEE</t>
  </si>
  <si>
    <t>LVPHARMA</t>
  </si>
  <si>
    <t>LOW VALUE PHARMACE.</t>
  </si>
  <si>
    <t>LWA BARG</t>
  </si>
  <si>
    <t>LOW WATER ADDITIONAL</t>
  </si>
  <si>
    <t>M REPAIR</t>
  </si>
  <si>
    <t>MAG SUR</t>
  </si>
  <si>
    <t>MAGELLAN STRAIT SURCHARGE</t>
  </si>
  <si>
    <t>MANAMEND</t>
  </si>
  <si>
    <t>MANIFEST AMENDMENT FEE</t>
  </si>
  <si>
    <t>MANAUS</t>
  </si>
  <si>
    <t>MANAUS RATE SUPPLEMENT</t>
  </si>
  <si>
    <t>MANUALBK</t>
  </si>
  <si>
    <t>MANUAL BOOKING CHARGE</t>
  </si>
  <si>
    <t>MANUALSI</t>
  </si>
  <si>
    <t>MANUAL DELIVERY OF SHIPPING INSTRUCTIONS</t>
  </si>
  <si>
    <t>MERCH F</t>
  </si>
  <si>
    <t>CCL TRUCKING</t>
  </si>
  <si>
    <t>MESHINST</t>
  </si>
  <si>
    <t>APPLYING MESH DURING STUFFING (VAS)</t>
  </si>
  <si>
    <t>MH FEE</t>
  </si>
  <si>
    <t>MERCHANT HAULAGE FEE</t>
  </si>
  <si>
    <t>MIAMI DR</t>
  </si>
  <si>
    <t>MIAMI DRAY</t>
  </si>
  <si>
    <t>MREPAIRE</t>
  </si>
  <si>
    <t>MSP</t>
  </si>
  <si>
    <t>MTYRTRN</t>
  </si>
  <si>
    <t>EMPTY CONTAINER RETURN FEE</t>
  </si>
  <si>
    <t>MULTISTP</t>
  </si>
  <si>
    <t>NAF</t>
  </si>
  <si>
    <t>NAVIS FEE</t>
  </si>
  <si>
    <t>NO SHOWF</t>
  </si>
  <si>
    <t>Bank Charges and Fees - External</t>
  </si>
  <si>
    <t>Crew Management Services - External</t>
  </si>
  <si>
    <t>Human Resources Services - External</t>
  </si>
  <si>
    <t>Marketing &amp; Distrib - External</t>
  </si>
  <si>
    <t>NOPNRCT</t>
  </si>
  <si>
    <t>Non-recoverable Tax</t>
  </si>
  <si>
    <t>Professional Fees - External</t>
  </si>
  <si>
    <t>OFREIGHT</t>
  </si>
  <si>
    <t>OCEAN FREIGHT</t>
  </si>
  <si>
    <t>ONCARR</t>
  </si>
  <si>
    <t>ONCARRIAGE ON CONTAINER</t>
  </si>
  <si>
    <t>ONHUB</t>
  </si>
  <si>
    <t>TRANS. ON HUB</t>
  </si>
  <si>
    <t>ONSPOKE</t>
  </si>
  <si>
    <t>TRANS. ON SPOKE</t>
  </si>
  <si>
    <t>OTH VAS</t>
  </si>
  <si>
    <t>OTHER VAS PLATE</t>
  </si>
  <si>
    <t>OTHILND</t>
  </si>
  <si>
    <t>OTHER INLAND SERVICES</t>
  </si>
  <si>
    <t>OVERDIM</t>
  </si>
  <si>
    <t>OVERDIMENSIONAL SURCHARGE</t>
  </si>
  <si>
    <t>OVWPERM</t>
  </si>
  <si>
    <t>OWEIGHT</t>
  </si>
  <si>
    <t>HEAVY LIFT</t>
  </si>
  <si>
    <t>OWF</t>
  </si>
  <si>
    <t>OWG</t>
  </si>
  <si>
    <t>OVERWEIGHT SURCHARGE</t>
  </si>
  <si>
    <t>PALLETIZ</t>
  </si>
  <si>
    <t>COST TO PUT CARGO UNITS ON PALLETS (VAS)</t>
  </si>
  <si>
    <t>PAN CAN</t>
  </si>
  <si>
    <t>PAN LOCK</t>
  </si>
  <si>
    <t>PANAMA CANAL LOCK IMPROVEMENT</t>
  </si>
  <si>
    <t>PANCANAL</t>
  </si>
  <si>
    <t>PAP REL</t>
  </si>
  <si>
    <t>PAPER RELEASE FEE</t>
  </si>
  <si>
    <t>PHD</t>
  </si>
  <si>
    <t>PHYTO DOC</t>
  </si>
  <si>
    <t>PICK FEE</t>
  </si>
  <si>
    <t>PICK UP</t>
  </si>
  <si>
    <t>PIERPASS</t>
  </si>
  <si>
    <t>PIER PASS SERVICE</t>
  </si>
  <si>
    <t>PIR RISK</t>
  </si>
  <si>
    <t>PIRACY RISK SURCH.</t>
  </si>
  <si>
    <t>PLF</t>
  </si>
  <si>
    <t>PORT LICENSE FEE</t>
  </si>
  <si>
    <t>PLG</t>
  </si>
  <si>
    <t>PLGINOFF</t>
  </si>
  <si>
    <t>PLGINOUT</t>
  </si>
  <si>
    <t>PORT EX</t>
  </si>
  <si>
    <t>PORT SERVICE CHARGE EXPORT</t>
  </si>
  <si>
    <t>PORT IM</t>
  </si>
  <si>
    <t>PORT SERVICE CHARGE IMPORT</t>
  </si>
  <si>
    <t>PORTCHAN</t>
  </si>
  <si>
    <t>PORT CHANNEL FEE (LINE)</t>
  </si>
  <si>
    <t>PORTSERV</t>
  </si>
  <si>
    <t>PORT SERVICE CHARGE</t>
  </si>
  <si>
    <t>PRE PULL</t>
  </si>
  <si>
    <t>PRE-PULL SERVICE</t>
  </si>
  <si>
    <t>PRECARR</t>
  </si>
  <si>
    <t>PRECARRIAGE ON CONTAINER</t>
  </si>
  <si>
    <t>PREHUB</t>
  </si>
  <si>
    <t>PRESPOKE</t>
  </si>
  <si>
    <t>PRIMAGE</t>
  </si>
  <si>
    <t>PRM QUAL</t>
  </si>
  <si>
    <t>PROBE</t>
  </si>
  <si>
    <t>TEMPERATURE SENSOR</t>
  </si>
  <si>
    <t>PRTYILSV</t>
  </si>
  <si>
    <t>PRIORITY INLAND SERVICE</t>
  </si>
  <si>
    <t>PTC EX</t>
  </si>
  <si>
    <t>PTC IM</t>
  </si>
  <si>
    <t>PTC IM PRIVATE TERMINAL CHARGE</t>
  </si>
  <si>
    <t>QUDAXFEE</t>
  </si>
  <si>
    <t>QUAD AXLE CHASSIS</t>
  </si>
  <si>
    <t>RAILCNCL</t>
  </si>
  <si>
    <t>DERT RECOVERY</t>
  </si>
  <si>
    <t>REEF ADD</t>
  </si>
  <si>
    <t>REEFER ADDITIONAL</t>
  </si>
  <si>
    <t>REMPLACA</t>
  </si>
  <si>
    <t>IMO LABEL FEE (ATTACH/DETACH)</t>
  </si>
  <si>
    <t>RES</t>
  </si>
  <si>
    <t>SHIFTING / RESTOW</t>
  </si>
  <si>
    <t>RF DOC F</t>
  </si>
  <si>
    <t>REEFER DOCUMENTATION FEE</t>
  </si>
  <si>
    <t>RFDOCFEX</t>
  </si>
  <si>
    <t>RFDOCFIM</t>
  </si>
  <si>
    <t>RFR DATA</t>
  </si>
  <si>
    <t>REEDER DATA RELEASE</t>
  </si>
  <si>
    <t>RFREBATE</t>
  </si>
  <si>
    <t>VID (REBATES)</t>
  </si>
  <si>
    <t>RHF</t>
  </si>
  <si>
    <t>Terminal-extra handling/extra</t>
  </si>
  <si>
    <t>RIVER FR</t>
  </si>
  <si>
    <t>RME</t>
  </si>
  <si>
    <t>REEFERMONITOR EXPORT</t>
  </si>
  <si>
    <t>RMI</t>
  </si>
  <si>
    <t>REEFERMONITOR IMPORT</t>
  </si>
  <si>
    <t>ROADDUTY</t>
  </si>
  <si>
    <t>ROAD DUTY / TOLL FEE</t>
  </si>
  <si>
    <t>RR2</t>
  </si>
  <si>
    <t>CONTAINER MR RECOVERY - 20RF</t>
  </si>
  <si>
    <t>RR4</t>
  </si>
  <si>
    <t>CONTAINER MR RECOVERY - 40RF</t>
  </si>
  <si>
    <t>SCANNING</t>
  </si>
  <si>
    <t>CUSTOMS SCANNING</t>
  </si>
  <si>
    <t>SCH</t>
  </si>
  <si>
    <t>SCHEDULE</t>
  </si>
  <si>
    <t>SCHEDULE RECOVERY SURCHARGE</t>
  </si>
  <si>
    <t>SEAL CH</t>
  </si>
  <si>
    <t>SEAL PRO</t>
  </si>
  <si>
    <t>SEAL PROVISION FEE</t>
  </si>
  <si>
    <t>SECURITY</t>
  </si>
  <si>
    <t>ESCORT</t>
  </si>
  <si>
    <t>SHIFTING</t>
  </si>
  <si>
    <t>SHIFTRTW</t>
  </si>
  <si>
    <t>SHIP BAG</t>
  </si>
  <si>
    <t>SHIPS BAG</t>
  </si>
  <si>
    <t>SHU</t>
  </si>
  <si>
    <t>SHUNTING</t>
  </si>
  <si>
    <t>SHUNTFEE</t>
  </si>
  <si>
    <t>SHUNTING FEE</t>
  </si>
  <si>
    <t>SINGLTRK</t>
  </si>
  <si>
    <t>SINGLE TRUCK MOVE</t>
  </si>
  <si>
    <t>SLA</t>
  </si>
  <si>
    <t>SIDELOADER ADD.</t>
  </si>
  <si>
    <t>Cold Store - supplied Materials - EXP</t>
  </si>
  <si>
    <t>SPCOMSEC</t>
  </si>
  <si>
    <t>SECURITY SERVICES FEE</t>
  </si>
  <si>
    <t>SPCOMSUR</t>
  </si>
  <si>
    <t>TRANSPORT OF SPECIFIC COMMODITIES FEE</t>
  </si>
  <si>
    <t>SPEC COM</t>
  </si>
  <si>
    <t>SPECIAL COMMODITY SURCHARGE</t>
  </si>
  <si>
    <t>SPEC EQU</t>
  </si>
  <si>
    <t>SPECIAL EQUIPMENT SURCHARGE</t>
  </si>
  <si>
    <t>SSE</t>
  </si>
  <si>
    <t>SHIPSIDE INSPECTION</t>
  </si>
  <si>
    <t>ST INDIA</t>
  </si>
  <si>
    <t>INDIAN SERVICE TAX</t>
  </si>
  <si>
    <t>STAMP CH</t>
  </si>
  <si>
    <t>STAMP CHARGE</t>
  </si>
  <si>
    <t>STBKCCL</t>
  </si>
  <si>
    <t>BKG.CANCL.FEE OFFL.</t>
  </si>
  <si>
    <t>SERVICE TAX IN OCEAN (LUMPSUM)</t>
  </si>
  <si>
    <t>STI_1</t>
  </si>
  <si>
    <t>STOR EXP</t>
  </si>
  <si>
    <t>STORAGE EXPORT (LINE</t>
  </si>
  <si>
    <t>STOR IMP</t>
  </si>
  <si>
    <t>STORAGE</t>
  </si>
  <si>
    <t>STP FUM</t>
  </si>
  <si>
    <t>STOP OFF FOR FUMIGATION</t>
  </si>
  <si>
    <t>STRP IM</t>
  </si>
  <si>
    <t>STRIPPING/STUFFING (IMPORT)</t>
  </si>
  <si>
    <t>STUFF EX</t>
  </si>
  <si>
    <t>STUFFING/STRIPPING (EXPORT)</t>
  </si>
  <si>
    <t>SUC</t>
  </si>
  <si>
    <t>SURVEY CHARGES</t>
  </si>
  <si>
    <t>SUECANAL</t>
  </si>
  <si>
    <t>SUEZ CAN</t>
  </si>
  <si>
    <t>SWB F EX</t>
  </si>
  <si>
    <t>SEAWAY BILL FEE EXPORT</t>
  </si>
  <si>
    <t>SWB F IM</t>
  </si>
  <si>
    <t>SEAWAY BILL FEE IMPORT</t>
  </si>
  <si>
    <t>SWTCH BL</t>
  </si>
  <si>
    <t>BILL OF LADING SWITCH</t>
  </si>
  <si>
    <t>TAF</t>
  </si>
  <si>
    <t>TAM</t>
  </si>
  <si>
    <t>TERMINAL AMENDMENT FEE</t>
  </si>
  <si>
    <t>TCF</t>
  </si>
  <si>
    <t>TERMINAL - CANCELLATION FEE</t>
  </si>
  <si>
    <t>TEMP CHG</t>
  </si>
  <si>
    <t>TEMPERATURE CHANGE</t>
  </si>
  <si>
    <t>THC EX</t>
  </si>
  <si>
    <t>THC ORIGIN</t>
  </si>
  <si>
    <t>THC IM</t>
  </si>
  <si>
    <t>THC DESTINATION</t>
  </si>
  <si>
    <t>THERM BL</t>
  </si>
  <si>
    <t>THERMAL BLANKET</t>
  </si>
  <si>
    <t>TIMBER</t>
  </si>
  <si>
    <t>TIMBER PACKING CHARGE</t>
  </si>
  <si>
    <t>TOLL EX</t>
  </si>
  <si>
    <t>TOLL CHARGE EXPORT</t>
  </si>
  <si>
    <t>TOLL IM</t>
  </si>
  <si>
    <t>TOLL CHARGE IMPORT</t>
  </si>
  <si>
    <t>TR C</t>
  </si>
  <si>
    <t>TERM.REC.CH. CODELCO</t>
  </si>
  <si>
    <t>TRANSPMD</t>
  </si>
  <si>
    <t>TRANSPORT MODE CHANGE</t>
  </si>
  <si>
    <t>TRC</t>
  </si>
  <si>
    <t>TERMINAL RECEIVING CHARGE</t>
  </si>
  <si>
    <t>TRIAXFEE</t>
  </si>
  <si>
    <t>TRSH FRE</t>
  </si>
  <si>
    <t>TRANSHIPMENT FREIGHT</t>
  </si>
  <si>
    <t>TST CHG</t>
  </si>
  <si>
    <t>TSTC</t>
  </si>
  <si>
    <t>VCR</t>
  </si>
  <si>
    <t>VED</t>
  </si>
  <si>
    <t>VET. DOCUMENTATION</t>
  </si>
  <si>
    <t>VER</t>
  </si>
  <si>
    <t>CUSTODY CHANGE</t>
  </si>
  <si>
    <t>VERIF GM</t>
  </si>
  <si>
    <t>VERIF GROSS MASS VGM</t>
  </si>
  <si>
    <t>VGM CRC</t>
  </si>
  <si>
    <t>VGM M P</t>
  </si>
  <si>
    <t>VGM MANUAL PROCESS</t>
  </si>
  <si>
    <t>VGM TCRC</t>
  </si>
  <si>
    <t>VGM TERMINAL CRC</t>
  </si>
  <si>
    <t>WAC</t>
  </si>
  <si>
    <t>CAT, WASTED JOURNEY FEE</t>
  </si>
  <si>
    <t>WAR RISK</t>
  </si>
  <si>
    <t>WAREHOUS</t>
  </si>
  <si>
    <t>WAREHOUSE CHARGE</t>
  </si>
  <si>
    <t>WAS</t>
  </si>
  <si>
    <t>CH, WASTED JOURNEY FEE</t>
  </si>
  <si>
    <t>WASTED J</t>
  </si>
  <si>
    <t>POSITIONING IN VAIN</t>
  </si>
  <si>
    <t>WEIGHING</t>
  </si>
  <si>
    <t>WEIGHTDI</t>
  </si>
  <si>
    <t>WEIGHT DISCREPANCY</t>
  </si>
  <si>
    <t>WHF EX</t>
  </si>
  <si>
    <t>WHARFAGE EXP ON ITEM</t>
  </si>
  <si>
    <t>WHF IM</t>
  </si>
  <si>
    <t>WHARFAGE IMP ON ITEM</t>
  </si>
  <si>
    <t>WINT SUR</t>
  </si>
  <si>
    <t>WINTER SURCHARGE</t>
  </si>
  <si>
    <t>WIRE LFT</t>
  </si>
  <si>
    <t>WIRE LIFT</t>
  </si>
  <si>
    <t>WKENDTRA</t>
  </si>
  <si>
    <t>SURCHARGE FOR TRANSPORT ON WEEKENDS</t>
  </si>
  <si>
    <t>Cold Store - Warehousing Services - EXP</t>
  </si>
  <si>
    <t>WT TIME</t>
  </si>
  <si>
    <t>Instance id</t>
  </si>
  <si>
    <t>Proportion Type</t>
  </si>
  <si>
    <t>Bill Wt/Vol</t>
  </si>
  <si>
    <t>Gross Wt/Vol</t>
  </si>
  <si>
    <t>Quantity</t>
  </si>
  <si>
    <t>Owned By</t>
  </si>
  <si>
    <t>Amount</t>
  </si>
  <si>
    <t>ZZCONTINSID</t>
  </si>
  <si>
    <t>ZZBILLWTVOL</t>
  </si>
  <si>
    <t>ZZGROSSWTVOL</t>
  </si>
  <si>
    <t>ZZEQOWN</t>
  </si>
  <si>
    <t>VSA Invoice</t>
  </si>
  <si>
    <t>IMTC</t>
  </si>
  <si>
    <t>TC Invoice Type</t>
  </si>
  <si>
    <t xml:space="preserve">TC Credit Type </t>
  </si>
  <si>
    <t>IMCC</t>
  </si>
  <si>
    <t>IMEL</t>
  </si>
  <si>
    <t>IMEC</t>
  </si>
  <si>
    <t>Equipment Leasing Invoice</t>
  </si>
  <si>
    <t>Equipment Leasing Credit</t>
  </si>
  <si>
    <t>IMVS</t>
  </si>
  <si>
    <t>Cargo Claims Invoice</t>
  </si>
  <si>
    <t>MICG</t>
  </si>
  <si>
    <t>Cargo Claims Credit </t>
  </si>
  <si>
    <t>MCCG</t>
  </si>
  <si>
    <t>CCAC</t>
  </si>
  <si>
    <t>CARGO MISDECLARATION CHARGE</t>
  </si>
  <si>
    <t>HANDLING CHARGE - INTERMODAL</t>
  </si>
  <si>
    <t>RECOVERY</t>
  </si>
  <si>
    <t>Detention in Transit Service 1</t>
  </si>
  <si>
    <t>Export Detention 1</t>
  </si>
  <si>
    <t>Detention Fee - Import 1</t>
  </si>
  <si>
    <t>3rd party recovery for TTL/Lost equip 1</t>
  </si>
  <si>
    <t>OFF-HIRE GAS OIL (MGO)</t>
  </si>
  <si>
    <t>3rd party damage repair recovery 1</t>
  </si>
  <si>
    <t>1SUB-LEASE INCOME</t>
  </si>
  <si>
    <t>Out Of Service Charge 1</t>
  </si>
  <si>
    <t>Remuneration 1</t>
  </si>
  <si>
    <t>CARGO CLAIMS P&amp;I RECOVERY</t>
  </si>
  <si>
    <t>LEGAL FEES P&amp;I RECOVERY</t>
  </si>
  <si>
    <t>Equipment Cleaning/Washing 1</t>
  </si>
  <si>
    <t>CONTAINER SERVICE EXPORT</t>
  </si>
  <si>
    <t>VSA LEAKING CONTAINER RECOVERY</t>
  </si>
  <si>
    <t>Liner container sale 1</t>
  </si>
  <si>
    <t>OPERATIONAL RECOVERY</t>
  </si>
  <si>
    <t>INSURANCE COMMISSION - MONTHLY</t>
  </si>
  <si>
    <t>Cold store - Storage - EXP 1</t>
  </si>
  <si>
    <t>Cold store - Storage - IMP 1</t>
  </si>
  <si>
    <t>DATA SERVICE FEE PAYMENT</t>
  </si>
  <si>
    <t>VSA COASTAL PURCHASE</t>
  </si>
  <si>
    <t>2-WAY-COMMITMENT CHARGE DUE</t>
  </si>
  <si>
    <t>VSA Excess sales</t>
  </si>
  <si>
    <t>Cargo premium (US Military) Sale</t>
  </si>
  <si>
    <t>TC Technical expenses recovery</t>
  </si>
  <si>
    <t>Liner container sale 2</t>
  </si>
  <si>
    <t>Crew Travel - TC Owners Exp</t>
  </si>
  <si>
    <t>ESTIMATED WITHHELD UPON REDELIVERY</t>
  </si>
  <si>
    <t>CUSTOM EXAM 1</t>
  </si>
  <si>
    <t>CUSTOM FINE 1</t>
  </si>
  <si>
    <t>FEEDER TRANSPORT 1</t>
  </si>
  <si>
    <t>FEEDER TRANSPORT 2</t>
  </si>
  <si>
    <t>CONTAINER TOTAL LOSS - 20'RF 1</t>
  </si>
  <si>
    <t>CONTAINER TOTAL LOSS - 20'DC 1</t>
  </si>
  <si>
    <t>CONTAINER SALES 1</t>
  </si>
  <si>
    <t>MAILING FEE 1</t>
  </si>
  <si>
    <t>ASSET SELLING 1</t>
  </si>
  <si>
    <t>RENT OF BUILDING / OFFICE SPACE 1</t>
  </si>
  <si>
    <t>BANK CHARGES 1</t>
  </si>
  <si>
    <t>DEPOSIT - CONTAINER RELATED 1</t>
  </si>
  <si>
    <t>ULS</t>
  </si>
  <si>
    <t>AGENCY HAULAGE 1</t>
  </si>
  <si>
    <t>OVERTIME 1</t>
  </si>
  <si>
    <t>AGENCY HAULAGE 2</t>
  </si>
  <si>
    <t>OVERTIME 2</t>
  </si>
  <si>
    <t>MAILING FEE 2</t>
  </si>
  <si>
    <t>CUSTOM FINE 2</t>
  </si>
  <si>
    <t>CONTAINER TOTAL LOSS - 20'RF 2</t>
  </si>
  <si>
    <t>CONTAINER TOTAL LOSS - 20'DC 2</t>
  </si>
  <si>
    <t>CONTAINER SALES 2</t>
  </si>
  <si>
    <t>ASSET SELLING 2</t>
  </si>
  <si>
    <t>RENT OF BUILDING / OFFICE SPACE 2</t>
  </si>
  <si>
    <t>Administration Fee 1</t>
  </si>
  <si>
    <t>ADMINISTRATION FEE 2</t>
  </si>
  <si>
    <t>Spot Booking amendment Fee 1</t>
  </si>
  <si>
    <t>BASCPI</t>
  </si>
  <si>
    <t>Ocean Freight Captain Peter-Integrated P 1</t>
  </si>
  <si>
    <t>BASEDF</t>
  </si>
  <si>
    <t>Emissions Dashboard Fee (all-in rate)</t>
  </si>
  <si>
    <t>BASOBK</t>
  </si>
  <si>
    <t>Booking Service (all-in rate)</t>
  </si>
  <si>
    <t>BASTL1</t>
  </si>
  <si>
    <t>BAS incl.Ocean TradeLens Core Essential</t>
  </si>
  <si>
    <t>BASTL3</t>
  </si>
  <si>
    <t>BAS incl. Ocean TradeLens Core Collabora</t>
  </si>
  <si>
    <t>BCI</t>
  </si>
  <si>
    <t>Ocean Freight Captain Peter-Integrated P 2</t>
  </si>
  <si>
    <t>Spot Booking Cancellation Fee 1</t>
  </si>
  <si>
    <t>BANK CHARGES 2</t>
  </si>
  <si>
    <t>BONDED CARRIAGE 1</t>
  </si>
  <si>
    <t>BONDED CARRIAGE 2</t>
  </si>
  <si>
    <t>CHASSIS FEE 1</t>
  </si>
  <si>
    <t>CUSTOMS DECLARATION 1</t>
  </si>
  <si>
    <t>CUSTOM EXAM 2</t>
  </si>
  <si>
    <t>CHASSIS FEE 2</t>
  </si>
  <si>
    <t>Change of inland destination 1</t>
  </si>
  <si>
    <t>CHANGE OF INLAND DESTINATION 2</t>
  </si>
  <si>
    <t>INSPECTION CHARGE 1</t>
  </si>
  <si>
    <t>CLEANING FEE 1</t>
  </si>
  <si>
    <t>CLEANING FEE 2</t>
  </si>
  <si>
    <t>CONTAINER RELEASE FEE 1</t>
  </si>
  <si>
    <t>DEPOSIT - CONTAINER RELATED 2</t>
  </si>
  <si>
    <t>COLD TREATMENT 1</t>
  </si>
  <si>
    <t>COURIER CHARGES</t>
  </si>
  <si>
    <t>Captain Peter – Premium Package</t>
  </si>
  <si>
    <t>CPI</t>
  </si>
  <si>
    <t>Captain Peter – Integrated Package</t>
  </si>
  <si>
    <t>CPL</t>
  </si>
  <si>
    <t>Captain Peter – Single Datalog Download</t>
  </si>
  <si>
    <t>CR1</t>
  </si>
  <si>
    <t>Spot Delivery Promise</t>
  </si>
  <si>
    <t>CR2</t>
  </si>
  <si>
    <t>Container Rental - Extra Free Time2</t>
  </si>
  <si>
    <t>CR3</t>
  </si>
  <si>
    <t>Container Rental - Extra Free Time3</t>
  </si>
  <si>
    <t>CR4</t>
  </si>
  <si>
    <t>Container Rental - Extra Free Time4</t>
  </si>
  <si>
    <t>CR5</t>
  </si>
  <si>
    <t>Container Rental - Extra Free Time5</t>
  </si>
  <si>
    <t>CONTAINER RELEASE FEE 2</t>
  </si>
  <si>
    <t>Cold store - Storage - EXP 2</t>
  </si>
  <si>
    <t>Cold store - Storage - IMP 2</t>
  </si>
  <si>
    <t>CUSTOMS FINE 3</t>
  </si>
  <si>
    <t>COLD TREATMENT 2</t>
  </si>
  <si>
    <t>CU2</t>
  </si>
  <si>
    <t>Chassis Usage/8 Calendar days</t>
  </si>
  <si>
    <t>CUSTOMS DECLARATION 3</t>
  </si>
  <si>
    <t>CUSTOMS FINE 2</t>
  </si>
  <si>
    <t>WAITING TIME 1</t>
  </si>
  <si>
    <t>Destination Coordination Services</t>
  </si>
  <si>
    <t>DELIVERY ORDER 1</t>
  </si>
  <si>
    <t>DEMURRAGE 1</t>
  </si>
  <si>
    <t>DEMURRAGE 2</t>
  </si>
  <si>
    <t>Detention Fee - Import 2</t>
  </si>
  <si>
    <t>DANG. GOODS FORM. 1</t>
  </si>
  <si>
    <t>DANG. GOODS FORM. 2</t>
  </si>
  <si>
    <t>DANG. GOODS FORM. 3</t>
  </si>
  <si>
    <t>Detention in Transit Service 2</t>
  </si>
  <si>
    <t>Delivery Order 2</t>
  </si>
  <si>
    <t>DROP OFF CHARGE 1</t>
  </si>
  <si>
    <t>DROP OFF CHARGE 2</t>
  </si>
  <si>
    <t>DROP OFF CHARGE 3</t>
  </si>
  <si>
    <t>DROP AND PICK SURCHARGE 1</t>
  </si>
  <si>
    <t>DROP AND PICK SURCHARGE 2</t>
  </si>
  <si>
    <t>EB1</t>
  </si>
  <si>
    <t>TradeLens Electronic BL Single Transfer</t>
  </si>
  <si>
    <t>EC2</t>
  </si>
  <si>
    <t>ECO Delivery 2.0</t>
  </si>
  <si>
    <t>ECB</t>
  </si>
  <si>
    <t>Equipment Cleaning/Washing 2</t>
  </si>
  <si>
    <t>Export Detention 2</t>
  </si>
  <si>
    <t>EIE</t>
  </si>
  <si>
    <t>Enhanced ITV export</t>
  </si>
  <si>
    <t>EQUIPMENT IMBALANCE SURCHARGE 1</t>
  </si>
  <si>
    <t>EMPTY POSITIONING 1</t>
  </si>
  <si>
    <t>EMS</t>
  </si>
  <si>
    <t>Emission Surcharge</t>
  </si>
  <si>
    <t>EMPTY POSITIONING 2</t>
  </si>
  <si>
    <t>EQUIPMENT IMBALANCE SURCHARGE 2</t>
  </si>
  <si>
    <t>ESS</t>
  </si>
  <si>
    <t>Emission Surcharge for SPOT Bookings</t>
  </si>
  <si>
    <t>Export Service 1</t>
  </si>
  <si>
    <t>Export Service 2</t>
  </si>
  <si>
    <t>F21</t>
  </si>
  <si>
    <t>Freetime Extension 21 Days</t>
  </si>
  <si>
    <t>F25</t>
  </si>
  <si>
    <t>Freetime Extension 25 Days</t>
  </si>
  <si>
    <t>F30</t>
  </si>
  <si>
    <t>Freetime Extension 30 Days</t>
  </si>
  <si>
    <t>FA4</t>
  </si>
  <si>
    <t>Bkg free time extension 4 days</t>
  </si>
  <si>
    <t>FA8</t>
  </si>
  <si>
    <t>Bkg free time extension 8 Days</t>
  </si>
  <si>
    <t>FB4</t>
  </si>
  <si>
    <t>Bkg free time extension 14 days</t>
  </si>
  <si>
    <t>FLO</t>
  </si>
  <si>
    <t>Flow Management Fee</t>
  </si>
  <si>
    <t>Intermodal Fuel Surcharge 1</t>
  </si>
  <si>
    <t>GATE IN/OUT (LINE) 1</t>
  </si>
  <si>
    <t>GATE IN/OUT (LINE) 2</t>
  </si>
  <si>
    <t>GOODS AND SERVICE TAX INDIA 1</t>
  </si>
  <si>
    <t>GOODS AND SERVICE TAX INDIA 2</t>
  </si>
  <si>
    <t>ICPEQLI</t>
  </si>
  <si>
    <t>EQUIP. LEASE INCOME RECHARGE - INTERNAL</t>
  </si>
  <si>
    <t>IFE</t>
  </si>
  <si>
    <t>Inland Fuel Adjustment Export</t>
  </si>
  <si>
    <t>IFI</t>
  </si>
  <si>
    <t>Inland Fuel Adjustment Import</t>
  </si>
  <si>
    <t>ILF</t>
  </si>
  <si>
    <t>Import Landside Fuel Adjustment</t>
  </si>
  <si>
    <t>Import Service 1</t>
  </si>
  <si>
    <t>Import Service 2</t>
  </si>
  <si>
    <t>REBATE 1</t>
  </si>
  <si>
    <t>Inspection Fee - Export 1</t>
  </si>
  <si>
    <t>Inspection Fee - Import 1</t>
  </si>
  <si>
    <t>INSPECTION CHARGE 2</t>
  </si>
  <si>
    <t>INTERMODAL FUEL SURCHARGE 2</t>
  </si>
  <si>
    <t>JL1</t>
  </si>
  <si>
    <t>Journey Intelligence</t>
  </si>
  <si>
    <t>LATE ARRIVAL 1</t>
  </si>
  <si>
    <t>LATE ARRIVAL 2</t>
  </si>
  <si>
    <t>M+R FEE 1</t>
  </si>
  <si>
    <t>MCC</t>
  </si>
  <si>
    <t>MULTICARRIER COLD CHAIN SOLUTION</t>
  </si>
  <si>
    <t>M+R FEE 2</t>
  </si>
  <si>
    <t>MULTI STOP 1</t>
  </si>
  <si>
    <t>MULTI STOP 2</t>
  </si>
  <si>
    <t>NO SHOW FEE 1</t>
  </si>
  <si>
    <t>NOPEMBE</t>
  </si>
  <si>
    <t>Employee Benefit- External</t>
  </si>
  <si>
    <t>CEBE</t>
  </si>
  <si>
    <t>FINANCE LEASE INTEREST INCOME 1</t>
  </si>
  <si>
    <t>FINANCE LEASE INTEREST INCOME 2</t>
  </si>
  <si>
    <t>LOAN INTEREST INCOME 1</t>
  </si>
  <si>
    <t>LOAN INTEREST INCOME 2</t>
  </si>
  <si>
    <t>NOPMEDC</t>
  </si>
  <si>
    <t>Medical Cost- External</t>
  </si>
  <si>
    <t>CMED</t>
  </si>
  <si>
    <t>REMUNERATION 2</t>
  </si>
  <si>
    <t>No Show Fee 2</t>
  </si>
  <si>
    <t>Out Of Service Charge 2</t>
  </si>
  <si>
    <t>OVERWEIGHT PERMIT 1</t>
  </si>
  <si>
    <t>OVERWEIGHT PERMIT 2</t>
  </si>
  <si>
    <t>PANAMA CANAL SURCHARGE 1</t>
  </si>
  <si>
    <t>PANAMA CANAL SURCHARGE 2</t>
  </si>
  <si>
    <t>3rd party damage repair recovery 2</t>
  </si>
  <si>
    <t>Inspection Fee - Export 2</t>
  </si>
  <si>
    <t>Inspection Fee - Import 2</t>
  </si>
  <si>
    <t>PICK-UP CHARGE 1</t>
  </si>
  <si>
    <t>PICK-UP CHARGE 2</t>
  </si>
  <si>
    <t>PLUG IN 1</t>
  </si>
  <si>
    <t>PLUG IN 2</t>
  </si>
  <si>
    <t>PLUG IN 3</t>
  </si>
  <si>
    <t>Premium Quality Container 1</t>
  </si>
  <si>
    <t>PREMIUM QUALITY CONTAINER 2</t>
  </si>
  <si>
    <t>Rebate 2</t>
  </si>
  <si>
    <t>RIVER FREIGHT 1</t>
  </si>
  <si>
    <t>REEFER DOCUMENTATION FEE 1</t>
  </si>
  <si>
    <t>REEFER DOCUMENTATION FEE 2</t>
  </si>
  <si>
    <t>RIVER FREIGHT 2</t>
  </si>
  <si>
    <t>3rd party recovery for TTL/Lost equip 2</t>
  </si>
  <si>
    <t>SAE</t>
  </si>
  <si>
    <t>Spot Booking amendment Fee 2</t>
  </si>
  <si>
    <t>SEALING 1</t>
  </si>
  <si>
    <t>SCL</t>
  </si>
  <si>
    <t>Spot Booking Cancellation Fee 2</t>
  </si>
  <si>
    <t>DO NOT USE</t>
  </si>
  <si>
    <t>SEALING 2</t>
  </si>
  <si>
    <t>Cold Store - Warehousing Services - IMP</t>
  </si>
  <si>
    <t>SHIFTING/RESTOW 1</t>
  </si>
  <si>
    <t>SHIFTING/RESTOW 2</t>
  </si>
  <si>
    <t>Cold Store - supplied Materials - IMP</t>
  </si>
  <si>
    <t>SNS</t>
  </si>
  <si>
    <t>Spot Booking No Show Fee</t>
  </si>
  <si>
    <t>ST2</t>
  </si>
  <si>
    <t>Storage2</t>
  </si>
  <si>
    <t>ST3</t>
  </si>
  <si>
    <t>Storage3</t>
  </si>
  <si>
    <t>ST4</t>
  </si>
  <si>
    <t>Storage4</t>
  </si>
  <si>
    <t>ST5</t>
  </si>
  <si>
    <t>Storage5</t>
  </si>
  <si>
    <t>Storage Import 1</t>
  </si>
  <si>
    <t>STORAGE IMPORT 2</t>
  </si>
  <si>
    <t>SUEZ CANAL SURCHARGE 1</t>
  </si>
  <si>
    <t>SUEZ CANAL SURCHARGE 2</t>
  </si>
  <si>
    <t>TRI AXLE 1</t>
  </si>
  <si>
    <t>TRI AXLE 2</t>
  </si>
  <si>
    <t>TERMINAL STATUS CHANGE 1</t>
  </si>
  <si>
    <t>TERMINAL STATUS CHANGE 2</t>
  </si>
  <si>
    <t>V10</t>
  </si>
  <si>
    <t>Value Protect Cool Extended</t>
  </si>
  <si>
    <t>V11</t>
  </si>
  <si>
    <t>Value Protect Cool Ultimate</t>
  </si>
  <si>
    <t>VGM COST RECOVERY 1</t>
  </si>
  <si>
    <t>VGM COST RECOVERY 2</t>
  </si>
  <si>
    <t>VP10</t>
  </si>
  <si>
    <t>DO NOT USE 1</t>
  </si>
  <si>
    <t>VP11</t>
  </si>
  <si>
    <t>DO NOT USE 2</t>
  </si>
  <si>
    <t>VP9</t>
  </si>
  <si>
    <t>Value Protect Cool Extra</t>
  </si>
  <si>
    <t>WAR RISK SURCHARGE 1</t>
  </si>
  <si>
    <t>WAR RISK SURCHARGE 2</t>
  </si>
  <si>
    <t>WAITING TIME 2</t>
  </si>
  <si>
    <t>Inv Currency</t>
  </si>
  <si>
    <t>ZZLOA_SAI_DATFB</t>
  </si>
  <si>
    <t>ZZDIS_ARR_DATFB</t>
  </si>
  <si>
    <t>Payer</t>
  </si>
  <si>
    <t>VSA Sale</t>
  </si>
  <si>
    <t>Ocean Transit Document</t>
  </si>
  <si>
    <t>DMR Free time extension 3 days</t>
  </si>
  <si>
    <t>DMR Free time extension 7 Days</t>
  </si>
  <si>
    <t>DMR Free time extension 10 days</t>
  </si>
  <si>
    <t>Shipping Instruction Creator</t>
  </si>
  <si>
    <t>Disruption Protect Plus</t>
  </si>
  <si>
    <t>Disruption Protect</t>
  </si>
  <si>
    <t>Export Eco-Delivery Inland</t>
  </si>
  <si>
    <t>Equipment Handling Export</t>
  </si>
  <si>
    <t>Equipment Handling Import</t>
  </si>
  <si>
    <t>Heavyweight Handling Charge</t>
  </si>
  <si>
    <t>Entertainment Costs I/C Recharge</t>
  </si>
  <si>
    <t>CENT</t>
  </si>
  <si>
    <t>GRIR Manual I/C Recharge</t>
  </si>
  <si>
    <t>CGRI</t>
  </si>
  <si>
    <t>Management Fee I/C Recharge</t>
  </si>
  <si>
    <t>CMNM</t>
  </si>
  <si>
    <t>Office Cost Non Rental I/C Recharge</t>
  </si>
  <si>
    <t>CONR</t>
  </si>
  <si>
    <t>Other Recharges I/C</t>
  </si>
  <si>
    <t>CRCH</t>
  </si>
  <si>
    <t>Shared Service Center Costs I/C Recharge</t>
  </si>
  <si>
    <t>CSCR</t>
  </si>
  <si>
    <t>Management Fee</t>
  </si>
  <si>
    <t>Import Eco-Delivery Inland</t>
  </si>
  <si>
    <t>CEIC</t>
  </si>
  <si>
    <t>Current Prov Unsettled Claims &amp; Lawsuits</t>
  </si>
  <si>
    <t>CPUC</t>
  </si>
  <si>
    <t>Setpoint Change Charge</t>
  </si>
  <si>
    <t>ORIGIN</t>
  </si>
  <si>
    <t>OCEAN</t>
  </si>
  <si>
    <t>DESTINATION</t>
  </si>
  <si>
    <t>BASCCO</t>
  </si>
  <si>
    <t>BAST1D</t>
  </si>
  <si>
    <t>D03</t>
  </si>
  <si>
    <t>D07</t>
  </si>
  <si>
    <t>D10</t>
  </si>
  <si>
    <t>DOS</t>
  </si>
  <si>
    <t>DPP</t>
  </si>
  <si>
    <t>DPT</t>
  </si>
  <si>
    <t>EED</t>
  </si>
  <si>
    <t>EHE</t>
  </si>
  <si>
    <t>EHI</t>
  </si>
  <si>
    <t>HHC</t>
  </si>
  <si>
    <t>ICPCENT</t>
  </si>
  <si>
    <t>ICPCGRI</t>
  </si>
  <si>
    <t>ICPCMNM</t>
  </si>
  <si>
    <t>ICPCONR</t>
  </si>
  <si>
    <t>ICPCRCH</t>
  </si>
  <si>
    <t>ICPCSCR</t>
  </si>
  <si>
    <t>ICPMGMFE</t>
  </si>
  <si>
    <t>IED</t>
  </si>
  <si>
    <t>NOPCEIC</t>
  </si>
  <si>
    <t>NOPCPUC</t>
  </si>
  <si>
    <t>SCC</t>
  </si>
  <si>
    <t>Occurring At</t>
  </si>
  <si>
    <t>CBU in SAP</t>
  </si>
  <si>
    <t>Identification number in ECC system</t>
  </si>
  <si>
    <t>CHAMPS</t>
  </si>
  <si>
    <t>VSA</t>
  </si>
  <si>
    <t>PAPACSEA8</t>
  </si>
  <si>
    <t>PAPACSEA9</t>
  </si>
  <si>
    <t>1000CHAMPS</t>
  </si>
  <si>
    <t>1000EL</t>
  </si>
  <si>
    <t>1000VSA</t>
  </si>
  <si>
    <t>1000VSACY</t>
  </si>
  <si>
    <t>Field for Manual Invoicing</t>
  </si>
  <si>
    <t xml:space="preserve">Shipper </t>
  </si>
  <si>
    <t>Charge Code description</t>
  </si>
  <si>
    <t>Invoice currency</t>
  </si>
  <si>
    <t>Export/Import</t>
  </si>
  <si>
    <t>Profit Centre</t>
  </si>
  <si>
    <t>Collection business unit</t>
  </si>
  <si>
    <t>Place of origin</t>
  </si>
  <si>
    <t>Port of load</t>
  </si>
  <si>
    <t>Port of discharge</t>
  </si>
  <si>
    <t>Place of destination</t>
  </si>
  <si>
    <t>PO Date</t>
  </si>
  <si>
    <t>Equipment Number</t>
  </si>
  <si>
    <t>Free Time Start</t>
  </si>
  <si>
    <t>Free Time End</t>
  </si>
  <si>
    <t>Free Time</t>
  </si>
  <si>
    <t>Free Time Unit</t>
  </si>
  <si>
    <t>Rate Time Start</t>
  </si>
  <si>
    <t>Rate Time End</t>
  </si>
  <si>
    <t>VSA Contract type</t>
  </si>
  <si>
    <t>Service contract no</t>
  </si>
  <si>
    <t>Asset number</t>
  </si>
  <si>
    <t>Asset sub number</t>
  </si>
  <si>
    <t>CHB Indicator</t>
  </si>
  <si>
    <t>Commodity code</t>
  </si>
  <si>
    <t>HS code</t>
  </si>
  <si>
    <t>Transport mode</t>
  </si>
  <si>
    <t>Cost centre</t>
  </si>
  <si>
    <t>Internal order</t>
  </si>
  <si>
    <t>Equipment height</t>
  </si>
  <si>
    <t>ZZCOMMCODE</t>
  </si>
  <si>
    <t>ZZHSCODE</t>
  </si>
  <si>
    <t>ZZTRANSMODE</t>
  </si>
  <si>
    <t>BUPLA</t>
  </si>
  <si>
    <t>ZZPOS</t>
  </si>
  <si>
    <t>KOSTL</t>
  </si>
  <si>
    <t>AUFNR</t>
  </si>
  <si>
    <t>ZZEQHEIGHT</t>
  </si>
  <si>
    <t>Business Place</t>
  </si>
  <si>
    <t>Place of Supply</t>
  </si>
  <si>
    <t>ZZCHB</t>
  </si>
  <si>
    <t>Key1</t>
  </si>
  <si>
    <t>Bill To Party</t>
  </si>
  <si>
    <t>ZZBILLTOPARTY</t>
  </si>
  <si>
    <t>Cross Charge of Operational Expenses</t>
  </si>
  <si>
    <t>400</t>
  </si>
  <si>
    <t>Extended Payment Terms Fee</t>
  </si>
  <si>
    <t>Maersk ECO Delivery 1</t>
  </si>
  <si>
    <t>India AP cross charge</t>
  </si>
  <si>
    <t>Value Protect VIP Incentives</t>
  </si>
  <si>
    <t>VSA ETS Recovery - Slot purchase non-2M 1</t>
  </si>
  <si>
    <t>VSA ETS Recovery - Slot purchase 2M 1</t>
  </si>
  <si>
    <t>Bunker Recovery 1</t>
  </si>
  <si>
    <t>Extraordinary O/E tug/pilot/shifting OER</t>
  </si>
  <si>
    <t>Fuel efficiency premium</t>
  </si>
  <si>
    <t>Bunker efficiency-Incentive/Compensation</t>
  </si>
  <si>
    <t>Urea water</t>
  </si>
  <si>
    <t>NRC cost</t>
  </si>
  <si>
    <t>Air Ride Trailer Export</t>
  </si>
  <si>
    <t>Air Ride Trailer Import</t>
  </si>
  <si>
    <t>Equipment Positioning Service - Export 1</t>
  </si>
  <si>
    <t>CPP - Bulkheads</t>
  </si>
  <si>
    <t>DAPS - Container / Cargo Photo Set Org</t>
  </si>
  <si>
    <t>CPP -Silica Gel</t>
  </si>
  <si>
    <t>Container / Truck Cleaning or Deseeding</t>
  </si>
  <si>
    <t>DAPS - Cold Treatment</t>
  </si>
  <si>
    <t>DAPS - Depot Container Preassignment</t>
  </si>
  <si>
    <t>DAPS - Fumigation Destination</t>
  </si>
  <si>
    <t>DAPS - Fumigation</t>
  </si>
  <si>
    <t>Depot - Full Gate Move</t>
  </si>
  <si>
    <t>DAPS - Fumigation Origin</t>
  </si>
  <si>
    <t>DAPS - Container / Cargo Inspection Des</t>
  </si>
  <si>
    <t>DAPS - Container / Cargo Inspection</t>
  </si>
  <si>
    <t>DAPS - Container / Cargo Inspection Org</t>
  </si>
  <si>
    <t>DAPS - Container / Cargo Photo Set Des</t>
  </si>
  <si>
    <t>DAPS - Shunting Origin</t>
  </si>
  <si>
    <t>Destination Step deck trailer</t>
  </si>
  <si>
    <t>DAPS - VIP Gate Service Destination</t>
  </si>
  <si>
    <t>DAPS - VIP Gate Service Origin</t>
  </si>
  <si>
    <t>DAPS - VIP Stack</t>
  </si>
  <si>
    <t>Export Eco-Delivery Inland OFF Transport</t>
  </si>
  <si>
    <t>CPP - Flexi bags</t>
  </si>
  <si>
    <t>Depot - Full Gate Move Destination</t>
  </si>
  <si>
    <t>Depot - Full Gate Move Origin</t>
  </si>
  <si>
    <t>Import Eco-Delivery Inland OFF Transport</t>
  </si>
  <si>
    <t>CPP – Liner bags</t>
  </si>
  <si>
    <t>Locked Rate Reservation Fee</t>
  </si>
  <si>
    <t>Origin Step deck trailer</t>
  </si>
  <si>
    <t>CPP - Paper Lining</t>
  </si>
  <si>
    <t>SI DET Free time extension 4 days</t>
  </si>
  <si>
    <t>SI DET Free time extension 8 days</t>
  </si>
  <si>
    <t>SI DET Free time extension 14 days</t>
  </si>
  <si>
    <t>DAPS - Shunting Destination</t>
  </si>
  <si>
    <t>SDS - Tally</t>
  </si>
  <si>
    <t>VSA ETS Recovery - Slot purchase non-2M 2</t>
  </si>
  <si>
    <t>VSA ETS Recovery - Slot purchase 2M 2</t>
  </si>
  <si>
    <t>Container/Truck Cleaning/Deseeding Des</t>
  </si>
  <si>
    <t>Container/Truck Cleaning/Deseeding Org</t>
  </si>
  <si>
    <t>Bunker Recovery 2</t>
  </si>
  <si>
    <t>DAPS - VIP Stack Destination</t>
  </si>
  <si>
    <t>DAPS - VIP Stack Origin</t>
  </si>
  <si>
    <t>ATE</t>
  </si>
  <si>
    <t>ATI</t>
  </si>
  <si>
    <t>BASPOE</t>
  </si>
  <si>
    <t>CBH</t>
  </si>
  <si>
    <t>CPS</t>
  </si>
  <si>
    <t>CSG</t>
  </si>
  <si>
    <t>CTC</t>
  </si>
  <si>
    <t>DAC</t>
  </si>
  <si>
    <t>DCP</t>
  </si>
  <si>
    <t>DFD</t>
  </si>
  <si>
    <t>DFF</t>
  </si>
  <si>
    <t>DFG</t>
  </si>
  <si>
    <t>DFO</t>
  </si>
  <si>
    <t>DID</t>
  </si>
  <si>
    <t>DIN</t>
  </si>
  <si>
    <t>DIO</t>
  </si>
  <si>
    <t>DPD</t>
  </si>
  <si>
    <t>DSH</t>
  </si>
  <si>
    <t>DST</t>
  </si>
  <si>
    <t>DVD</t>
  </si>
  <si>
    <t>DVG</t>
  </si>
  <si>
    <t>DVS</t>
  </si>
  <si>
    <t>EEN</t>
  </si>
  <si>
    <t>FLX</t>
  </si>
  <si>
    <t>GMO</t>
  </si>
  <si>
    <t>IEN</t>
  </si>
  <si>
    <t>LBS</t>
  </si>
  <si>
    <t>LRF</t>
  </si>
  <si>
    <t>OST</t>
  </si>
  <si>
    <t>PLC</t>
  </si>
  <si>
    <t>SA4</t>
  </si>
  <si>
    <t>SA8</t>
  </si>
  <si>
    <t>SB4</t>
  </si>
  <si>
    <t>SHD</t>
  </si>
  <si>
    <t>STY</t>
  </si>
  <si>
    <t>TBU</t>
  </si>
  <si>
    <t>TBU1</t>
  </si>
  <si>
    <t>TCD</t>
  </si>
  <si>
    <t>TCO</t>
  </si>
  <si>
    <t>TO UPDAT</t>
  </si>
  <si>
    <t>VID</t>
  </si>
  <si>
    <t>VIO</t>
  </si>
  <si>
    <t>CVTP</t>
  </si>
  <si>
    <t>Export Clearance Bundle 1</t>
  </si>
  <si>
    <t>Export Clearance Bundle 2</t>
  </si>
  <si>
    <t>Employee insurance 1</t>
  </si>
  <si>
    <t>Employee Insurance 2</t>
  </si>
  <si>
    <t>US00</t>
  </si>
  <si>
    <t>MR00</t>
  </si>
  <si>
    <t>JP00</t>
  </si>
  <si>
    <t>JO00</t>
  </si>
  <si>
    <t>ID00</t>
  </si>
  <si>
    <t>IL00</t>
  </si>
  <si>
    <t>TH00</t>
  </si>
  <si>
    <t>NA00</t>
  </si>
  <si>
    <t>PH00</t>
  </si>
  <si>
    <t>NL00</t>
  </si>
  <si>
    <t>RO00</t>
  </si>
  <si>
    <t>PL00</t>
  </si>
  <si>
    <t>VN00</t>
  </si>
  <si>
    <t>VE00</t>
  </si>
  <si>
    <t>KR00</t>
  </si>
  <si>
    <t>CN00</t>
  </si>
  <si>
    <t>LC00</t>
  </si>
  <si>
    <t>AU00</t>
  </si>
  <si>
    <t>BB00</t>
  </si>
  <si>
    <t>CA00</t>
  </si>
  <si>
    <t>CI00</t>
  </si>
  <si>
    <t>AN00</t>
  </si>
  <si>
    <t>FR00</t>
  </si>
  <si>
    <t>GB00</t>
  </si>
  <si>
    <t>GE00</t>
  </si>
  <si>
    <t>ES00</t>
  </si>
  <si>
    <t>FJ00</t>
  </si>
  <si>
    <t>CR00</t>
  </si>
  <si>
    <t>ME00</t>
  </si>
  <si>
    <t>DE00</t>
  </si>
  <si>
    <t>EC00</t>
  </si>
  <si>
    <t>MG00</t>
  </si>
  <si>
    <t>SE00</t>
  </si>
  <si>
    <t>DK00</t>
  </si>
  <si>
    <t>MV00</t>
  </si>
  <si>
    <t>BG00</t>
  </si>
  <si>
    <t>IN00</t>
  </si>
  <si>
    <t>MA00</t>
  </si>
  <si>
    <t>PT00</t>
  </si>
  <si>
    <t>RS00</t>
  </si>
  <si>
    <t>AE00</t>
  </si>
  <si>
    <t>TZ00</t>
  </si>
  <si>
    <t>CF00</t>
  </si>
  <si>
    <t>KM00</t>
  </si>
  <si>
    <t>DO00</t>
  </si>
  <si>
    <t>BI00</t>
  </si>
  <si>
    <t>GQ00</t>
  </si>
  <si>
    <t>BZ00</t>
  </si>
  <si>
    <t>PA00</t>
  </si>
  <si>
    <t>BH00</t>
  </si>
  <si>
    <t>MZ00</t>
  </si>
  <si>
    <t>ER00</t>
  </si>
  <si>
    <t>ZA00</t>
  </si>
  <si>
    <t>TD00</t>
  </si>
  <si>
    <t>ST00</t>
  </si>
  <si>
    <t>SR00</t>
  </si>
  <si>
    <t>ET00</t>
  </si>
  <si>
    <t>BM00</t>
  </si>
  <si>
    <t>CU00</t>
  </si>
  <si>
    <t>BD00</t>
  </si>
  <si>
    <t>BR00</t>
  </si>
  <si>
    <t>SA00</t>
  </si>
  <si>
    <t>AG00</t>
  </si>
  <si>
    <t>BO00</t>
  </si>
  <si>
    <t>SO00</t>
  </si>
  <si>
    <t>SY00</t>
  </si>
  <si>
    <t>SI00</t>
  </si>
  <si>
    <t>SK00</t>
  </si>
  <si>
    <t>RU00</t>
  </si>
  <si>
    <t>CH00</t>
  </si>
  <si>
    <t>UA00</t>
  </si>
  <si>
    <t>TR00</t>
  </si>
  <si>
    <t>TN00</t>
  </si>
  <si>
    <t>FI00</t>
  </si>
  <si>
    <t>EE00</t>
  </si>
  <si>
    <t>EG00</t>
  </si>
  <si>
    <t>CZ00</t>
  </si>
  <si>
    <t>CY00</t>
  </si>
  <si>
    <t>HR00</t>
  </si>
  <si>
    <t>BE00</t>
  </si>
  <si>
    <t>AT00</t>
  </si>
  <si>
    <t>DZ00</t>
  </si>
  <si>
    <t>NO00</t>
  </si>
  <si>
    <t>MT00</t>
  </si>
  <si>
    <t>LT00</t>
  </si>
  <si>
    <t>LY00</t>
  </si>
  <si>
    <t>LB00</t>
  </si>
  <si>
    <t>LV00</t>
  </si>
  <si>
    <t>IT00</t>
  </si>
  <si>
    <t>IE00</t>
  </si>
  <si>
    <t>HU00</t>
  </si>
  <si>
    <t>GR00</t>
  </si>
  <si>
    <t>MO00</t>
  </si>
  <si>
    <t>MX00</t>
  </si>
  <si>
    <t>MN00</t>
  </si>
  <si>
    <t>MU00</t>
  </si>
  <si>
    <t>MW00</t>
  </si>
  <si>
    <t>KE00</t>
  </si>
  <si>
    <t>JM00</t>
  </si>
  <si>
    <t>SZ00</t>
  </si>
  <si>
    <t>TG00</t>
  </si>
  <si>
    <t>GM00</t>
  </si>
  <si>
    <t>SC00</t>
  </si>
  <si>
    <t>SD00</t>
  </si>
  <si>
    <t>SG00</t>
  </si>
  <si>
    <t>SL00</t>
  </si>
  <si>
    <t>SN00</t>
  </si>
  <si>
    <t>SV00</t>
  </si>
  <si>
    <t>UG00</t>
  </si>
  <si>
    <t>TT00</t>
  </si>
  <si>
    <t>TW00</t>
  </si>
  <si>
    <t>MY00</t>
  </si>
  <si>
    <t>ZM00</t>
  </si>
  <si>
    <t>ZW00</t>
  </si>
  <si>
    <t>PE00</t>
  </si>
  <si>
    <t>NE00</t>
  </si>
  <si>
    <t>NG00</t>
  </si>
  <si>
    <t>NI00</t>
  </si>
  <si>
    <t>NZ00</t>
  </si>
  <si>
    <t>OM00</t>
  </si>
  <si>
    <t>QA00</t>
  </si>
  <si>
    <t>RW00</t>
  </si>
  <si>
    <t>KH00</t>
  </si>
  <si>
    <t>PK00</t>
  </si>
  <si>
    <t>PY00</t>
  </si>
  <si>
    <t>YE00</t>
  </si>
  <si>
    <t>UY00</t>
  </si>
  <si>
    <t>KW00</t>
  </si>
  <si>
    <t>LK00</t>
  </si>
  <si>
    <t>LR00</t>
  </si>
  <si>
    <t>HK00</t>
  </si>
  <si>
    <t>GN00</t>
  </si>
  <si>
    <t>GT00</t>
  </si>
  <si>
    <t>AO00</t>
  </si>
  <si>
    <t>AR00</t>
  </si>
  <si>
    <t>BS00</t>
  </si>
  <si>
    <t>BY00</t>
  </si>
  <si>
    <t>BF00</t>
  </si>
  <si>
    <t>BJ00</t>
  </si>
  <si>
    <t>CD00</t>
  </si>
  <si>
    <t>CG00</t>
  </si>
  <si>
    <t>CL00</t>
  </si>
  <si>
    <t>CM00</t>
  </si>
  <si>
    <t>GA00</t>
  </si>
  <si>
    <t>GH00</t>
  </si>
  <si>
    <t>GY00</t>
  </si>
  <si>
    <t>HN00</t>
  </si>
  <si>
    <t>HT00</t>
  </si>
  <si>
    <t>CO00</t>
  </si>
  <si>
    <t>ML00</t>
  </si>
  <si>
    <t>DJ00</t>
  </si>
  <si>
    <t>GW00</t>
  </si>
  <si>
    <t>LS00</t>
  </si>
  <si>
    <t>IQ00</t>
  </si>
  <si>
    <t>IR00</t>
  </si>
  <si>
    <t>NP00</t>
  </si>
  <si>
    <t>CV00</t>
  </si>
  <si>
    <t>PR00</t>
  </si>
  <si>
    <t>PG00</t>
  </si>
  <si>
    <t>BW00</t>
  </si>
  <si>
    <t>MM00</t>
  </si>
  <si>
    <t>GP00</t>
  </si>
  <si>
    <t>MQ00</t>
  </si>
  <si>
    <t>AW00</t>
  </si>
  <si>
    <t>CW00</t>
  </si>
  <si>
    <t>Business place</t>
  </si>
  <si>
    <t>Bill to Party</t>
  </si>
  <si>
    <t>HS Code</t>
  </si>
  <si>
    <t>Cost Centre</t>
  </si>
  <si>
    <t>O</t>
  </si>
  <si>
    <t>C13</t>
  </si>
  <si>
    <t>IL011177</t>
  </si>
  <si>
    <t>1000IL01</t>
  </si>
  <si>
    <t>USNWK</t>
  </si>
  <si>
    <t>ILHFA</t>
  </si>
  <si>
    <t>MAEU210121421</t>
  </si>
  <si>
    <t>MAERSK COLUMBUS</t>
  </si>
  <si>
    <t>113E</t>
  </si>
  <si>
    <t>Q4E</t>
  </si>
  <si>
    <t>CNSGH</t>
  </si>
  <si>
    <t>MAEU210273417</t>
  </si>
  <si>
    <t>MAERSK HOUSTON</t>
  </si>
  <si>
    <t>116W</t>
  </si>
  <si>
    <t>K1O</t>
  </si>
  <si>
    <t>MRKU0893627</t>
  </si>
  <si>
    <t>DRY</t>
  </si>
  <si>
    <t>MRKU5432628</t>
  </si>
  <si>
    <t>HDRY</t>
  </si>
  <si>
    <t>MAEU208889959</t>
  </si>
  <si>
    <t>MRKU0153683</t>
  </si>
  <si>
    <t>MAERSK HAMBURG</t>
  </si>
  <si>
    <t>107W</t>
  </si>
  <si>
    <t>Y68</t>
  </si>
  <si>
    <t>MAEU608384614</t>
  </si>
  <si>
    <t>MRKU2995485</t>
  </si>
  <si>
    <t>MAERSK SEBAROK</t>
  </si>
  <si>
    <t>112E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</si>
</sst>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0000"/>
    <numFmt numFmtId="165" formatCode="000"/>
    <numFmt numFmtId="166" formatCode="00000"/>
  </numFmts>
  <fonts count="21" x14ac:knownFonts="1">
    <font>
      <sz val="11"/>
      <color theme="1"/>
      <name val="Calibri"/>
      <family val="2"/>
      <scheme val="minor"/>
    </font>
    <font>
      <b/>
      <sz val="11"/>
      <color theme="1"/>
      <name val="Calibri"/>
      <family val="2"/>
      <scheme val="minor"/>
    </font>
    <font>
      <b/>
      <sz val="12"/>
      <color theme="1"/>
      <name val="Calibri"/>
      <family val="2"/>
      <scheme val="minor"/>
    </font>
    <font>
      <i/>
      <sz val="11"/>
      <color theme="1"/>
      <name val="Calibri"/>
      <family val="2"/>
      <scheme val="minor"/>
    </font>
    <font>
      <b/>
      <i/>
      <sz val="11"/>
      <color theme="1"/>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b/>
      <u/>
      <sz val="11"/>
      <color theme="1"/>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b/>
      <sz val="11"/>
      <name val="Calibri"/>
      <family val="2"/>
      <scheme val="minor"/>
    </font>
    <font>
      <sz val="10"/>
      <color rgb="FF000000"/>
      <name val="Arial"/>
      <family val="2"/>
    </font>
    <font>
      <sz val="11"/>
      <color rgb="FF000000"/>
      <name val="Calibri"/>
      <family val="2"/>
      <scheme val="minor"/>
    </font>
    <font>
      <sz val="10"/>
      <name val="Arial"/>
      <family val="2"/>
    </font>
    <font>
      <sz val="11"/>
      <color rgb="FF000000"/>
      <name val="Calibri"/>
      <family val="2"/>
    </font>
    <font>
      <b/>
      <sz val="11"/>
      <color rgb="FF000000"/>
      <name val="Calibri"/>
      <family val="2"/>
    </font>
    <font>
      <sz val="7"/>
      <color rgb="FF32363A"/>
      <name val="Arial"/>
      <family val="2"/>
    </font>
    <font>
      <sz val="11"/>
      <color rgb="FF000000"/>
      <name val="Verdana"/>
      <family val="2"/>
    </font>
  </fonts>
  <fills count="16">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E699"/>
        <bgColor indexed="64"/>
      </patternFill>
    </fill>
    <fill>
      <patternFill patternType="solid">
        <fgColor rgb="FFC6E0B4"/>
        <bgColor indexed="64"/>
      </patternFill>
    </fill>
    <fill>
      <patternFill patternType="solid">
        <fgColor indexed="22"/>
        <bgColor indexed="64"/>
      </patternFill>
    </fill>
    <fill>
      <patternFill patternType="solid">
        <fgColor theme="0"/>
        <bgColor indexed="64"/>
      </patternFill>
    </fill>
    <fill>
      <patternFill patternType="solid">
        <fgColor rgb="FFFFC7CE"/>
        <bgColor indexed="64"/>
      </patternFill>
    </fill>
    <fill>
      <patternFill patternType="solid">
        <fgColor theme="2" tint="-0.249977111117893"/>
        <bgColor indexed="64"/>
      </patternFill>
    </fill>
    <fill>
      <patternFill patternType="solid">
        <fgColor rgb="FFFF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12" fillId="0" borderId="0"/>
    <xf numFmtId="0" fontId="16" fillId="0" borderId="0"/>
  </cellStyleXfs>
  <cellXfs count="76">
    <xf numFmtId="0" fontId="0" fillId="0" borderId="0" xfId="0"/>
    <xf numFmtId="0" fontId="2" fillId="0" borderId="0" xfId="0" applyFont="1"/>
    <xf numFmtId="0" fontId="1" fillId="0" borderId="0" xfId="0" applyFont="1"/>
    <xf numFmtId="0" fontId="0" fillId="0" borderId="0" xfId="0" applyAlignment="1">
      <alignment wrapText="1"/>
    </xf>
    <xf numFmtId="0" fontId="1" fillId="2" borderId="0" xfId="0" applyFont="1" applyFill="1"/>
    <xf numFmtId="0" fontId="0" fillId="3" borderId="0" xfId="0" applyFill="1" applyAlignment="1">
      <alignment vertical="top"/>
    </xf>
    <xf numFmtId="0" fontId="0" fillId="0" borderId="0" xfId="0" applyAlignment="1">
      <alignment vertical="top"/>
    </xf>
    <xf numFmtId="0" fontId="0" fillId="3" borderId="0" xfId="0" applyFill="1"/>
    <xf numFmtId="0" fontId="1" fillId="0" borderId="0" xfId="0" applyFont="1" applyProtection="1">
      <protection locked="0"/>
    </xf>
    <xf numFmtId="0" fontId="7" fillId="0" borderId="0" xfId="0" applyFont="1" applyProtection="1">
      <protection locked="0"/>
    </xf>
    <xf numFmtId="49" fontId="7" fillId="0" borderId="0" xfId="0" applyNumberFormat="1" applyFont="1" applyProtection="1">
      <protection locked="0"/>
    </xf>
    <xf numFmtId="0" fontId="7" fillId="0" borderId="0" xfId="0" quotePrefix="1" applyFont="1" applyProtection="1">
      <protection locked="0"/>
    </xf>
    <xf numFmtId="0" fontId="1" fillId="2" borderId="0" xfId="0" applyFont="1" applyFill="1" applyAlignment="1">
      <alignment wrapText="1"/>
    </xf>
    <xf numFmtId="0" fontId="0" fillId="6" borderId="0" xfId="0" applyFill="1"/>
    <xf numFmtId="0" fontId="0" fillId="5" borderId="0" xfId="0" applyFill="1"/>
    <xf numFmtId="0" fontId="0" fillId="7" borderId="0" xfId="0" applyFill="1"/>
    <xf numFmtId="0" fontId="0" fillId="8" borderId="0" xfId="0" quotePrefix="1" applyFill="1"/>
    <xf numFmtId="0" fontId="8" fillId="0" borderId="0" xfId="0" applyFont="1"/>
    <xf numFmtId="0" fontId="3" fillId="0" borderId="0" xfId="0" applyFont="1"/>
    <xf numFmtId="49" fontId="7" fillId="0" borderId="0" xfId="0" applyNumberFormat="1" applyFont="1" applyAlignment="1">
      <alignment horizontal="right"/>
    </xf>
    <xf numFmtId="0" fontId="0" fillId="0" borderId="0" xfId="0" applyAlignment="1">
      <alignment horizontal="right"/>
    </xf>
    <xf numFmtId="0" fontId="5" fillId="4" borderId="0" xfId="0" applyFont="1" applyFill="1"/>
    <xf numFmtId="0" fontId="6" fillId="4" borderId="0" xfId="0" applyFont="1" applyFill="1"/>
    <xf numFmtId="0" fontId="5" fillId="5" borderId="0" xfId="0" applyFont="1" applyFill="1"/>
    <xf numFmtId="0" fontId="1" fillId="0" borderId="0" xfId="0" applyFont="1" applyAlignment="1">
      <alignment horizontal="center"/>
    </xf>
    <xf numFmtId="0" fontId="12" fillId="11" borderId="1" xfId="1" applyFill="1" applyBorder="1" applyAlignment="1">
      <alignment vertical="top"/>
    </xf>
    <xf numFmtId="0" fontId="12" fillId="11" borderId="1" xfId="1" applyFill="1" applyBorder="1" applyAlignment="1">
      <alignment vertical="top" wrapText="1"/>
    </xf>
    <xf numFmtId="0" fontId="0" fillId="12" borderId="0" xfId="0" applyFill="1" applyProtection="1">
      <protection locked="0"/>
    </xf>
    <xf numFmtId="0" fontId="0" fillId="12" borderId="0" xfId="0" applyFill="1" applyAlignment="1" applyProtection="1">
      <alignment horizontal="center"/>
      <protection locked="0"/>
    </xf>
    <xf numFmtId="0" fontId="1" fillId="12" borderId="0" xfId="0" applyFont="1" applyFill="1" applyProtection="1">
      <protection locked="0"/>
    </xf>
    <xf numFmtId="49" fontId="1" fillId="12" borderId="0" xfId="0" applyNumberFormat="1" applyFont="1" applyFill="1" applyProtection="1">
      <protection locked="0"/>
    </xf>
    <xf numFmtId="49" fontId="4" fillId="12" borderId="0" xfId="0" applyNumberFormat="1" applyFont="1" applyFill="1" applyProtection="1">
      <protection locked="0"/>
    </xf>
    <xf numFmtId="0" fontId="4" fillId="12" borderId="0" xfId="0" applyFont="1" applyFill="1" applyProtection="1">
      <protection locked="0"/>
    </xf>
    <xf numFmtId="49" fontId="5" fillId="12" borderId="0" xfId="0" applyNumberFormat="1" applyFont="1" applyFill="1" applyProtection="1">
      <protection locked="0"/>
    </xf>
    <xf numFmtId="0" fontId="1" fillId="10" borderId="0" xfId="0" applyFont="1" applyFill="1"/>
    <xf numFmtId="164" fontId="5" fillId="5" borderId="0" xfId="0" applyNumberFormat="1" applyFont="1" applyFill="1"/>
    <xf numFmtId="0" fontId="1" fillId="5" borderId="0" xfId="0" applyFont="1" applyFill="1"/>
    <xf numFmtId="0" fontId="1" fillId="9" borderId="0" xfId="0" applyFont="1" applyFill="1"/>
    <xf numFmtId="0" fontId="0" fillId="10" borderId="0" xfId="0" applyFill="1" applyProtection="1">
      <protection locked="0"/>
    </xf>
    <xf numFmtId="0" fontId="6" fillId="5" borderId="0" xfId="0" applyFont="1" applyFill="1" applyProtection="1">
      <protection locked="0"/>
    </xf>
    <xf numFmtId="0" fontId="0" fillId="9" borderId="0" xfId="0" applyFill="1" applyProtection="1">
      <protection locked="0"/>
    </xf>
    <xf numFmtId="0" fontId="6" fillId="12" borderId="0" xfId="0" applyFont="1" applyFill="1"/>
    <xf numFmtId="164" fontId="6" fillId="12" borderId="0" xfId="0" applyNumberFormat="1" applyFont="1" applyFill="1" applyProtection="1">
      <protection locked="0"/>
    </xf>
    <xf numFmtId="0" fontId="6" fillId="12" borderId="0" xfId="0" applyFont="1" applyFill="1" applyProtection="1">
      <protection locked="0"/>
    </xf>
    <xf numFmtId="0" fontId="0" fillId="12" borderId="0" xfId="0" quotePrefix="1" applyFill="1" applyProtection="1">
      <protection locked="0"/>
    </xf>
    <xf numFmtId="166" fontId="0" fillId="12" borderId="0" xfId="0" applyNumberFormat="1" applyFill="1" applyProtection="1">
      <protection locked="0"/>
    </xf>
    <xf numFmtId="165" fontId="0" fillId="12" borderId="0" xfId="0" applyNumberFormat="1" applyFill="1" applyProtection="1">
      <protection locked="0"/>
    </xf>
    <xf numFmtId="0" fontId="1" fillId="12" borderId="0" xfId="0" applyFont="1" applyFill="1"/>
    <xf numFmtId="14" fontId="0" fillId="12" borderId="0" xfId="0" applyNumberFormat="1" applyFill="1" applyProtection="1">
      <protection locked="0"/>
    </xf>
    <xf numFmtId="0" fontId="13" fillId="4" borderId="0" xfId="0" applyFont="1" applyFill="1"/>
    <xf numFmtId="0" fontId="14" fillId="0" borderId="0" xfId="0" applyFont="1"/>
    <xf numFmtId="0" fontId="15" fillId="0" borderId="0" xfId="0" applyFont="1" applyAlignment="1">
      <alignment vertical="center"/>
    </xf>
    <xf numFmtId="0" fontId="1" fillId="13" borderId="0" xfId="0" applyFont="1" applyFill="1"/>
    <xf numFmtId="0" fontId="0" fillId="13" borderId="0" xfId="0" applyFill="1" applyProtection="1">
      <protection locked="0"/>
    </xf>
    <xf numFmtId="0" fontId="1" fillId="6" borderId="0" xfId="0" applyFont="1" applyFill="1"/>
    <xf numFmtId="0" fontId="0" fillId="0" borderId="2" xfId="0" applyBorder="1"/>
    <xf numFmtId="0" fontId="0" fillId="0" borderId="0" xfId="0" applyAlignment="1">
      <alignment horizontal="left" vertical="center"/>
    </xf>
    <xf numFmtId="2" fontId="7" fillId="0" borderId="0" xfId="0" applyNumberFormat="1" applyFont="1" applyProtection="1">
      <protection locked="0"/>
    </xf>
    <xf numFmtId="3" fontId="7" fillId="0" borderId="0" xfId="0" applyNumberFormat="1" applyFont="1" applyProtection="1">
      <protection locked="0"/>
    </xf>
    <xf numFmtId="0" fontId="15" fillId="0" borderId="0" xfId="0" applyFont="1" applyAlignment="1">
      <alignment horizontal="left" vertical="center"/>
    </xf>
    <xf numFmtId="0" fontId="17" fillId="0" borderId="3" xfId="0" applyFont="1" applyBorder="1" applyAlignment="1">
      <alignment vertical="center"/>
    </xf>
    <xf numFmtId="0" fontId="18" fillId="0" borderId="4" xfId="0" applyFont="1" applyBorder="1" applyAlignment="1">
      <alignment vertical="center"/>
    </xf>
    <xf numFmtId="0" fontId="18" fillId="0" borderId="5" xfId="0" applyFont="1" applyBorder="1" applyAlignment="1">
      <alignment vertical="center"/>
    </xf>
    <xf numFmtId="0" fontId="17" fillId="0" borderId="6" xfId="0" applyFont="1" applyBorder="1" applyAlignment="1">
      <alignment vertical="center"/>
    </xf>
    <xf numFmtId="0" fontId="6" fillId="14" borderId="0" xfId="0" applyFont="1" applyFill="1"/>
    <xf numFmtId="0" fontId="0" fillId="9" borderId="0" xfId="0" applyFill="1" applyAlignment="1" applyProtection="1">
      <alignment wrapText="1"/>
      <protection locked="0"/>
    </xf>
    <xf numFmtId="0" fontId="1" fillId="15" borderId="0" xfId="0" applyFont="1" applyFill="1"/>
    <xf numFmtId="0" fontId="0" fillId="0" borderId="0" xfId="0" quotePrefix="1"/>
    <xf numFmtId="0" fontId="0" fillId="0" borderId="0" xfId="0" applyAlignment="1">
      <alignment vertical="center" wrapText="1"/>
    </xf>
    <xf numFmtId="49" fontId="0" fillId="9" borderId="0" xfId="0" applyNumberFormat="1" applyFill="1" applyProtection="1">
      <protection locked="0"/>
    </xf>
    <xf numFmtId="0" fontId="12" fillId="11" borderId="1" xfId="0" applyFont="1" applyFill="1" applyBorder="1" applyAlignment="1">
      <alignment vertical="top" wrapText="1"/>
    </xf>
    <xf numFmtId="0" fontId="19" fillId="5" borderId="0" xfId="0" applyFont="1" applyFill="1" applyProtection="1">
      <protection locked="0"/>
    </xf>
    <xf numFmtId="164" fontId="19" fillId="5" borderId="0" xfId="0" applyNumberFormat="1" applyFont="1" applyFill="1" applyAlignment="1" applyProtection="1">
      <alignment wrapText="1"/>
      <protection locked="0"/>
    </xf>
    <xf numFmtId="0" fontId="20" fillId="5" borderId="0" xfId="0" applyFont="1" applyFill="1" applyProtection="1">
      <protection locked="0"/>
    </xf>
    <xf numFmtId="0" fontId="15" fillId="9" borderId="0" xfId="0" applyFont="1" applyFill="1" applyProtection="1">
      <protection locked="0"/>
    </xf>
    <xf numFmtId="0" fontId="1" fillId="0" borderId="0" xfId="0" applyFont="1" applyAlignment="1">
      <alignment horizontal="center"/>
    </xf>
  </cellXfs>
  <cellStyles count="3">
    <cellStyle name="Normal" xfId="0" builtinId="0"/>
    <cellStyle name="Normal 2" xfId="1" xr:uid="{3C8E5188-7334-41A9-8B69-A0D35C608DF8}"/>
    <cellStyle name="Normal 2 2" xfId="2" xr:uid="{1AF93137-8ABE-45EF-ADB8-517866BCCCB6}"/>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6E0B4"/>
      <color rgb="FFFFFF66"/>
      <color rgb="FFFFE699"/>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11.emf"/><Relationship Id="rId5" Type="http://schemas.openxmlformats.org/officeDocument/2006/relationships/image" Target="../media/image10.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12</xdr:col>
      <xdr:colOff>124510</xdr:colOff>
      <xdr:row>8</xdr:row>
      <xdr:rowOff>149411</xdr:rowOff>
    </xdr:from>
    <xdr:to>
      <xdr:col>17</xdr:col>
      <xdr:colOff>373529</xdr:colOff>
      <xdr:row>17</xdr:row>
      <xdr:rowOff>18677</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987304" y="1643529"/>
          <a:ext cx="3299509" cy="15501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a:t>
          </a:r>
          <a:r>
            <a:rPr lang="en-GB" sz="1100" baseline="0"/>
            <a:t> re changing field names:</a:t>
          </a:r>
        </a:p>
        <a:p>
          <a:r>
            <a:rPr lang="en-GB" sz="1100" baseline="0"/>
            <a:t>If you change the name of a field on the BIT Upload form. The changed field must be entered in the appropriate place in the "Main items Desc" column and also in the PUBLICVARIABLES module in the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578223</xdr:colOff>
      <xdr:row>6</xdr:row>
      <xdr:rowOff>77693</xdr:rowOff>
    </xdr:from>
    <xdr:to>
      <xdr:col>8</xdr:col>
      <xdr:colOff>219919</xdr:colOff>
      <xdr:row>23</xdr:row>
      <xdr:rowOff>39593</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578223" y="1205752"/>
          <a:ext cx="8733402" cy="3136900"/>
          <a:chOff x="635000" y="1212850"/>
          <a:chExt cx="8718834" cy="3092450"/>
        </a:xfrm>
      </xdr:grpSpPr>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0" y="1212850"/>
            <a:ext cx="6451600" cy="30924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013450" y="1830798"/>
            <a:ext cx="3340384" cy="1852360"/>
          </a:xfrm>
          <a:prstGeom prst="rect">
            <a:avLst/>
          </a:prstGeom>
        </xdr:spPr>
      </xdr:pic>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V="1">
            <a:off x="4743450" y="2540000"/>
            <a:ext cx="1276350" cy="2476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91142</xdr:colOff>
      <xdr:row>41</xdr:row>
      <xdr:rowOff>123041</xdr:rowOff>
    </xdr:from>
    <xdr:to>
      <xdr:col>4</xdr:col>
      <xdr:colOff>491355</xdr:colOff>
      <xdr:row>54</xdr:row>
      <xdr:rowOff>7643</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703730" y="8512512"/>
          <a:ext cx="6428978" cy="2312543"/>
          <a:chOff x="660400" y="7176770"/>
          <a:chExt cx="6426363" cy="2278553"/>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660400" y="7176770"/>
            <a:ext cx="4089716" cy="2278553"/>
          </a:xfrm>
          <a:prstGeom prst="rect">
            <a:avLst/>
          </a:prstGeom>
        </xdr:spPr>
      </xdr:pic>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
          <a:stretch>
            <a:fillRect/>
          </a:stretch>
        </xdr:blipFill>
        <xdr:spPr>
          <a:xfrm>
            <a:off x="5071048" y="7340600"/>
            <a:ext cx="2015715" cy="1898804"/>
          </a:xfrm>
          <a:prstGeom prst="rect">
            <a:avLst/>
          </a:prstGeom>
        </xdr:spPr>
      </xdr:pic>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4508500" y="8274050"/>
            <a:ext cx="571500" cy="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23907</xdr:colOff>
      <xdr:row>58</xdr:row>
      <xdr:rowOff>41463</xdr:rowOff>
    </xdr:from>
    <xdr:to>
      <xdr:col>6</xdr:col>
      <xdr:colOff>487084</xdr:colOff>
      <xdr:row>65</xdr:row>
      <xdr:rowOff>169259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a:stretch>
          <a:fillRect/>
        </a:stretch>
      </xdr:blipFill>
      <xdr:spPr>
        <a:xfrm>
          <a:off x="636495" y="11605934"/>
          <a:ext cx="7717118" cy="14351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1016000</xdr:colOff>
          <xdr:row>0</xdr:row>
          <xdr:rowOff>0</xdr:rowOff>
        </xdr:from>
        <xdr:to>
          <xdr:col>6</xdr:col>
          <xdr:colOff>146050</xdr:colOff>
          <xdr:row>3</xdr:row>
          <xdr:rowOff>19050</xdr:rowOff>
        </xdr:to>
        <xdr:sp macro="" textlink="">
          <xdr:nvSpPr>
            <xdr:cNvPr id="4097" name="btnAddMainItem"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25400</xdr:colOff>
          <xdr:row>0</xdr:row>
          <xdr:rowOff>0</xdr:rowOff>
        </xdr:from>
        <xdr:to>
          <xdr:col>2</xdr:col>
          <xdr:colOff>939800</xdr:colOff>
          <xdr:row>3</xdr:row>
          <xdr:rowOff>19050</xdr:rowOff>
        </xdr:to>
        <xdr:sp macro="" textlink="">
          <xdr:nvSpPr>
            <xdr:cNvPr id="4099" name="btnExtractFil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82550</xdr:colOff>
          <xdr:row>0</xdr:row>
          <xdr:rowOff>0</xdr:rowOff>
        </xdr:from>
        <xdr:to>
          <xdr:col>4</xdr:col>
          <xdr:colOff>736600</xdr:colOff>
          <xdr:row>3</xdr:row>
          <xdr:rowOff>19050</xdr:rowOff>
        </xdr:to>
        <xdr:sp macro="" textlink="">
          <xdr:nvSpPr>
            <xdr:cNvPr id="4107" name="btnChangeInvoiceType"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469900</xdr:colOff>
          <xdr:row>0</xdr:row>
          <xdr:rowOff>0</xdr:rowOff>
        </xdr:from>
        <xdr:to>
          <xdr:col>7</xdr:col>
          <xdr:colOff>1168400</xdr:colOff>
          <xdr:row>3</xdr:row>
          <xdr:rowOff>19050</xdr:rowOff>
        </xdr:to>
        <xdr:sp macro="" textlink="">
          <xdr:nvSpPr>
            <xdr:cNvPr id="4115" name="btnRemoveMainItem"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596900</xdr:colOff>
          <xdr:row>0</xdr:row>
          <xdr:rowOff>0</xdr:rowOff>
        </xdr:from>
        <xdr:to>
          <xdr:col>9</xdr:col>
          <xdr:colOff>1428750</xdr:colOff>
          <xdr:row>3</xdr:row>
          <xdr:rowOff>31750</xdr:rowOff>
        </xdr:to>
        <xdr:sp macro="" textlink="">
          <xdr:nvSpPr>
            <xdr:cNvPr id="4121" name="CommandButton1" hidden="1">
              <a:extLst>
                <a:ext uri="{63B3BB69-23CF-44E3-9099-C40C66FF867C}">
                  <a14:compatExt spid="_x0000_s4121"/>
                </a:ext>
                <a:ext uri="{FF2B5EF4-FFF2-40B4-BE49-F238E27FC236}">
                  <a16:creationId xmlns:a16="http://schemas.microsoft.com/office/drawing/2014/main" id="{00000000-0008-0000-02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203200</xdr:colOff>
          <xdr:row>0</xdr:row>
          <xdr:rowOff>0</xdr:rowOff>
        </xdr:from>
        <xdr:to>
          <xdr:col>11</xdr:col>
          <xdr:colOff>800100</xdr:colOff>
          <xdr:row>3</xdr:row>
          <xdr:rowOff>31750</xdr:rowOff>
        </xdr:to>
        <xdr:sp macro="" textlink="">
          <xdr:nvSpPr>
            <xdr:cNvPr id="4122" name="CommandButton2" hidden="1">
              <a:extLst>
                <a:ext uri="{63B3BB69-23CF-44E3-9099-C40C66FF867C}">
                  <a14:compatExt spid="_x0000_s4122"/>
                </a:ext>
                <a:ext uri="{FF2B5EF4-FFF2-40B4-BE49-F238E27FC236}">
                  <a16:creationId xmlns:a16="http://schemas.microsoft.com/office/drawing/2014/main" id="{00000000-0008-0000-02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0.emf"/><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8.emf"/><Relationship Id="rId1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F5161-FB2C-4708-B673-5C333D62AC9C}">
  <sheetPr codeName="Sheet4"/>
  <dimension ref="A2:AR16384"/>
  <sheetViews>
    <sheetView topLeftCell="N51" zoomScale="102" workbookViewId="0">
      <selection activeCell="S68" sqref="S68"/>
    </sheetView>
  </sheetViews>
  <sheetFormatPr defaultRowHeight="14.5" x14ac:dyDescent="0.35"/>
  <cols>
    <col min="2" max="2" width="16.453125" bestFit="1" customWidth="1"/>
    <col min="19" max="19" width="21" bestFit="1" customWidth="1"/>
    <col min="20" max="20" width="21" customWidth="1"/>
    <col min="21" max="21" width="3.453125" customWidth="1"/>
    <col min="22" max="22" width="21.54296875" bestFit="1" customWidth="1"/>
    <col min="23" max="23" width="21.54296875" customWidth="1"/>
    <col min="25" max="25" width="28.54296875" customWidth="1"/>
    <col min="26" max="26" width="12.453125" bestFit="1" customWidth="1"/>
    <col min="28" max="28" width="39.1796875" bestFit="1" customWidth="1"/>
    <col min="29" max="29" width="9.81640625" customWidth="1"/>
    <col min="30" max="30" width="11.81640625" bestFit="1" customWidth="1"/>
    <col min="31" max="32" width="11.81640625" customWidth="1"/>
    <col min="34" max="34" width="18.81640625" customWidth="1"/>
  </cols>
  <sheetData>
    <row r="2" spans="1:44" x14ac:dyDescent="0.35">
      <c r="A2" s="2" t="s">
        <v>21</v>
      </c>
      <c r="B2" s="2" t="s">
        <v>22</v>
      </c>
      <c r="D2" s="2" t="s">
        <v>21</v>
      </c>
      <c r="E2" s="2" t="s">
        <v>23</v>
      </c>
      <c r="G2" s="2" t="s">
        <v>23</v>
      </c>
      <c r="H2" s="2" t="s">
        <v>24</v>
      </c>
      <c r="J2" s="2" t="s">
        <v>21</v>
      </c>
      <c r="K2" s="2" t="s">
        <v>24</v>
      </c>
      <c r="L2" s="2" t="s">
        <v>22</v>
      </c>
      <c r="M2" s="2"/>
      <c r="O2" s="2" t="s">
        <v>25</v>
      </c>
      <c r="Q2" s="2" t="s">
        <v>26</v>
      </c>
      <c r="S2" s="2" t="s">
        <v>27</v>
      </c>
      <c r="T2" s="2" t="s">
        <v>28</v>
      </c>
      <c r="V2" s="2" t="s">
        <v>29</v>
      </c>
      <c r="W2" s="2" t="s">
        <v>30</v>
      </c>
      <c r="X2" s="2"/>
      <c r="Y2" s="24" t="s">
        <v>31</v>
      </c>
      <c r="Z2" s="24"/>
      <c r="AB2" s="2" t="s">
        <v>32</v>
      </c>
      <c r="AC2" s="2" t="s">
        <v>33</v>
      </c>
      <c r="AD2" s="2" t="s">
        <v>34</v>
      </c>
      <c r="AE2" s="2" t="s">
        <v>35</v>
      </c>
      <c r="AF2" s="2" t="s">
        <v>36</v>
      </c>
      <c r="AG2" s="2"/>
      <c r="AH2" s="2" t="s">
        <v>37</v>
      </c>
      <c r="AI2" s="2"/>
      <c r="AK2" s="2" t="s">
        <v>38</v>
      </c>
      <c r="AL2" s="2" t="s">
        <v>39</v>
      </c>
      <c r="AM2" s="2" t="s">
        <v>40</v>
      </c>
      <c r="AR2" t="s">
        <v>41</v>
      </c>
    </row>
    <row r="3" spans="1:44" x14ac:dyDescent="0.35">
      <c r="A3" t="s">
        <v>42</v>
      </c>
      <c r="B3" t="s">
        <v>43</v>
      </c>
      <c r="D3" t="s">
        <v>42</v>
      </c>
      <c r="E3" t="s">
        <v>44</v>
      </c>
      <c r="G3" t="s">
        <v>44</v>
      </c>
      <c r="H3" t="s">
        <v>45</v>
      </c>
      <c r="J3" t="s">
        <v>42</v>
      </c>
      <c r="K3" t="s">
        <v>45</v>
      </c>
      <c r="L3" t="s">
        <v>43</v>
      </c>
      <c r="O3" t="s">
        <v>46</v>
      </c>
      <c r="Q3" t="s">
        <v>47</v>
      </c>
      <c r="S3" s="9" t="s">
        <v>48</v>
      </c>
      <c r="T3" s="9" t="s">
        <v>48</v>
      </c>
      <c r="V3" s="9" t="s">
        <v>49</v>
      </c>
      <c r="W3" s="9" t="s">
        <v>49</v>
      </c>
      <c r="X3" s="9"/>
      <c r="Y3" t="s">
        <v>50</v>
      </c>
      <c r="Z3" s="20" t="s">
        <v>51</v>
      </c>
      <c r="AB3" t="s">
        <v>52</v>
      </c>
      <c r="AC3">
        <v>16</v>
      </c>
      <c r="AD3" t="s">
        <v>53</v>
      </c>
      <c r="AE3" t="s">
        <v>54</v>
      </c>
      <c r="AF3" t="s">
        <v>55</v>
      </c>
      <c r="AH3" t="s">
        <v>23</v>
      </c>
      <c r="AI3" t="s">
        <v>56</v>
      </c>
      <c r="AJ3" s="2"/>
      <c r="AK3" s="51" t="s">
        <v>57</v>
      </c>
      <c r="AL3" t="s">
        <v>58</v>
      </c>
      <c r="AM3" t="s">
        <v>59</v>
      </c>
      <c r="AR3" t="s">
        <v>60</v>
      </c>
    </row>
    <row r="4" spans="1:44" x14ac:dyDescent="0.35">
      <c r="A4" t="s">
        <v>61</v>
      </c>
      <c r="B4" t="s">
        <v>62</v>
      </c>
      <c r="D4" t="s">
        <v>42</v>
      </c>
      <c r="E4" t="s">
        <v>63</v>
      </c>
      <c r="G4" t="s">
        <v>44</v>
      </c>
      <c r="H4" t="s">
        <v>64</v>
      </c>
      <c r="K4" t="s">
        <v>64</v>
      </c>
      <c r="O4" t="s">
        <v>65</v>
      </c>
      <c r="Q4" t="s">
        <v>66</v>
      </c>
      <c r="S4" s="9" t="s">
        <v>67</v>
      </c>
      <c r="T4" s="9" t="s">
        <v>68</v>
      </c>
      <c r="V4" s="9" t="s">
        <v>67</v>
      </c>
      <c r="W4" s="9" t="s">
        <v>68</v>
      </c>
      <c r="Y4" t="s">
        <v>69</v>
      </c>
      <c r="Z4" s="20" t="s">
        <v>70</v>
      </c>
      <c r="AB4" t="s">
        <v>71</v>
      </c>
      <c r="AC4">
        <v>30</v>
      </c>
      <c r="AD4" t="s">
        <v>72</v>
      </c>
      <c r="AE4" t="s">
        <v>54</v>
      </c>
      <c r="AH4" t="s">
        <v>73</v>
      </c>
      <c r="AK4" s="51" t="s">
        <v>74</v>
      </c>
      <c r="AL4" t="s">
        <v>58</v>
      </c>
      <c r="AM4" t="s">
        <v>75</v>
      </c>
      <c r="AR4" t="s">
        <v>76</v>
      </c>
    </row>
    <row r="5" spans="1:44" x14ac:dyDescent="0.35">
      <c r="A5" t="s">
        <v>77</v>
      </c>
      <c r="B5" t="s">
        <v>78</v>
      </c>
      <c r="D5" t="s">
        <v>42</v>
      </c>
      <c r="E5" t="s">
        <v>79</v>
      </c>
      <c r="G5" t="s">
        <v>44</v>
      </c>
      <c r="H5" t="s">
        <v>80</v>
      </c>
      <c r="K5" t="s">
        <v>80</v>
      </c>
      <c r="O5" t="s">
        <v>81</v>
      </c>
      <c r="Q5" t="s">
        <v>82</v>
      </c>
      <c r="S5" s="10" t="s">
        <v>83</v>
      </c>
      <c r="T5" s="9" t="s">
        <v>84</v>
      </c>
      <c r="V5" s="9" t="s">
        <v>83</v>
      </c>
      <c r="W5" s="9" t="s">
        <v>84</v>
      </c>
      <c r="Y5" t="s">
        <v>85</v>
      </c>
      <c r="Z5" s="19" t="s">
        <v>86</v>
      </c>
      <c r="AB5" t="s">
        <v>87</v>
      </c>
      <c r="AC5">
        <v>31</v>
      </c>
      <c r="AD5" t="s">
        <v>72</v>
      </c>
      <c r="AE5" t="s">
        <v>54</v>
      </c>
      <c r="AK5" s="51" t="s">
        <v>88</v>
      </c>
      <c r="AL5" t="s">
        <v>58</v>
      </c>
      <c r="AM5" t="s">
        <v>89</v>
      </c>
      <c r="AR5" t="s">
        <v>90</v>
      </c>
    </row>
    <row r="6" spans="1:44" x14ac:dyDescent="0.35">
      <c r="A6" t="s">
        <v>91</v>
      </c>
      <c r="B6" t="s">
        <v>92</v>
      </c>
      <c r="D6" t="s">
        <v>42</v>
      </c>
      <c r="E6" t="s">
        <v>93</v>
      </c>
      <c r="F6" t="s">
        <v>56</v>
      </c>
      <c r="G6" t="s">
        <v>94</v>
      </c>
      <c r="H6" t="s">
        <v>45</v>
      </c>
      <c r="J6" t="s">
        <v>61</v>
      </c>
      <c r="K6" t="s">
        <v>45</v>
      </c>
      <c r="L6" t="s">
        <v>62</v>
      </c>
      <c r="O6" t="s">
        <v>95</v>
      </c>
      <c r="Q6" t="s">
        <v>96</v>
      </c>
      <c r="S6" s="10" t="s">
        <v>97</v>
      </c>
      <c r="T6" s="9" t="s">
        <v>98</v>
      </c>
      <c r="V6" s="9" t="s">
        <v>97</v>
      </c>
      <c r="W6" s="9" t="s">
        <v>98</v>
      </c>
      <c r="Y6" t="s">
        <v>99</v>
      </c>
      <c r="Z6" s="19" t="s">
        <v>100</v>
      </c>
      <c r="AK6" s="51" t="s">
        <v>101</v>
      </c>
      <c r="AL6" t="s">
        <v>58</v>
      </c>
      <c r="AM6" t="s">
        <v>102</v>
      </c>
      <c r="AR6" t="s">
        <v>103</v>
      </c>
    </row>
    <row r="7" spans="1:44" x14ac:dyDescent="0.35">
      <c r="A7" t="s">
        <v>104</v>
      </c>
      <c r="B7" t="s">
        <v>105</v>
      </c>
      <c r="D7" t="s">
        <v>42</v>
      </c>
      <c r="E7" t="s">
        <v>106</v>
      </c>
      <c r="G7" t="s">
        <v>63</v>
      </c>
      <c r="H7" t="s">
        <v>64</v>
      </c>
      <c r="K7" t="s">
        <v>64</v>
      </c>
      <c r="Q7" t="s">
        <v>107</v>
      </c>
      <c r="S7" s="10" t="s">
        <v>108</v>
      </c>
      <c r="T7" s="9" t="s">
        <v>109</v>
      </c>
      <c r="V7" s="9" t="s">
        <v>108</v>
      </c>
      <c r="W7" s="9" t="s">
        <v>109</v>
      </c>
      <c r="Y7" s="9" t="s">
        <v>68</v>
      </c>
      <c r="Z7" s="20" t="s">
        <v>105</v>
      </c>
      <c r="AK7" s="51" t="s">
        <v>110</v>
      </c>
      <c r="AL7" t="s">
        <v>58</v>
      </c>
      <c r="AM7" t="s">
        <v>111</v>
      </c>
      <c r="AR7" t="s">
        <v>112</v>
      </c>
    </row>
    <row r="8" spans="1:44" x14ac:dyDescent="0.35">
      <c r="D8" t="s">
        <v>42</v>
      </c>
      <c r="E8" t="s">
        <v>113</v>
      </c>
      <c r="G8" t="s">
        <v>63</v>
      </c>
      <c r="H8" t="s">
        <v>80</v>
      </c>
      <c r="K8" t="s">
        <v>80</v>
      </c>
      <c r="Q8" t="s">
        <v>114</v>
      </c>
      <c r="S8" s="10" t="s">
        <v>115</v>
      </c>
      <c r="T8" s="9" t="s">
        <v>116</v>
      </c>
      <c r="V8" s="10" t="s">
        <v>115</v>
      </c>
      <c r="W8" s="9" t="s">
        <v>116</v>
      </c>
      <c r="Y8" s="9" t="s">
        <v>117</v>
      </c>
      <c r="Z8" s="20" t="s">
        <v>70</v>
      </c>
      <c r="AK8" s="51" t="s">
        <v>118</v>
      </c>
      <c r="AL8" t="s">
        <v>58</v>
      </c>
      <c r="AM8" t="s">
        <v>119</v>
      </c>
      <c r="AR8" t="s">
        <v>120</v>
      </c>
    </row>
    <row r="9" spans="1:44" x14ac:dyDescent="0.35">
      <c r="D9" t="s">
        <v>61</v>
      </c>
      <c r="E9" t="s">
        <v>44</v>
      </c>
      <c r="G9" t="s">
        <v>79</v>
      </c>
      <c r="H9" t="s">
        <v>45</v>
      </c>
      <c r="J9" t="s">
        <v>77</v>
      </c>
      <c r="K9" t="s">
        <v>45</v>
      </c>
      <c r="L9" t="s">
        <v>78</v>
      </c>
      <c r="Q9" t="s">
        <v>121</v>
      </c>
      <c r="S9" s="10" t="s">
        <v>122</v>
      </c>
      <c r="T9" s="9" t="s">
        <v>23</v>
      </c>
      <c r="V9" s="9" t="s">
        <v>123</v>
      </c>
      <c r="W9" s="9" t="s">
        <v>124</v>
      </c>
      <c r="Y9" s="9" t="s">
        <v>125</v>
      </c>
      <c r="Z9" s="20" t="s">
        <v>126</v>
      </c>
      <c r="AK9" s="51" t="s">
        <v>127</v>
      </c>
      <c r="AL9" t="s">
        <v>58</v>
      </c>
      <c r="AM9" t="s">
        <v>128</v>
      </c>
      <c r="AR9" t="s">
        <v>129</v>
      </c>
    </row>
    <row r="10" spans="1:44" x14ac:dyDescent="0.35">
      <c r="A10" s="2" t="s">
        <v>130</v>
      </c>
      <c r="D10" t="s">
        <v>61</v>
      </c>
      <c r="E10" t="s">
        <v>63</v>
      </c>
      <c r="G10" t="s">
        <v>79</v>
      </c>
      <c r="H10" t="s">
        <v>64</v>
      </c>
      <c r="K10" t="s">
        <v>64</v>
      </c>
      <c r="Q10" t="s">
        <v>131</v>
      </c>
      <c r="S10" s="10" t="s">
        <v>132</v>
      </c>
      <c r="T10" s="9" t="s">
        <v>133</v>
      </c>
      <c r="V10" s="9" t="s">
        <v>134</v>
      </c>
      <c r="W10" s="9" t="s">
        <v>135</v>
      </c>
      <c r="Y10" t="s">
        <v>136</v>
      </c>
      <c r="Z10" s="20">
        <v>3</v>
      </c>
      <c r="AK10" s="51" t="s">
        <v>137</v>
      </c>
      <c r="AL10" t="s">
        <v>58</v>
      </c>
      <c r="AM10" t="s">
        <v>138</v>
      </c>
      <c r="AR10" t="s">
        <v>139</v>
      </c>
    </row>
    <row r="11" spans="1:44" x14ac:dyDescent="0.35">
      <c r="A11" t="s">
        <v>70</v>
      </c>
      <c r="D11" t="s">
        <v>61</v>
      </c>
      <c r="E11" t="s">
        <v>93</v>
      </c>
      <c r="G11" t="s">
        <v>79</v>
      </c>
      <c r="H11" t="s">
        <v>80</v>
      </c>
      <c r="K11" t="s">
        <v>94</v>
      </c>
      <c r="Q11" t="s">
        <v>140</v>
      </c>
      <c r="S11" s="10" t="s">
        <v>141</v>
      </c>
      <c r="T11" s="9" t="s">
        <v>142</v>
      </c>
      <c r="V11" s="9" t="s">
        <v>143</v>
      </c>
      <c r="W11" s="9" t="s">
        <v>144</v>
      </c>
      <c r="Y11" t="s">
        <v>145</v>
      </c>
      <c r="Z11" s="20">
        <v>2</v>
      </c>
      <c r="AK11" s="51" t="s">
        <v>146</v>
      </c>
      <c r="AL11" t="s">
        <v>58</v>
      </c>
      <c r="AM11" t="s">
        <v>147</v>
      </c>
      <c r="AR11" t="s">
        <v>148</v>
      </c>
    </row>
    <row r="12" spans="1:44" x14ac:dyDescent="0.35">
      <c r="D12" t="s">
        <v>61</v>
      </c>
      <c r="E12" t="s">
        <v>106</v>
      </c>
      <c r="G12" t="s">
        <v>149</v>
      </c>
      <c r="H12" t="s">
        <v>94</v>
      </c>
      <c r="K12" t="s">
        <v>150</v>
      </c>
      <c r="Q12" t="s">
        <v>151</v>
      </c>
      <c r="S12" s="10" t="s">
        <v>152</v>
      </c>
      <c r="T12" s="9" t="s">
        <v>26</v>
      </c>
      <c r="V12" s="10" t="s">
        <v>153</v>
      </c>
      <c r="W12" s="9" t="s">
        <v>154</v>
      </c>
      <c r="Y12" t="s">
        <v>155</v>
      </c>
      <c r="Z12" s="20">
        <v>1</v>
      </c>
      <c r="AK12" s="51" t="s">
        <v>156</v>
      </c>
      <c r="AL12" t="s">
        <v>58</v>
      </c>
      <c r="AM12" t="s">
        <v>157</v>
      </c>
      <c r="AR12" t="s">
        <v>158</v>
      </c>
    </row>
    <row r="13" spans="1:44" x14ac:dyDescent="0.35">
      <c r="D13" t="s">
        <v>77</v>
      </c>
      <c r="E13" t="s">
        <v>149</v>
      </c>
      <c r="G13" t="s">
        <v>149</v>
      </c>
      <c r="H13" t="s">
        <v>150</v>
      </c>
      <c r="K13" t="s">
        <v>80</v>
      </c>
      <c r="Q13" t="s">
        <v>159</v>
      </c>
      <c r="S13" s="10" t="s">
        <v>160</v>
      </c>
      <c r="T13" s="9" t="s">
        <v>50</v>
      </c>
      <c r="V13" s="9" t="s">
        <v>161</v>
      </c>
      <c r="W13" s="9" t="s">
        <v>162</v>
      </c>
      <c r="Y13" t="s">
        <v>163</v>
      </c>
      <c r="Z13" s="20">
        <v>1</v>
      </c>
      <c r="AK13" s="51" t="s">
        <v>164</v>
      </c>
      <c r="AL13" t="s">
        <v>58</v>
      </c>
      <c r="AM13" t="s">
        <v>165</v>
      </c>
      <c r="AR13" t="s">
        <v>166</v>
      </c>
    </row>
    <row r="14" spans="1:44" x14ac:dyDescent="0.35">
      <c r="D14" t="s">
        <v>77</v>
      </c>
      <c r="E14" t="s">
        <v>167</v>
      </c>
      <c r="G14" t="s">
        <v>149</v>
      </c>
      <c r="H14" t="s">
        <v>45</v>
      </c>
      <c r="J14" t="s">
        <v>91</v>
      </c>
      <c r="K14" t="s">
        <v>45</v>
      </c>
      <c r="L14" t="s">
        <v>92</v>
      </c>
      <c r="Q14" t="s">
        <v>168</v>
      </c>
      <c r="S14" s="9" t="s">
        <v>169</v>
      </c>
      <c r="T14" s="9" t="s">
        <v>170</v>
      </c>
      <c r="V14" s="9" t="s">
        <v>171</v>
      </c>
      <c r="W14" s="9" t="s">
        <v>172</v>
      </c>
      <c r="Y14" t="s">
        <v>173</v>
      </c>
      <c r="Z14" s="20" t="s">
        <v>70</v>
      </c>
      <c r="AK14" s="51" t="s">
        <v>174</v>
      </c>
      <c r="AL14" t="s">
        <v>58</v>
      </c>
      <c r="AM14" t="s">
        <v>175</v>
      </c>
      <c r="AR14" t="s">
        <v>176</v>
      </c>
    </row>
    <row r="15" spans="1:44" x14ac:dyDescent="0.35">
      <c r="D15" t="s">
        <v>77</v>
      </c>
      <c r="E15" t="s">
        <v>177</v>
      </c>
      <c r="G15" t="s">
        <v>149</v>
      </c>
      <c r="H15" t="s">
        <v>64</v>
      </c>
      <c r="K15" t="s">
        <v>64</v>
      </c>
      <c r="Q15" t="s">
        <v>178</v>
      </c>
      <c r="S15" s="10" t="s">
        <v>179</v>
      </c>
      <c r="T15" s="9" t="s">
        <v>180</v>
      </c>
      <c r="V15" s="9" t="s">
        <v>181</v>
      </c>
      <c r="W15" s="9" t="s">
        <v>182</v>
      </c>
      <c r="Y15" t="s">
        <v>183</v>
      </c>
      <c r="Z15" s="20">
        <v>1</v>
      </c>
      <c r="AK15" s="51" t="s">
        <v>184</v>
      </c>
      <c r="AL15" t="s">
        <v>58</v>
      </c>
      <c r="AM15" t="s">
        <v>185</v>
      </c>
      <c r="AR15" t="s">
        <v>186</v>
      </c>
    </row>
    <row r="16" spans="1:44" x14ac:dyDescent="0.35">
      <c r="D16" t="s">
        <v>77</v>
      </c>
      <c r="E16" t="s">
        <v>187</v>
      </c>
      <c r="G16" t="s">
        <v>167</v>
      </c>
      <c r="H16" t="s">
        <v>94</v>
      </c>
      <c r="K16" t="s">
        <v>94</v>
      </c>
      <c r="Q16" t="s">
        <v>188</v>
      </c>
      <c r="S16" s="9" t="s">
        <v>189</v>
      </c>
      <c r="T16" s="9" t="s">
        <v>190</v>
      </c>
      <c r="V16" s="9" t="s">
        <v>191</v>
      </c>
      <c r="W16" s="9" t="s">
        <v>192</v>
      </c>
      <c r="Y16" t="s">
        <v>193</v>
      </c>
      <c r="Z16" s="20" t="s">
        <v>70</v>
      </c>
      <c r="AK16" s="51" t="s">
        <v>194</v>
      </c>
      <c r="AL16" t="s">
        <v>58</v>
      </c>
      <c r="AM16" t="s">
        <v>195</v>
      </c>
      <c r="AR16" t="s">
        <v>196</v>
      </c>
    </row>
    <row r="17" spans="4:44" x14ac:dyDescent="0.35">
      <c r="D17" t="s">
        <v>104</v>
      </c>
      <c r="E17" t="s">
        <v>56</v>
      </c>
      <c r="G17" t="s">
        <v>167</v>
      </c>
      <c r="H17" t="s">
        <v>150</v>
      </c>
      <c r="K17" t="s">
        <v>150</v>
      </c>
      <c r="Q17" t="s">
        <v>197</v>
      </c>
      <c r="S17" s="10" t="s">
        <v>198</v>
      </c>
      <c r="T17" s="9" t="s">
        <v>199</v>
      </c>
      <c r="V17" s="9" t="s">
        <v>200</v>
      </c>
      <c r="W17" s="9" t="s">
        <v>201</v>
      </c>
      <c r="Y17" t="s">
        <v>202</v>
      </c>
      <c r="Z17" s="20">
        <v>0</v>
      </c>
      <c r="AR17" t="s">
        <v>203</v>
      </c>
    </row>
    <row r="18" spans="4:44" x14ac:dyDescent="0.35">
      <c r="D18" t="s">
        <v>104</v>
      </c>
      <c r="E18" t="s">
        <v>204</v>
      </c>
      <c r="G18" t="s">
        <v>167</v>
      </c>
      <c r="H18" t="s">
        <v>45</v>
      </c>
      <c r="K18" t="s">
        <v>80</v>
      </c>
      <c r="Q18" t="s">
        <v>205</v>
      </c>
      <c r="S18" s="9" t="s">
        <v>206</v>
      </c>
      <c r="T18" s="9" t="s">
        <v>207</v>
      </c>
      <c r="V18" s="9" t="s">
        <v>208</v>
      </c>
      <c r="W18" s="9" t="s">
        <v>209</v>
      </c>
      <c r="Y18" t="s">
        <v>210</v>
      </c>
      <c r="Z18" s="20" t="s">
        <v>211</v>
      </c>
      <c r="AR18" t="s">
        <v>212</v>
      </c>
    </row>
    <row r="19" spans="4:44" x14ac:dyDescent="0.35">
      <c r="D19" t="s">
        <v>104</v>
      </c>
      <c r="E19" t="s">
        <v>213</v>
      </c>
      <c r="G19" t="s">
        <v>167</v>
      </c>
      <c r="H19" t="s">
        <v>64</v>
      </c>
      <c r="J19" t="s">
        <v>104</v>
      </c>
      <c r="K19" s="55" t="s">
        <v>214</v>
      </c>
      <c r="L19" t="s">
        <v>105</v>
      </c>
      <c r="Q19" t="s">
        <v>215</v>
      </c>
      <c r="S19" s="10" t="s">
        <v>216</v>
      </c>
      <c r="T19" s="9" t="s">
        <v>217</v>
      </c>
      <c r="V19" s="9" t="s">
        <v>218</v>
      </c>
      <c r="W19" s="9" t="s">
        <v>219</v>
      </c>
      <c r="Z19" s="20"/>
      <c r="AR19" t="s">
        <v>220</v>
      </c>
    </row>
    <row r="20" spans="4:44" x14ac:dyDescent="0.35">
      <c r="D20" t="s">
        <v>104</v>
      </c>
      <c r="E20" t="s">
        <v>221</v>
      </c>
      <c r="G20" t="s">
        <v>222</v>
      </c>
      <c r="H20" t="s">
        <v>45</v>
      </c>
      <c r="K20" s="55" t="s">
        <v>223</v>
      </c>
      <c r="Q20" t="s">
        <v>224</v>
      </c>
      <c r="S20" s="9" t="s">
        <v>225</v>
      </c>
      <c r="T20" s="9" t="s">
        <v>226</v>
      </c>
      <c r="V20" s="9" t="s">
        <v>227</v>
      </c>
      <c r="W20" s="9" t="s">
        <v>228</v>
      </c>
      <c r="AR20" t="s">
        <v>88</v>
      </c>
    </row>
    <row r="21" spans="4:44" x14ac:dyDescent="0.35">
      <c r="D21" t="s">
        <v>104</v>
      </c>
      <c r="E21" t="s">
        <v>229</v>
      </c>
      <c r="G21" t="s">
        <v>222</v>
      </c>
      <c r="H21" t="s">
        <v>64</v>
      </c>
      <c r="K21" s="55" t="s">
        <v>230</v>
      </c>
      <c r="Q21" t="s">
        <v>231</v>
      </c>
      <c r="S21" s="10" t="s">
        <v>232</v>
      </c>
      <c r="T21" s="9" t="s">
        <v>233</v>
      </c>
      <c r="V21" s="9" t="s">
        <v>234</v>
      </c>
      <c r="W21" s="9" t="s">
        <v>235</v>
      </c>
      <c r="AR21" t="s">
        <v>101</v>
      </c>
    </row>
    <row r="22" spans="4:44" x14ac:dyDescent="0.35">
      <c r="D22" t="s">
        <v>91</v>
      </c>
      <c r="E22" t="s">
        <v>222</v>
      </c>
      <c r="G22" t="s">
        <v>222</v>
      </c>
      <c r="H22" t="s">
        <v>94</v>
      </c>
      <c r="K22" s="55" t="s">
        <v>236</v>
      </c>
      <c r="Q22" t="s">
        <v>237</v>
      </c>
      <c r="S22" s="10" t="s">
        <v>238</v>
      </c>
      <c r="T22" s="9" t="s">
        <v>125</v>
      </c>
      <c r="V22" s="9" t="s">
        <v>239</v>
      </c>
      <c r="W22" s="9" t="s">
        <v>240</v>
      </c>
      <c r="AR22" t="s">
        <v>118</v>
      </c>
    </row>
    <row r="23" spans="4:44" x14ac:dyDescent="0.35">
      <c r="D23" t="s">
        <v>91</v>
      </c>
      <c r="E23" t="s">
        <v>241</v>
      </c>
      <c r="G23" t="s">
        <v>222</v>
      </c>
      <c r="H23" t="s">
        <v>150</v>
      </c>
      <c r="K23" s="55" t="s">
        <v>242</v>
      </c>
      <c r="Q23" t="s">
        <v>243</v>
      </c>
      <c r="S23" s="9" t="s">
        <v>244</v>
      </c>
      <c r="T23" s="9" t="s">
        <v>245</v>
      </c>
      <c r="V23" s="9" t="s">
        <v>246</v>
      </c>
      <c r="W23" s="9" t="s">
        <v>247</v>
      </c>
      <c r="AR23" t="s">
        <v>127</v>
      </c>
    </row>
    <row r="24" spans="4:44" x14ac:dyDescent="0.35">
      <c r="G24" t="s">
        <v>222</v>
      </c>
      <c r="H24" t="s">
        <v>248</v>
      </c>
      <c r="K24" s="55" t="s">
        <v>249</v>
      </c>
      <c r="Q24" t="s">
        <v>250</v>
      </c>
      <c r="S24" s="9" t="s">
        <v>251</v>
      </c>
      <c r="T24" s="9" t="s">
        <v>252</v>
      </c>
      <c r="V24" s="9" t="s">
        <v>253</v>
      </c>
      <c r="W24" s="9" t="s">
        <v>254</v>
      </c>
      <c r="AR24" t="s">
        <v>137</v>
      </c>
    </row>
    <row r="25" spans="4:44" x14ac:dyDescent="0.35">
      <c r="G25" t="s">
        <v>222</v>
      </c>
      <c r="H25" t="s">
        <v>80</v>
      </c>
      <c r="K25" s="55" t="s">
        <v>255</v>
      </c>
      <c r="Q25" t="s">
        <v>256</v>
      </c>
      <c r="S25" s="9" t="s">
        <v>257</v>
      </c>
      <c r="T25" s="9" t="s">
        <v>258</v>
      </c>
      <c r="V25" s="9" t="s">
        <v>259</v>
      </c>
      <c r="W25" s="9" t="s">
        <v>260</v>
      </c>
      <c r="AR25" t="s">
        <v>146</v>
      </c>
    </row>
    <row r="26" spans="4:44" x14ac:dyDescent="0.35">
      <c r="G26" t="s">
        <v>93</v>
      </c>
      <c r="H26" t="s">
        <v>45</v>
      </c>
      <c r="K26" s="55" t="s">
        <v>261</v>
      </c>
      <c r="Q26" t="s">
        <v>262</v>
      </c>
      <c r="S26" s="10" t="s">
        <v>263</v>
      </c>
      <c r="T26" s="9" t="s">
        <v>264</v>
      </c>
      <c r="V26" s="9" t="s">
        <v>265</v>
      </c>
      <c r="W26" s="9" t="s">
        <v>266</v>
      </c>
      <c r="AR26" t="s">
        <v>156</v>
      </c>
    </row>
    <row r="27" spans="4:44" x14ac:dyDescent="0.35">
      <c r="G27" t="s">
        <v>93</v>
      </c>
      <c r="H27" t="s">
        <v>64</v>
      </c>
      <c r="K27" s="55" t="s">
        <v>267</v>
      </c>
      <c r="Q27" t="s">
        <v>268</v>
      </c>
      <c r="S27" s="10" t="s">
        <v>269</v>
      </c>
      <c r="T27" s="9" t="s">
        <v>270</v>
      </c>
      <c r="V27" s="9" t="s">
        <v>271</v>
      </c>
      <c r="W27" s="9" t="s">
        <v>272</v>
      </c>
      <c r="AR27" t="s">
        <v>164</v>
      </c>
    </row>
    <row r="28" spans="4:44" x14ac:dyDescent="0.35">
      <c r="G28" t="s">
        <v>93</v>
      </c>
      <c r="H28" t="s">
        <v>80</v>
      </c>
      <c r="K28" s="55" t="s">
        <v>273</v>
      </c>
      <c r="Q28" t="s">
        <v>274</v>
      </c>
      <c r="S28" s="9" t="s">
        <v>275</v>
      </c>
      <c r="T28" s="9" t="s">
        <v>276</v>
      </c>
      <c r="V28" s="9" t="s">
        <v>277</v>
      </c>
      <c r="W28" s="9" t="s">
        <v>278</v>
      </c>
      <c r="AR28" t="s">
        <v>174</v>
      </c>
    </row>
    <row r="29" spans="4:44" x14ac:dyDescent="0.35">
      <c r="G29" t="s">
        <v>106</v>
      </c>
      <c r="H29" t="s">
        <v>45</v>
      </c>
      <c r="K29" s="55" t="s">
        <v>279</v>
      </c>
      <c r="Q29" t="s">
        <v>280</v>
      </c>
      <c r="S29" s="9" t="s">
        <v>281</v>
      </c>
      <c r="T29" s="9" t="s">
        <v>282</v>
      </c>
      <c r="V29" s="9" t="s">
        <v>283</v>
      </c>
      <c r="W29" s="9" t="s">
        <v>284</v>
      </c>
      <c r="AR29" t="s">
        <v>194</v>
      </c>
    </row>
    <row r="30" spans="4:44" x14ac:dyDescent="0.35">
      <c r="G30" t="s">
        <v>106</v>
      </c>
      <c r="H30" t="s">
        <v>64</v>
      </c>
      <c r="K30" s="55" t="s">
        <v>285</v>
      </c>
      <c r="Q30" t="s">
        <v>286</v>
      </c>
      <c r="S30" s="9" t="s">
        <v>287</v>
      </c>
      <c r="T30" s="9" t="s">
        <v>288</v>
      </c>
      <c r="V30" s="9" t="s">
        <v>289</v>
      </c>
      <c r="W30" s="9" t="s">
        <v>290</v>
      </c>
      <c r="AR30" t="s">
        <v>291</v>
      </c>
    </row>
    <row r="31" spans="4:44" x14ac:dyDescent="0.35">
      <c r="G31" t="s">
        <v>106</v>
      </c>
      <c r="H31" t="s">
        <v>80</v>
      </c>
      <c r="K31" s="55" t="s">
        <v>292</v>
      </c>
      <c r="Q31" t="s">
        <v>293</v>
      </c>
      <c r="S31" s="9" t="s">
        <v>294</v>
      </c>
      <c r="T31" s="9" t="s">
        <v>295</v>
      </c>
      <c r="V31" s="10" t="s">
        <v>296</v>
      </c>
      <c r="W31" s="9" t="s">
        <v>136</v>
      </c>
      <c r="AR31" t="s">
        <v>297</v>
      </c>
    </row>
    <row r="32" spans="4:44" x14ac:dyDescent="0.35">
      <c r="G32" t="s">
        <v>113</v>
      </c>
      <c r="H32" t="s">
        <v>45</v>
      </c>
      <c r="K32" s="55" t="s">
        <v>298</v>
      </c>
      <c r="Q32" t="s">
        <v>299</v>
      </c>
      <c r="S32" s="9" t="s">
        <v>300</v>
      </c>
      <c r="T32" s="9" t="s">
        <v>301</v>
      </c>
      <c r="V32" s="10" t="s">
        <v>302</v>
      </c>
      <c r="W32" s="9" t="s">
        <v>145</v>
      </c>
      <c r="AR32" t="s">
        <v>303</v>
      </c>
    </row>
    <row r="33" spans="7:44" x14ac:dyDescent="0.35">
      <c r="G33" t="s">
        <v>113</v>
      </c>
      <c r="H33" t="s">
        <v>64</v>
      </c>
      <c r="K33" s="55" t="s">
        <v>304</v>
      </c>
      <c r="Q33" t="s">
        <v>305</v>
      </c>
      <c r="S33" s="9" t="s">
        <v>306</v>
      </c>
      <c r="T33" s="9" t="s">
        <v>307</v>
      </c>
      <c r="V33" s="10" t="s">
        <v>308</v>
      </c>
      <c r="W33" s="9" t="s">
        <v>155</v>
      </c>
      <c r="AR33" t="s">
        <v>309</v>
      </c>
    </row>
    <row r="34" spans="7:44" x14ac:dyDescent="0.35">
      <c r="G34" t="s">
        <v>113</v>
      </c>
      <c r="H34" t="s">
        <v>80</v>
      </c>
      <c r="K34" s="55" t="s">
        <v>310</v>
      </c>
      <c r="Q34" t="s">
        <v>311</v>
      </c>
      <c r="S34" s="9" t="s">
        <v>312</v>
      </c>
      <c r="T34" s="9" t="s">
        <v>313</v>
      </c>
      <c r="V34" s="9" t="s">
        <v>314</v>
      </c>
      <c r="W34" s="9" t="s">
        <v>163</v>
      </c>
      <c r="AR34" t="s">
        <v>315</v>
      </c>
    </row>
    <row r="35" spans="7:44" x14ac:dyDescent="0.35">
      <c r="G35" t="s">
        <v>177</v>
      </c>
      <c r="H35" t="s">
        <v>94</v>
      </c>
      <c r="K35" s="55" t="s">
        <v>316</v>
      </c>
      <c r="Q35" t="s">
        <v>317</v>
      </c>
      <c r="S35" s="9" t="s">
        <v>318</v>
      </c>
      <c r="T35" s="9" t="s">
        <v>319</v>
      </c>
      <c r="V35" s="9" t="s">
        <v>320</v>
      </c>
      <c r="W35" s="9" t="s">
        <v>321</v>
      </c>
      <c r="AR35" t="s">
        <v>322</v>
      </c>
    </row>
    <row r="36" spans="7:44" x14ac:dyDescent="0.35">
      <c r="G36" t="s">
        <v>177</v>
      </c>
      <c r="H36" t="s">
        <v>150</v>
      </c>
      <c r="Q36" t="s">
        <v>323</v>
      </c>
      <c r="S36" s="9" t="s">
        <v>324</v>
      </c>
      <c r="T36" s="9" t="s">
        <v>325</v>
      </c>
      <c r="V36" s="9" t="s">
        <v>326</v>
      </c>
      <c r="W36" s="9" t="s">
        <v>327</v>
      </c>
      <c r="AR36" t="s">
        <v>328</v>
      </c>
    </row>
    <row r="37" spans="7:44" x14ac:dyDescent="0.35">
      <c r="G37" t="s">
        <v>177</v>
      </c>
      <c r="H37" t="s">
        <v>45</v>
      </c>
      <c r="Q37" t="s">
        <v>329</v>
      </c>
      <c r="S37" s="9" t="s">
        <v>330</v>
      </c>
      <c r="T37" s="9" t="s">
        <v>331</v>
      </c>
      <c r="V37" s="9" t="s">
        <v>332</v>
      </c>
      <c r="W37" s="9" t="s">
        <v>333</v>
      </c>
      <c r="AR37" t="s">
        <v>334</v>
      </c>
    </row>
    <row r="38" spans="7:44" x14ac:dyDescent="0.35">
      <c r="G38" t="s">
        <v>177</v>
      </c>
      <c r="H38" t="s">
        <v>64</v>
      </c>
      <c r="Q38" t="s">
        <v>335</v>
      </c>
      <c r="S38" s="9" t="s">
        <v>336</v>
      </c>
      <c r="T38" s="9" t="s">
        <v>337</v>
      </c>
      <c r="V38" s="9" t="s">
        <v>338</v>
      </c>
      <c r="W38" s="9" t="s">
        <v>339</v>
      </c>
      <c r="AR38" t="s">
        <v>340</v>
      </c>
    </row>
    <row r="39" spans="7:44" x14ac:dyDescent="0.35">
      <c r="G39" t="s">
        <v>187</v>
      </c>
      <c r="H39" t="s">
        <v>94</v>
      </c>
      <c r="Q39" t="s">
        <v>341</v>
      </c>
      <c r="S39" s="9" t="s">
        <v>342</v>
      </c>
      <c r="T39" s="9" t="s">
        <v>343</v>
      </c>
      <c r="V39" s="9" t="s">
        <v>344</v>
      </c>
      <c r="W39" s="9" t="s">
        <v>345</v>
      </c>
      <c r="AR39" t="s">
        <v>346</v>
      </c>
    </row>
    <row r="40" spans="7:44" x14ac:dyDescent="0.35">
      <c r="G40" t="s">
        <v>187</v>
      </c>
      <c r="H40" t="s">
        <v>150</v>
      </c>
      <c r="Q40" t="s">
        <v>347</v>
      </c>
      <c r="S40" s="9" t="s">
        <v>348</v>
      </c>
      <c r="T40" s="9" t="s">
        <v>349</v>
      </c>
      <c r="V40" s="9" t="s">
        <v>350</v>
      </c>
      <c r="W40" s="9" t="s">
        <v>351</v>
      </c>
      <c r="AR40" t="s">
        <v>352</v>
      </c>
    </row>
    <row r="41" spans="7:44" x14ac:dyDescent="0.35">
      <c r="G41" t="s">
        <v>187</v>
      </c>
      <c r="H41" t="s">
        <v>45</v>
      </c>
      <c r="Q41" t="s">
        <v>353</v>
      </c>
      <c r="S41" s="9" t="s">
        <v>354</v>
      </c>
      <c r="T41" s="9" t="s">
        <v>355</v>
      </c>
      <c r="V41" s="9" t="s">
        <v>356</v>
      </c>
      <c r="W41" s="9" t="s">
        <v>357</v>
      </c>
      <c r="AR41" t="s">
        <v>358</v>
      </c>
    </row>
    <row r="42" spans="7:44" x14ac:dyDescent="0.35">
      <c r="G42" t="s">
        <v>187</v>
      </c>
      <c r="H42" t="s">
        <v>64</v>
      </c>
      <c r="Q42" t="s">
        <v>353</v>
      </c>
      <c r="S42" s="9" t="s">
        <v>359</v>
      </c>
      <c r="T42" s="9" t="s">
        <v>3700</v>
      </c>
      <c r="V42" s="9" t="s">
        <v>360</v>
      </c>
      <c r="W42" s="9" t="s">
        <v>361</v>
      </c>
      <c r="AR42" t="s">
        <v>362</v>
      </c>
    </row>
    <row r="43" spans="7:44" x14ac:dyDescent="0.35">
      <c r="G43" t="s">
        <v>241</v>
      </c>
      <c r="H43" t="s">
        <v>45</v>
      </c>
      <c r="Q43" t="s">
        <v>363</v>
      </c>
      <c r="S43" s="9" t="s">
        <v>364</v>
      </c>
      <c r="T43" s="9" t="s">
        <v>343</v>
      </c>
      <c r="V43" s="9" t="s">
        <v>365</v>
      </c>
      <c r="W43" s="9" t="s">
        <v>366</v>
      </c>
      <c r="AR43" t="s">
        <v>367</v>
      </c>
    </row>
    <row r="44" spans="7:44" x14ac:dyDescent="0.35">
      <c r="G44" t="s">
        <v>241</v>
      </c>
      <c r="H44" t="s">
        <v>64</v>
      </c>
      <c r="Q44" t="s">
        <v>368</v>
      </c>
      <c r="S44" s="9" t="s">
        <v>369</v>
      </c>
      <c r="T44" s="9" t="s">
        <v>349</v>
      </c>
      <c r="V44" s="9" t="s">
        <v>370</v>
      </c>
      <c r="W44" s="9" t="s">
        <v>371</v>
      </c>
      <c r="AR44" t="s">
        <v>372</v>
      </c>
    </row>
    <row r="45" spans="7:44" x14ac:dyDescent="0.35">
      <c r="G45" t="s">
        <v>241</v>
      </c>
      <c r="H45" t="s">
        <v>94</v>
      </c>
      <c r="Q45" t="s">
        <v>373</v>
      </c>
      <c r="S45" s="9" t="s">
        <v>374</v>
      </c>
      <c r="T45" s="9" t="s">
        <v>355</v>
      </c>
      <c r="V45" s="9" t="s">
        <v>375</v>
      </c>
      <c r="W45" s="9" t="s">
        <v>25</v>
      </c>
      <c r="AR45" t="s">
        <v>376</v>
      </c>
    </row>
    <row r="46" spans="7:44" x14ac:dyDescent="0.35">
      <c r="G46" t="s">
        <v>241</v>
      </c>
      <c r="H46" t="s">
        <v>150</v>
      </c>
      <c r="Q46" t="s">
        <v>377</v>
      </c>
      <c r="S46" s="9" t="s">
        <v>378</v>
      </c>
      <c r="T46" s="9" t="s">
        <v>69</v>
      </c>
      <c r="V46" s="9" t="s">
        <v>379</v>
      </c>
      <c r="W46" s="9" t="s">
        <v>380</v>
      </c>
      <c r="AR46" t="s">
        <v>381</v>
      </c>
    </row>
    <row r="47" spans="7:44" x14ac:dyDescent="0.35">
      <c r="G47" t="s">
        <v>241</v>
      </c>
      <c r="H47" t="s">
        <v>248</v>
      </c>
      <c r="Q47" t="s">
        <v>382</v>
      </c>
      <c r="S47" s="9" t="s">
        <v>383</v>
      </c>
      <c r="T47" s="9" t="s">
        <v>384</v>
      </c>
      <c r="V47" s="9" t="s">
        <v>385</v>
      </c>
      <c r="W47" s="9" t="s">
        <v>386</v>
      </c>
      <c r="AR47" t="s">
        <v>387</v>
      </c>
    </row>
    <row r="48" spans="7:44" x14ac:dyDescent="0.35">
      <c r="G48" t="s">
        <v>241</v>
      </c>
      <c r="H48" t="s">
        <v>80</v>
      </c>
      <c r="Q48" t="s">
        <v>388</v>
      </c>
      <c r="S48" s="11" t="s">
        <v>389</v>
      </c>
      <c r="T48" s="9" t="s">
        <v>390</v>
      </c>
      <c r="V48" s="9" t="s">
        <v>391</v>
      </c>
      <c r="W48" s="9" t="s">
        <v>392</v>
      </c>
      <c r="AR48" t="s">
        <v>393</v>
      </c>
    </row>
    <row r="49" spans="7:44" x14ac:dyDescent="0.35">
      <c r="G49" s="55" t="s">
        <v>56</v>
      </c>
      <c r="H49" s="55" t="s">
        <v>214</v>
      </c>
      <c r="Q49" t="s">
        <v>394</v>
      </c>
      <c r="S49" s="9" t="s">
        <v>395</v>
      </c>
      <c r="T49" s="9" t="s">
        <v>117</v>
      </c>
      <c r="V49" s="9" t="s">
        <v>396</v>
      </c>
      <c r="W49" s="9" t="s">
        <v>397</v>
      </c>
      <c r="AR49" t="s">
        <v>398</v>
      </c>
    </row>
    <row r="50" spans="7:44" x14ac:dyDescent="0.35">
      <c r="G50" s="55" t="s">
        <v>56</v>
      </c>
      <c r="H50" s="55" t="s">
        <v>223</v>
      </c>
      <c r="Q50" t="s">
        <v>399</v>
      </c>
      <c r="S50" s="9" t="s">
        <v>400</v>
      </c>
      <c r="T50" s="9" t="s">
        <v>401</v>
      </c>
      <c r="V50" s="56" t="s">
        <v>326</v>
      </c>
      <c r="W50" s="56" t="s">
        <v>327</v>
      </c>
      <c r="X50" s="8"/>
      <c r="AR50" t="s">
        <v>402</v>
      </c>
    </row>
    <row r="51" spans="7:44" x14ac:dyDescent="0.35">
      <c r="G51" s="55" t="s">
        <v>56</v>
      </c>
      <c r="H51" s="55" t="s">
        <v>230</v>
      </c>
      <c r="Q51" t="s">
        <v>403</v>
      </c>
      <c r="S51" s="9" t="s">
        <v>404</v>
      </c>
      <c r="T51" s="9" t="s">
        <v>405</v>
      </c>
      <c r="V51" s="9" t="s">
        <v>3301</v>
      </c>
      <c r="W51" s="9" t="s">
        <v>3294</v>
      </c>
      <c r="X51" s="8"/>
      <c r="AR51" t="s">
        <v>406</v>
      </c>
    </row>
    <row r="52" spans="7:44" x14ac:dyDescent="0.35">
      <c r="G52" s="55" t="s">
        <v>56</v>
      </c>
      <c r="H52" s="55" t="s">
        <v>236</v>
      </c>
      <c r="Q52" t="s">
        <v>407</v>
      </c>
      <c r="S52" s="9" t="s">
        <v>408</v>
      </c>
      <c r="T52" s="9" t="s">
        <v>409</v>
      </c>
      <c r="V52" s="9" t="s">
        <v>805</v>
      </c>
      <c r="W52" s="9" t="s">
        <v>3295</v>
      </c>
      <c r="X52" s="8"/>
      <c r="AR52" t="s">
        <v>410</v>
      </c>
    </row>
    <row r="53" spans="7:44" x14ac:dyDescent="0.35">
      <c r="G53" s="55" t="s">
        <v>56</v>
      </c>
      <c r="H53" s="55" t="s">
        <v>242</v>
      </c>
      <c r="Q53" t="s">
        <v>407</v>
      </c>
      <c r="S53" s="9" t="s">
        <v>411</v>
      </c>
      <c r="T53" s="9" t="s">
        <v>412</v>
      </c>
      <c r="V53" s="9" t="s">
        <v>3302</v>
      </c>
      <c r="W53" s="9" t="s">
        <v>3296</v>
      </c>
      <c r="X53" s="8"/>
      <c r="AR53" t="s">
        <v>413</v>
      </c>
    </row>
    <row r="54" spans="7:44" x14ac:dyDescent="0.35">
      <c r="G54" s="55" t="s">
        <v>56</v>
      </c>
      <c r="H54" s="55" t="s">
        <v>249</v>
      </c>
      <c r="Q54" t="s">
        <v>414</v>
      </c>
      <c r="S54" s="9" t="s">
        <v>415</v>
      </c>
      <c r="T54" s="9" t="s">
        <v>416</v>
      </c>
      <c r="V54" s="9" t="s">
        <v>3303</v>
      </c>
      <c r="W54" s="9" t="s">
        <v>3297</v>
      </c>
      <c r="X54" s="8"/>
      <c r="AR54" t="s">
        <v>417</v>
      </c>
    </row>
    <row r="55" spans="7:44" x14ac:dyDescent="0.35">
      <c r="G55" s="55" t="s">
        <v>56</v>
      </c>
      <c r="H55" s="55" t="s">
        <v>255</v>
      </c>
      <c r="Q55" t="s">
        <v>418</v>
      </c>
      <c r="S55" s="9" t="s">
        <v>419</v>
      </c>
      <c r="T55" s="9" t="s">
        <v>420</v>
      </c>
      <c r="V55" s="9" t="s">
        <v>244</v>
      </c>
      <c r="W55" s="9" t="s">
        <v>3298</v>
      </c>
      <c r="X55" s="8"/>
      <c r="AR55" t="s">
        <v>421</v>
      </c>
    </row>
    <row r="56" spans="7:44" x14ac:dyDescent="0.35">
      <c r="G56" s="55" t="s">
        <v>56</v>
      </c>
      <c r="H56" s="55" t="s">
        <v>261</v>
      </c>
      <c r="Q56" t="s">
        <v>422</v>
      </c>
      <c r="S56" s="9" t="s">
        <v>423</v>
      </c>
      <c r="T56" s="9" t="s">
        <v>424</v>
      </c>
      <c r="V56" s="9" t="s">
        <v>808</v>
      </c>
      <c r="W56" s="9" t="s">
        <v>40</v>
      </c>
      <c r="X56" s="8"/>
      <c r="AR56" t="s">
        <v>425</v>
      </c>
    </row>
    <row r="57" spans="7:44" x14ac:dyDescent="0.35">
      <c r="G57" s="55" t="s">
        <v>56</v>
      </c>
      <c r="H57" s="55" t="s">
        <v>267</v>
      </c>
      <c r="Q57" t="s">
        <v>426</v>
      </c>
      <c r="S57" s="9" t="s">
        <v>427</v>
      </c>
      <c r="T57" s="9" t="s">
        <v>428</v>
      </c>
      <c r="V57" s="9" t="s">
        <v>3304</v>
      </c>
      <c r="W57" s="9" t="s">
        <v>3299</v>
      </c>
      <c r="X57" s="8"/>
      <c r="AR57" t="s">
        <v>429</v>
      </c>
    </row>
    <row r="58" spans="7:44" x14ac:dyDescent="0.35">
      <c r="G58" s="55" t="s">
        <v>56</v>
      </c>
      <c r="H58" s="55" t="s">
        <v>273</v>
      </c>
      <c r="Q58" t="s">
        <v>430</v>
      </c>
      <c r="S58" s="9" t="s">
        <v>431</v>
      </c>
      <c r="T58" s="9" t="s">
        <v>432</v>
      </c>
      <c r="V58" s="9" t="s">
        <v>141</v>
      </c>
      <c r="W58" s="9" t="s">
        <v>3300</v>
      </c>
      <c r="X58" s="8"/>
      <c r="AR58" t="s">
        <v>433</v>
      </c>
    </row>
    <row r="59" spans="7:44" x14ac:dyDescent="0.35">
      <c r="G59" s="55" t="s">
        <v>56</v>
      </c>
      <c r="H59" s="55" t="s">
        <v>279</v>
      </c>
      <c r="Q59" t="s">
        <v>434</v>
      </c>
      <c r="S59" s="9" t="s">
        <v>435</v>
      </c>
      <c r="T59" s="9" t="s">
        <v>436</v>
      </c>
      <c r="V59" s="9" t="s">
        <v>533</v>
      </c>
      <c r="W59" t="s">
        <v>534</v>
      </c>
      <c r="X59" s="8"/>
      <c r="AR59" t="s">
        <v>437</v>
      </c>
    </row>
    <row r="60" spans="7:44" x14ac:dyDescent="0.35">
      <c r="G60" s="55" t="s">
        <v>56</v>
      </c>
      <c r="H60" s="55" t="s">
        <v>285</v>
      </c>
      <c r="Q60" t="s">
        <v>438</v>
      </c>
      <c r="S60" s="9" t="s">
        <v>439</v>
      </c>
      <c r="T60" s="9" t="s">
        <v>440</v>
      </c>
      <c r="V60" t="s">
        <v>238</v>
      </c>
      <c r="X60" s="8"/>
      <c r="AR60" t="s">
        <v>58</v>
      </c>
    </row>
    <row r="61" spans="7:44" x14ac:dyDescent="0.35">
      <c r="G61" s="55" t="s">
        <v>56</v>
      </c>
      <c r="H61" s="55" t="s">
        <v>292</v>
      </c>
      <c r="Q61" t="s">
        <v>441</v>
      </c>
      <c r="S61" s="9" t="s">
        <v>442</v>
      </c>
      <c r="T61" s="9" t="s">
        <v>443</v>
      </c>
      <c r="V61" t="s">
        <v>152</v>
      </c>
      <c r="X61" s="8"/>
      <c r="AR61" t="s">
        <v>444</v>
      </c>
    </row>
    <row r="62" spans="7:44" x14ac:dyDescent="0.35">
      <c r="G62" s="55" t="s">
        <v>56</v>
      </c>
      <c r="H62" s="55" t="s">
        <v>298</v>
      </c>
      <c r="Q62" t="s">
        <v>445</v>
      </c>
      <c r="S62" s="9" t="s">
        <v>446</v>
      </c>
      <c r="T62" s="9" t="s">
        <v>447</v>
      </c>
      <c r="X62" s="8"/>
      <c r="AR62" t="s">
        <v>448</v>
      </c>
    </row>
    <row r="63" spans="7:44" x14ac:dyDescent="0.35">
      <c r="G63" s="55" t="s">
        <v>56</v>
      </c>
      <c r="H63" s="55" t="s">
        <v>304</v>
      </c>
      <c r="Q63" t="s">
        <v>449</v>
      </c>
      <c r="S63" s="9" t="s">
        <v>450</v>
      </c>
      <c r="T63" s="9" t="s">
        <v>451</v>
      </c>
      <c r="X63" s="8"/>
      <c r="AR63" t="s">
        <v>452</v>
      </c>
    </row>
    <row r="64" spans="7:44" x14ac:dyDescent="0.35">
      <c r="G64" s="55" t="s">
        <v>56</v>
      </c>
      <c r="H64" s="55" t="s">
        <v>310</v>
      </c>
      <c r="Q64" t="s">
        <v>453</v>
      </c>
      <c r="S64" s="9" t="s">
        <v>454</v>
      </c>
      <c r="T64" s="9" t="s">
        <v>455</v>
      </c>
      <c r="X64" s="8"/>
      <c r="AR64" t="s">
        <v>456</v>
      </c>
    </row>
    <row r="65" spans="7:44" x14ac:dyDescent="0.35">
      <c r="G65" s="55" t="s">
        <v>56</v>
      </c>
      <c r="H65" s="55" t="s">
        <v>316</v>
      </c>
      <c r="Q65" t="s">
        <v>457</v>
      </c>
      <c r="S65" s="9" t="s">
        <v>458</v>
      </c>
      <c r="T65" s="9" t="s">
        <v>459</v>
      </c>
      <c r="X65" s="8"/>
      <c r="AR65" t="s">
        <v>460</v>
      </c>
    </row>
    <row r="66" spans="7:44" x14ac:dyDescent="0.35">
      <c r="G66" s="55" t="s">
        <v>461</v>
      </c>
      <c r="H66" s="55" t="s">
        <v>214</v>
      </c>
      <c r="Q66" t="s">
        <v>462</v>
      </c>
      <c r="S66" s="9" t="s">
        <v>463</v>
      </c>
      <c r="T66" s="9" t="s">
        <v>85</v>
      </c>
      <c r="X66" s="8"/>
      <c r="AR66" t="s">
        <v>464</v>
      </c>
    </row>
    <row r="67" spans="7:44" x14ac:dyDescent="0.35">
      <c r="G67" s="55" t="s">
        <v>461</v>
      </c>
      <c r="H67" s="55" t="s">
        <v>223</v>
      </c>
      <c r="Q67" t="s">
        <v>465</v>
      </c>
      <c r="S67" s="9" t="s">
        <v>466</v>
      </c>
      <c r="T67" s="9" t="s">
        <v>99</v>
      </c>
      <c r="X67" s="8"/>
      <c r="AR67" t="s">
        <v>467</v>
      </c>
    </row>
    <row r="68" spans="7:44" x14ac:dyDescent="0.35">
      <c r="G68" s="55" t="s">
        <v>461</v>
      </c>
      <c r="H68" s="55" t="s">
        <v>230</v>
      </c>
      <c r="Q68" t="s">
        <v>468</v>
      </c>
      <c r="S68" s="9" t="s">
        <v>469</v>
      </c>
      <c r="T68" s="9" t="s">
        <v>470</v>
      </c>
      <c r="X68" s="8"/>
      <c r="AR68" t="s">
        <v>471</v>
      </c>
    </row>
    <row r="69" spans="7:44" x14ac:dyDescent="0.35">
      <c r="G69" s="55" t="s">
        <v>461</v>
      </c>
      <c r="H69" s="55" t="s">
        <v>236</v>
      </c>
      <c r="Q69" t="s">
        <v>472</v>
      </c>
      <c r="S69" s="9" t="s">
        <v>473</v>
      </c>
      <c r="T69" s="9" t="s">
        <v>474</v>
      </c>
      <c r="X69" s="8"/>
      <c r="AR69" t="s">
        <v>475</v>
      </c>
    </row>
    <row r="70" spans="7:44" x14ac:dyDescent="0.35">
      <c r="G70" s="55" t="s">
        <v>461</v>
      </c>
      <c r="H70" s="55" t="s">
        <v>242</v>
      </c>
      <c r="Q70" t="s">
        <v>476</v>
      </c>
      <c r="S70" s="9" t="s">
        <v>477</v>
      </c>
      <c r="T70" s="9" t="s">
        <v>478</v>
      </c>
      <c r="X70" s="8"/>
      <c r="AR70" t="s">
        <v>479</v>
      </c>
    </row>
    <row r="71" spans="7:44" x14ac:dyDescent="0.35">
      <c r="G71" s="55" t="s">
        <v>461</v>
      </c>
      <c r="H71" s="55" t="s">
        <v>249</v>
      </c>
      <c r="Q71" t="s">
        <v>480</v>
      </c>
      <c r="S71" s="9" t="s">
        <v>481</v>
      </c>
      <c r="T71" s="9" t="s">
        <v>482</v>
      </c>
      <c r="X71" s="8"/>
      <c r="AR71" t="s">
        <v>483</v>
      </c>
    </row>
    <row r="72" spans="7:44" x14ac:dyDescent="0.35">
      <c r="G72" s="55" t="s">
        <v>461</v>
      </c>
      <c r="H72" s="55" t="s">
        <v>255</v>
      </c>
      <c r="Q72" t="s">
        <v>484</v>
      </c>
      <c r="S72" s="10" t="s">
        <v>485</v>
      </c>
      <c r="T72" s="9" t="s">
        <v>486</v>
      </c>
      <c r="X72" s="8"/>
      <c r="AR72" t="s">
        <v>487</v>
      </c>
    </row>
    <row r="73" spans="7:44" x14ac:dyDescent="0.35">
      <c r="G73" s="55" t="s">
        <v>461</v>
      </c>
      <c r="H73" s="55" t="s">
        <v>261</v>
      </c>
      <c r="Q73" t="s">
        <v>488</v>
      </c>
      <c r="S73" s="9" t="s">
        <v>489</v>
      </c>
      <c r="T73" s="9" t="s">
        <v>490</v>
      </c>
      <c r="X73" s="8"/>
      <c r="AR73" t="s">
        <v>491</v>
      </c>
    </row>
    <row r="74" spans="7:44" x14ac:dyDescent="0.35">
      <c r="G74" s="55" t="s">
        <v>461</v>
      </c>
      <c r="H74" s="55" t="s">
        <v>267</v>
      </c>
      <c r="Q74" t="s">
        <v>492</v>
      </c>
      <c r="S74" s="56" t="s">
        <v>238</v>
      </c>
      <c r="T74" s="56" t="s">
        <v>125</v>
      </c>
      <c r="X74" s="8"/>
      <c r="AR74" t="s">
        <v>493</v>
      </c>
    </row>
    <row r="75" spans="7:44" x14ac:dyDescent="0.35">
      <c r="G75" s="55" t="s">
        <v>461</v>
      </c>
      <c r="H75" s="55" t="s">
        <v>273</v>
      </c>
      <c r="Q75" t="s">
        <v>494</v>
      </c>
      <c r="S75" s="56" t="s">
        <v>442</v>
      </c>
      <c r="T75" s="56" t="s">
        <v>443</v>
      </c>
      <c r="X75" s="8"/>
      <c r="AR75" t="s">
        <v>495</v>
      </c>
    </row>
    <row r="76" spans="7:44" x14ac:dyDescent="0.35">
      <c r="G76" s="55" t="s">
        <v>461</v>
      </c>
      <c r="H76" s="55" t="s">
        <v>279</v>
      </c>
      <c r="Q76" t="s">
        <v>496</v>
      </c>
      <c r="S76" s="9" t="s">
        <v>497</v>
      </c>
      <c r="T76" s="9" t="s">
        <v>498</v>
      </c>
      <c r="X76" s="8"/>
      <c r="AR76" t="s">
        <v>499</v>
      </c>
    </row>
    <row r="77" spans="7:44" x14ac:dyDescent="0.35">
      <c r="G77" s="55" t="s">
        <v>461</v>
      </c>
      <c r="H77" s="55" t="s">
        <v>285</v>
      </c>
      <c r="Q77" t="s">
        <v>500</v>
      </c>
      <c r="S77" s="9" t="s">
        <v>501</v>
      </c>
      <c r="T77" s="9" t="s">
        <v>502</v>
      </c>
      <c r="X77" s="8"/>
      <c r="AR77" t="s">
        <v>503</v>
      </c>
    </row>
    <row r="78" spans="7:44" x14ac:dyDescent="0.35">
      <c r="G78" s="55" t="s">
        <v>461</v>
      </c>
      <c r="H78" s="55" t="s">
        <v>292</v>
      </c>
      <c r="Q78" t="s">
        <v>504</v>
      </c>
      <c r="S78" s="9" t="s">
        <v>505</v>
      </c>
      <c r="T78" s="9" t="s">
        <v>506</v>
      </c>
      <c r="X78" s="8"/>
      <c r="AR78" t="s">
        <v>507</v>
      </c>
    </row>
    <row r="79" spans="7:44" x14ac:dyDescent="0.35">
      <c r="G79" s="55" t="s">
        <v>461</v>
      </c>
      <c r="H79" s="55" t="s">
        <v>298</v>
      </c>
      <c r="Q79" t="s">
        <v>508</v>
      </c>
      <c r="S79" s="9" t="s">
        <v>509</v>
      </c>
      <c r="T79" s="9" t="s">
        <v>510</v>
      </c>
      <c r="X79" s="8"/>
      <c r="AR79" t="s">
        <v>511</v>
      </c>
    </row>
    <row r="80" spans="7:44" x14ac:dyDescent="0.35">
      <c r="G80" s="55" t="s">
        <v>461</v>
      </c>
      <c r="H80" s="55" t="s">
        <v>304</v>
      </c>
      <c r="Q80" t="s">
        <v>512</v>
      </c>
      <c r="S80" s="9" t="s">
        <v>513</v>
      </c>
      <c r="T80" s="9" t="s">
        <v>514</v>
      </c>
      <c r="X80" s="8"/>
      <c r="AR80" t="s">
        <v>515</v>
      </c>
    </row>
    <row r="81" spans="7:44" x14ac:dyDescent="0.35">
      <c r="G81" s="55" t="s">
        <v>461</v>
      </c>
      <c r="H81" s="55" t="s">
        <v>310</v>
      </c>
      <c r="Q81" t="s">
        <v>516</v>
      </c>
      <c r="S81" s="10" t="s">
        <v>1695</v>
      </c>
      <c r="T81" t="s">
        <v>1693</v>
      </c>
      <c r="X81" s="8"/>
      <c r="AR81" t="s">
        <v>519</v>
      </c>
    </row>
    <row r="82" spans="7:44" x14ac:dyDescent="0.35">
      <c r="G82" s="55" t="s">
        <v>461</v>
      </c>
      <c r="H82" s="55" t="s">
        <v>316</v>
      </c>
      <c r="Q82" t="s">
        <v>520</v>
      </c>
      <c r="S82" s="10" t="s">
        <v>1696</v>
      </c>
      <c r="T82" t="s">
        <v>1694</v>
      </c>
      <c r="X82" s="8"/>
      <c r="AR82" t="s">
        <v>523</v>
      </c>
    </row>
    <row r="83" spans="7:44" x14ac:dyDescent="0.35">
      <c r="Q83" t="s">
        <v>524</v>
      </c>
      <c r="S83" s="9" t="s">
        <v>517</v>
      </c>
      <c r="T83" s="9" t="s">
        <v>518</v>
      </c>
      <c r="X83" s="8"/>
      <c r="AR83" t="s">
        <v>527</v>
      </c>
    </row>
    <row r="84" spans="7:44" x14ac:dyDescent="0.35">
      <c r="Q84" t="s">
        <v>528</v>
      </c>
      <c r="S84" s="10" t="s">
        <v>521</v>
      </c>
      <c r="T84" s="9" t="s">
        <v>522</v>
      </c>
      <c r="X84" s="8"/>
      <c r="AR84" t="s">
        <v>531</v>
      </c>
    </row>
    <row r="85" spans="7:44" x14ac:dyDescent="0.35">
      <c r="Q85" t="s">
        <v>532</v>
      </c>
      <c r="S85" s="57" t="s">
        <v>525</v>
      </c>
      <c r="T85" s="9" t="s">
        <v>526</v>
      </c>
      <c r="X85" s="8"/>
      <c r="AR85" t="s">
        <v>535</v>
      </c>
    </row>
    <row r="86" spans="7:44" x14ac:dyDescent="0.35">
      <c r="Q86" t="s">
        <v>536</v>
      </c>
      <c r="S86" s="9" t="s">
        <v>529</v>
      </c>
      <c r="T86" s="9" t="s">
        <v>530</v>
      </c>
      <c r="X86" s="8"/>
      <c r="AR86" t="s">
        <v>538</v>
      </c>
    </row>
    <row r="87" spans="7:44" x14ac:dyDescent="0.35">
      <c r="Q87" t="s">
        <v>539</v>
      </c>
      <c r="S87" s="9" t="s">
        <v>533</v>
      </c>
      <c r="T87" s="9" t="s">
        <v>534</v>
      </c>
      <c r="X87" s="8"/>
      <c r="AR87" t="s">
        <v>542</v>
      </c>
    </row>
    <row r="88" spans="7:44" x14ac:dyDescent="0.35">
      <c r="Q88" t="s">
        <v>543</v>
      </c>
      <c r="S88" s="9" t="s">
        <v>537</v>
      </c>
      <c r="T88" s="9" t="s">
        <v>52</v>
      </c>
      <c r="X88" s="8"/>
      <c r="AR88" t="s">
        <v>546</v>
      </c>
    </row>
    <row r="89" spans="7:44" x14ac:dyDescent="0.35">
      <c r="Q89" t="s">
        <v>547</v>
      </c>
      <c r="S89" s="9" t="s">
        <v>540</v>
      </c>
      <c r="T89" s="9" t="s">
        <v>541</v>
      </c>
      <c r="X89" s="8"/>
      <c r="AR89" t="s">
        <v>550</v>
      </c>
    </row>
    <row r="90" spans="7:44" x14ac:dyDescent="0.35">
      <c r="Q90" t="s">
        <v>551</v>
      </c>
      <c r="S90" s="9" t="s">
        <v>544</v>
      </c>
      <c r="T90" s="9" t="s">
        <v>545</v>
      </c>
      <c r="X90" s="8"/>
      <c r="AR90" t="s">
        <v>554</v>
      </c>
    </row>
    <row r="91" spans="7:44" x14ac:dyDescent="0.35">
      <c r="Q91" t="s">
        <v>555</v>
      </c>
      <c r="S91" s="9" t="s">
        <v>548</v>
      </c>
      <c r="T91" s="9" t="s">
        <v>549</v>
      </c>
      <c r="X91" s="8"/>
      <c r="AR91" t="s">
        <v>558</v>
      </c>
    </row>
    <row r="92" spans="7:44" x14ac:dyDescent="0.35">
      <c r="Q92" t="s">
        <v>559</v>
      </c>
      <c r="S92" s="58" t="s">
        <v>552</v>
      </c>
      <c r="T92" s="9" t="s">
        <v>553</v>
      </c>
      <c r="X92" s="8"/>
      <c r="AR92" t="s">
        <v>562</v>
      </c>
    </row>
    <row r="93" spans="7:44" x14ac:dyDescent="0.35">
      <c r="Q93" t="s">
        <v>563</v>
      </c>
      <c r="S93" s="9" t="s">
        <v>556</v>
      </c>
      <c r="T93" s="9" t="s">
        <v>557</v>
      </c>
      <c r="X93" s="8"/>
      <c r="AR93" t="s">
        <v>566</v>
      </c>
    </row>
    <row r="94" spans="7:44" x14ac:dyDescent="0.35">
      <c r="Q94" t="s">
        <v>567</v>
      </c>
      <c r="S94" s="9" t="s">
        <v>560</v>
      </c>
      <c r="T94" s="9" t="s">
        <v>561</v>
      </c>
      <c r="X94" s="8"/>
      <c r="AR94" t="s">
        <v>570</v>
      </c>
    </row>
    <row r="95" spans="7:44" x14ac:dyDescent="0.35">
      <c r="Q95" t="s">
        <v>571</v>
      </c>
      <c r="S95" s="9" t="s">
        <v>564</v>
      </c>
      <c r="T95" s="9" t="s">
        <v>565</v>
      </c>
      <c r="X95" s="8"/>
      <c r="AR95" t="s">
        <v>574</v>
      </c>
    </row>
    <row r="96" spans="7:44" x14ac:dyDescent="0.35">
      <c r="Q96" t="s">
        <v>575</v>
      </c>
      <c r="S96" s="9" t="s">
        <v>568</v>
      </c>
      <c r="T96" s="9" t="s">
        <v>569</v>
      </c>
      <c r="X96" s="8"/>
      <c r="AR96" t="s">
        <v>578</v>
      </c>
    </row>
    <row r="97" spans="17:44" x14ac:dyDescent="0.35">
      <c r="Q97" t="s">
        <v>579</v>
      </c>
      <c r="S97" s="9" t="s">
        <v>572</v>
      </c>
      <c r="T97" s="9" t="s">
        <v>573</v>
      </c>
      <c r="X97" s="8"/>
      <c r="AR97" t="s">
        <v>582</v>
      </c>
    </row>
    <row r="98" spans="17:44" x14ac:dyDescent="0.35">
      <c r="Q98" t="s">
        <v>583</v>
      </c>
      <c r="S98" s="9" t="s">
        <v>576</v>
      </c>
      <c r="T98" s="9" t="s">
        <v>577</v>
      </c>
      <c r="X98" s="8"/>
      <c r="AR98" t="s">
        <v>585</v>
      </c>
    </row>
    <row r="99" spans="17:44" x14ac:dyDescent="0.35">
      <c r="Q99" t="s">
        <v>586</v>
      </c>
      <c r="S99" s="9" t="s">
        <v>580</v>
      </c>
      <c r="T99" s="9" t="s">
        <v>581</v>
      </c>
      <c r="X99" s="8"/>
      <c r="AR99" t="s">
        <v>589</v>
      </c>
    </row>
    <row r="100" spans="17:44" x14ac:dyDescent="0.35">
      <c r="Q100" t="s">
        <v>590</v>
      </c>
      <c r="S100" s="56" t="s">
        <v>580</v>
      </c>
      <c r="T100" s="56" t="s">
        <v>584</v>
      </c>
      <c r="X100" s="8"/>
      <c r="AR100" t="s">
        <v>593</v>
      </c>
    </row>
    <row r="101" spans="17:44" x14ac:dyDescent="0.35">
      <c r="Q101" t="s">
        <v>594</v>
      </c>
      <c r="S101" s="9" t="s">
        <v>587</v>
      </c>
      <c r="T101" s="9" t="s">
        <v>588</v>
      </c>
      <c r="AR101" t="s">
        <v>597</v>
      </c>
    </row>
    <row r="102" spans="17:44" x14ac:dyDescent="0.35">
      <c r="Q102" t="s">
        <v>598</v>
      </c>
      <c r="S102" s="9" t="s">
        <v>591</v>
      </c>
      <c r="T102" s="9" t="s">
        <v>592</v>
      </c>
      <c r="X102" s="8"/>
      <c r="AR102" t="s">
        <v>601</v>
      </c>
    </row>
    <row r="103" spans="17:44" x14ac:dyDescent="0.35">
      <c r="Q103" t="s">
        <v>602</v>
      </c>
      <c r="S103" s="9" t="s">
        <v>595</v>
      </c>
      <c r="T103" s="9" t="s">
        <v>596</v>
      </c>
      <c r="X103" s="8"/>
      <c r="AR103" t="s">
        <v>605</v>
      </c>
    </row>
    <row r="104" spans="17:44" x14ac:dyDescent="0.35">
      <c r="Q104" t="s">
        <v>606</v>
      </c>
      <c r="S104" s="56" t="s">
        <v>599</v>
      </c>
      <c r="T104" s="56" t="s">
        <v>600</v>
      </c>
      <c r="X104" s="8"/>
      <c r="AR104" t="s">
        <v>609</v>
      </c>
    </row>
    <row r="105" spans="17:44" x14ac:dyDescent="0.35">
      <c r="Q105" t="s">
        <v>610</v>
      </c>
      <c r="S105" s="9" t="s">
        <v>603</v>
      </c>
      <c r="T105" s="9" t="s">
        <v>604</v>
      </c>
      <c r="X105" s="8"/>
      <c r="AR105" t="s">
        <v>613</v>
      </c>
    </row>
    <row r="106" spans="17:44" x14ac:dyDescent="0.35">
      <c r="Q106" t="s">
        <v>614</v>
      </c>
      <c r="S106" s="9" t="s">
        <v>607</v>
      </c>
      <c r="T106" s="9" t="s">
        <v>608</v>
      </c>
      <c r="X106" s="8"/>
      <c r="AR106" t="s">
        <v>617</v>
      </c>
    </row>
    <row r="107" spans="17:44" x14ac:dyDescent="0.35">
      <c r="Q107" t="s">
        <v>618</v>
      </c>
      <c r="S107" s="56" t="s">
        <v>611</v>
      </c>
      <c r="T107" s="56" t="s">
        <v>612</v>
      </c>
      <c r="X107" s="8"/>
      <c r="AR107" t="s">
        <v>620</v>
      </c>
    </row>
    <row r="108" spans="17:44" x14ac:dyDescent="0.35">
      <c r="Q108" t="s">
        <v>621</v>
      </c>
      <c r="S108" s="9" t="s">
        <v>615</v>
      </c>
      <c r="T108" s="9" t="s">
        <v>616</v>
      </c>
      <c r="X108" s="8"/>
      <c r="AR108" t="s">
        <v>624</v>
      </c>
    </row>
    <row r="109" spans="17:44" x14ac:dyDescent="0.35">
      <c r="Q109" t="s">
        <v>625</v>
      </c>
      <c r="S109" s="9" t="s">
        <v>619</v>
      </c>
      <c r="T109" t="s">
        <v>41</v>
      </c>
      <c r="X109" s="8"/>
      <c r="AR109" t="s">
        <v>627</v>
      </c>
    </row>
    <row r="110" spans="17:44" x14ac:dyDescent="0.35">
      <c r="Q110" t="s">
        <v>628</v>
      </c>
      <c r="S110" s="59" t="s">
        <v>622</v>
      </c>
      <c r="T110" s="56" t="s">
        <v>623</v>
      </c>
      <c r="X110" s="8"/>
      <c r="AR110" t="s">
        <v>630</v>
      </c>
    </row>
    <row r="111" spans="17:44" x14ac:dyDescent="0.35">
      <c r="Q111" t="s">
        <v>631</v>
      </c>
      <c r="S111" s="9" t="s">
        <v>626</v>
      </c>
      <c r="T111" s="9" t="s">
        <v>3588</v>
      </c>
      <c r="X111" s="8"/>
      <c r="AR111" t="s">
        <v>634</v>
      </c>
    </row>
    <row r="112" spans="17:44" x14ac:dyDescent="0.35">
      <c r="Q112" t="s">
        <v>635</v>
      </c>
      <c r="S112" s="9" t="s">
        <v>629</v>
      </c>
      <c r="T112" s="23" t="s">
        <v>26</v>
      </c>
      <c r="X112" s="8"/>
      <c r="AR112" t="s">
        <v>638</v>
      </c>
    </row>
    <row r="113" spans="17:44" x14ac:dyDescent="0.35">
      <c r="Q113" t="s">
        <v>639</v>
      </c>
      <c r="S113" s="59" t="s">
        <v>632</v>
      </c>
      <c r="T113" s="56" t="s">
        <v>633</v>
      </c>
      <c r="X113" s="8"/>
      <c r="AR113" t="s">
        <v>642</v>
      </c>
    </row>
    <row r="114" spans="17:44" x14ac:dyDescent="0.35">
      <c r="Q114" t="s">
        <v>643</v>
      </c>
      <c r="S114" s="9" t="s">
        <v>636</v>
      </c>
      <c r="T114" s="9" t="s">
        <v>637</v>
      </c>
      <c r="X114" s="8"/>
      <c r="AR114" t="s">
        <v>48</v>
      </c>
    </row>
    <row r="115" spans="17:44" x14ac:dyDescent="0.35">
      <c r="Q115" t="s">
        <v>646</v>
      </c>
      <c r="S115" s="9" t="s">
        <v>640</v>
      </c>
      <c r="T115" s="9" t="s">
        <v>641</v>
      </c>
      <c r="X115" s="8"/>
      <c r="AR115" t="s">
        <v>649</v>
      </c>
    </row>
    <row r="116" spans="17:44" x14ac:dyDescent="0.35">
      <c r="Q116" t="s">
        <v>650</v>
      </c>
      <c r="S116" s="10" t="s">
        <v>644</v>
      </c>
      <c r="T116" s="9" t="s">
        <v>645</v>
      </c>
      <c r="X116" s="8"/>
      <c r="AR116" t="s">
        <v>651</v>
      </c>
    </row>
    <row r="117" spans="17:44" x14ac:dyDescent="0.35">
      <c r="Q117" t="s">
        <v>652</v>
      </c>
      <c r="S117" s="10" t="s">
        <v>647</v>
      </c>
      <c r="T117" s="9" t="s">
        <v>648</v>
      </c>
      <c r="X117" s="8"/>
      <c r="AR117" t="s">
        <v>653</v>
      </c>
    </row>
    <row r="118" spans="17:44" x14ac:dyDescent="0.35">
      <c r="Q118" t="s">
        <v>654</v>
      </c>
      <c r="S118" s="10" t="s">
        <v>296</v>
      </c>
      <c r="T118" s="9" t="s">
        <v>136</v>
      </c>
      <c r="X118" s="8"/>
      <c r="AR118" t="s">
        <v>655</v>
      </c>
    </row>
    <row r="119" spans="17:44" x14ac:dyDescent="0.35">
      <c r="Q119" t="s">
        <v>656</v>
      </c>
      <c r="S119" s="10" t="s">
        <v>302</v>
      </c>
      <c r="T119" s="9" t="s">
        <v>145</v>
      </c>
      <c r="X119" s="8"/>
      <c r="AR119" t="s">
        <v>657</v>
      </c>
    </row>
    <row r="120" spans="17:44" x14ac:dyDescent="0.35">
      <c r="Q120" t="s">
        <v>658</v>
      </c>
      <c r="S120" s="10" t="s">
        <v>308</v>
      </c>
      <c r="T120" s="9" t="s">
        <v>155</v>
      </c>
      <c r="X120" s="8"/>
      <c r="AR120" t="s">
        <v>659</v>
      </c>
    </row>
    <row r="121" spans="17:44" x14ac:dyDescent="0.35">
      <c r="Q121" t="s">
        <v>660</v>
      </c>
      <c r="S121" s="9" t="s">
        <v>314</v>
      </c>
      <c r="T121" s="9" t="s">
        <v>163</v>
      </c>
      <c r="X121" s="8"/>
      <c r="AR121" t="s">
        <v>661</v>
      </c>
    </row>
    <row r="122" spans="17:44" x14ac:dyDescent="0.35">
      <c r="Q122" t="s">
        <v>662</v>
      </c>
      <c r="S122" s="56" t="s">
        <v>326</v>
      </c>
      <c r="T122" s="56" t="s">
        <v>327</v>
      </c>
      <c r="X122" s="8"/>
      <c r="AR122" t="s">
        <v>663</v>
      </c>
    </row>
    <row r="123" spans="17:44" x14ac:dyDescent="0.35">
      <c r="Q123" t="s">
        <v>664</v>
      </c>
      <c r="S123" s="9" t="s">
        <v>253</v>
      </c>
      <c r="T123" s="9" t="s">
        <v>254</v>
      </c>
      <c r="X123" s="8"/>
      <c r="AR123" t="s">
        <v>665</v>
      </c>
    </row>
    <row r="124" spans="17:44" x14ac:dyDescent="0.35">
      <c r="Q124" t="s">
        <v>666</v>
      </c>
      <c r="S124" s="56" t="s">
        <v>277</v>
      </c>
      <c r="T124" s="56" t="s">
        <v>278</v>
      </c>
      <c r="X124" s="8"/>
      <c r="AR124" t="s">
        <v>669</v>
      </c>
    </row>
    <row r="125" spans="17:44" x14ac:dyDescent="0.35">
      <c r="Q125" t="s">
        <v>670</v>
      </c>
      <c r="S125" s="56" t="s">
        <v>283</v>
      </c>
      <c r="T125" s="56" t="s">
        <v>284</v>
      </c>
      <c r="X125" s="8"/>
      <c r="AR125" t="s">
        <v>673</v>
      </c>
    </row>
    <row r="126" spans="17:44" x14ac:dyDescent="0.35">
      <c r="Q126" t="s">
        <v>674</v>
      </c>
      <c r="S126" s="9" t="s">
        <v>667</v>
      </c>
      <c r="T126" s="56" t="s">
        <v>668</v>
      </c>
      <c r="X126" s="8"/>
      <c r="AR126" t="s">
        <v>677</v>
      </c>
    </row>
    <row r="127" spans="17:44" x14ac:dyDescent="0.35">
      <c r="Q127" t="s">
        <v>678</v>
      </c>
      <c r="S127" s="9" t="s">
        <v>671</v>
      </c>
      <c r="T127" s="9" t="s">
        <v>672</v>
      </c>
      <c r="X127" s="8"/>
      <c r="AR127" t="s">
        <v>681</v>
      </c>
    </row>
    <row r="128" spans="17:44" x14ac:dyDescent="0.35">
      <c r="Q128" t="s">
        <v>682</v>
      </c>
      <c r="S128" s="9" t="s">
        <v>675</v>
      </c>
      <c r="T128" s="9" t="s">
        <v>676</v>
      </c>
      <c r="X128" s="8"/>
      <c r="AR128" t="s">
        <v>685</v>
      </c>
    </row>
    <row r="129" spans="17:44" x14ac:dyDescent="0.35">
      <c r="Q129" t="s">
        <v>686</v>
      </c>
      <c r="S129" s="9" t="s">
        <v>679</v>
      </c>
      <c r="T129" s="9" t="s">
        <v>680</v>
      </c>
      <c r="X129" s="8"/>
      <c r="AR129" t="s">
        <v>689</v>
      </c>
    </row>
    <row r="130" spans="17:44" x14ac:dyDescent="0.35">
      <c r="Q130" t="s">
        <v>690</v>
      </c>
      <c r="S130" s="9" t="s">
        <v>683</v>
      </c>
      <c r="T130" s="9" t="s">
        <v>684</v>
      </c>
      <c r="X130" s="8"/>
      <c r="AR130" t="s">
        <v>693</v>
      </c>
    </row>
    <row r="131" spans="17:44" x14ac:dyDescent="0.35">
      <c r="Q131" t="s">
        <v>694</v>
      </c>
      <c r="S131" s="9" t="s">
        <v>687</v>
      </c>
      <c r="T131" s="9" t="s">
        <v>688</v>
      </c>
      <c r="X131" s="8"/>
      <c r="AR131" t="s">
        <v>697</v>
      </c>
    </row>
    <row r="132" spans="17:44" x14ac:dyDescent="0.35">
      <c r="Q132" t="s">
        <v>698</v>
      </c>
      <c r="S132" s="56" t="s">
        <v>691</v>
      </c>
      <c r="T132" s="56" t="s">
        <v>692</v>
      </c>
      <c r="X132" s="8"/>
      <c r="AR132" t="s">
        <v>701</v>
      </c>
    </row>
    <row r="133" spans="17:44" x14ac:dyDescent="0.35">
      <c r="Q133" t="s">
        <v>702</v>
      </c>
      <c r="S133" s="59" t="s">
        <v>695</v>
      </c>
      <c r="T133" s="59" t="s">
        <v>696</v>
      </c>
      <c r="X133" s="8"/>
      <c r="AR133" t="s">
        <v>705</v>
      </c>
    </row>
    <row r="134" spans="17:44" x14ac:dyDescent="0.35">
      <c r="Q134" t="s">
        <v>706</v>
      </c>
      <c r="S134" s="59" t="s">
        <v>699</v>
      </c>
      <c r="T134" s="59" t="s">
        <v>700</v>
      </c>
      <c r="X134" s="8"/>
      <c r="AR134" t="s">
        <v>709</v>
      </c>
    </row>
    <row r="135" spans="17:44" x14ac:dyDescent="0.35">
      <c r="Q135" t="s">
        <v>710</v>
      </c>
      <c r="S135" s="59" t="s">
        <v>703</v>
      </c>
      <c r="T135" s="59" t="s">
        <v>704</v>
      </c>
      <c r="X135" s="8"/>
      <c r="AR135" t="s">
        <v>713</v>
      </c>
    </row>
    <row r="136" spans="17:44" x14ac:dyDescent="0.35">
      <c r="Q136" t="s">
        <v>714</v>
      </c>
      <c r="S136" s="59" t="s">
        <v>707</v>
      </c>
      <c r="T136" s="59" t="s">
        <v>708</v>
      </c>
      <c r="X136" s="8"/>
      <c r="AR136" t="s">
        <v>717</v>
      </c>
    </row>
    <row r="137" spans="17:44" x14ac:dyDescent="0.35">
      <c r="Q137" t="s">
        <v>718</v>
      </c>
      <c r="S137" s="9" t="s">
        <v>711</v>
      </c>
      <c r="T137" s="9" t="s">
        <v>712</v>
      </c>
      <c r="X137" s="8"/>
      <c r="AR137" t="s">
        <v>721</v>
      </c>
    </row>
    <row r="138" spans="17:44" x14ac:dyDescent="0.35">
      <c r="Q138" t="s">
        <v>722</v>
      </c>
      <c r="S138" s="56" t="s">
        <v>715</v>
      </c>
      <c r="T138" s="56" t="s">
        <v>716</v>
      </c>
      <c r="X138" s="8"/>
      <c r="AR138" t="s">
        <v>725</v>
      </c>
    </row>
    <row r="139" spans="17:44" x14ac:dyDescent="0.35">
      <c r="Q139" t="s">
        <v>726</v>
      </c>
      <c r="S139" s="56" t="s">
        <v>719</v>
      </c>
      <c r="T139" s="56" t="s">
        <v>720</v>
      </c>
      <c r="X139" s="8"/>
      <c r="AR139" t="s">
        <v>729</v>
      </c>
    </row>
    <row r="140" spans="17:44" x14ac:dyDescent="0.35">
      <c r="Q140" t="s">
        <v>726</v>
      </c>
      <c r="S140" s="56" t="s">
        <v>723</v>
      </c>
      <c r="T140" s="56" t="s">
        <v>724</v>
      </c>
      <c r="X140" s="8"/>
      <c r="AR140" t="s">
        <v>732</v>
      </c>
    </row>
    <row r="141" spans="17:44" x14ac:dyDescent="0.35">
      <c r="Q141" t="s">
        <v>733</v>
      </c>
      <c r="S141" s="56" t="s">
        <v>727</v>
      </c>
      <c r="T141" s="56" t="s">
        <v>728</v>
      </c>
      <c r="X141" s="8"/>
      <c r="AR141" t="s">
        <v>736</v>
      </c>
    </row>
    <row r="142" spans="17:44" x14ac:dyDescent="0.35">
      <c r="Q142" t="s">
        <v>737</v>
      </c>
      <c r="S142" s="9" t="s">
        <v>730</v>
      </c>
      <c r="T142" s="9" t="s">
        <v>731</v>
      </c>
      <c r="X142" s="8"/>
      <c r="AR142" t="s">
        <v>740</v>
      </c>
    </row>
    <row r="143" spans="17:44" x14ac:dyDescent="0.35">
      <c r="Q143" t="s">
        <v>741</v>
      </c>
      <c r="S143" s="9" t="s">
        <v>734</v>
      </c>
      <c r="T143" s="9" t="s">
        <v>735</v>
      </c>
      <c r="X143" s="8"/>
      <c r="AR143" t="s">
        <v>744</v>
      </c>
    </row>
    <row r="144" spans="17:44" x14ac:dyDescent="0.35">
      <c r="Q144" t="s">
        <v>745</v>
      </c>
      <c r="S144" s="9" t="s">
        <v>738</v>
      </c>
      <c r="T144" s="9" t="s">
        <v>739</v>
      </c>
      <c r="X144" s="8"/>
      <c r="AR144" t="s">
        <v>748</v>
      </c>
    </row>
    <row r="145" spans="17:44" x14ac:dyDescent="0.35">
      <c r="Q145" t="s">
        <v>749</v>
      </c>
      <c r="S145" s="56" t="s">
        <v>742</v>
      </c>
      <c r="T145" s="56" t="s">
        <v>743</v>
      </c>
      <c r="X145" s="8"/>
      <c r="AR145" t="s">
        <v>752</v>
      </c>
    </row>
    <row r="146" spans="17:44" x14ac:dyDescent="0.35">
      <c r="Q146" t="s">
        <v>753</v>
      </c>
      <c r="S146" s="9" t="s">
        <v>746</v>
      </c>
      <c r="T146" s="9" t="s">
        <v>747</v>
      </c>
      <c r="X146" s="8"/>
      <c r="AR146" t="s">
        <v>756</v>
      </c>
    </row>
    <row r="147" spans="17:44" x14ac:dyDescent="0.35">
      <c r="Q147" t="s">
        <v>757</v>
      </c>
      <c r="S147" s="9" t="s">
        <v>750</v>
      </c>
      <c r="T147" s="9" t="s">
        <v>751</v>
      </c>
      <c r="X147" s="8"/>
      <c r="AR147" t="s">
        <v>760</v>
      </c>
    </row>
    <row r="148" spans="17:44" x14ac:dyDescent="0.35">
      <c r="Q148" t="s">
        <v>761</v>
      </c>
      <c r="S148" s="9" t="s">
        <v>754</v>
      </c>
      <c r="T148" s="9" t="s">
        <v>755</v>
      </c>
      <c r="X148" s="8"/>
      <c r="AR148" t="s">
        <v>764</v>
      </c>
    </row>
    <row r="149" spans="17:44" x14ac:dyDescent="0.35">
      <c r="Q149" t="s">
        <v>765</v>
      </c>
      <c r="S149" s="9" t="s">
        <v>758</v>
      </c>
      <c r="T149" s="9" t="s">
        <v>759</v>
      </c>
      <c r="X149" s="8"/>
      <c r="AR149" t="s">
        <v>768</v>
      </c>
    </row>
    <row r="150" spans="17:44" x14ac:dyDescent="0.35">
      <c r="Q150" t="s">
        <v>769</v>
      </c>
      <c r="S150" s="9" t="s">
        <v>762</v>
      </c>
      <c r="T150" s="9" t="s">
        <v>763</v>
      </c>
      <c r="X150" s="8"/>
      <c r="AR150" t="s">
        <v>772</v>
      </c>
    </row>
    <row r="151" spans="17:44" x14ac:dyDescent="0.35">
      <c r="Q151" t="s">
        <v>363</v>
      </c>
      <c r="S151" s="9" t="s">
        <v>766</v>
      </c>
      <c r="T151" s="9" t="s">
        <v>767</v>
      </c>
      <c r="X151" s="8"/>
      <c r="AR151" t="s">
        <v>775</v>
      </c>
    </row>
    <row r="152" spans="17:44" x14ac:dyDescent="0.35">
      <c r="Q152" t="s">
        <v>776</v>
      </c>
      <c r="S152" s="9" t="s">
        <v>770</v>
      </c>
      <c r="T152" s="9" t="s">
        <v>771</v>
      </c>
      <c r="X152" s="8"/>
      <c r="AR152" t="s">
        <v>779</v>
      </c>
    </row>
    <row r="153" spans="17:44" x14ac:dyDescent="0.35">
      <c r="Q153" t="s">
        <v>780</v>
      </c>
      <c r="S153" s="9" t="s">
        <v>773</v>
      </c>
      <c r="T153" s="9" t="s">
        <v>774</v>
      </c>
      <c r="X153" s="8"/>
      <c r="AR153" t="s">
        <v>783</v>
      </c>
    </row>
    <row r="154" spans="17:44" x14ac:dyDescent="0.35">
      <c r="Q154" t="s">
        <v>784</v>
      </c>
      <c r="S154" s="9" t="s">
        <v>777</v>
      </c>
      <c r="T154" s="9" t="s">
        <v>778</v>
      </c>
      <c r="X154" s="8"/>
      <c r="AR154" t="s">
        <v>787</v>
      </c>
    </row>
    <row r="155" spans="17:44" x14ac:dyDescent="0.35">
      <c r="Q155" t="s">
        <v>788</v>
      </c>
      <c r="S155" s="9" t="s">
        <v>781</v>
      </c>
      <c r="T155" s="9" t="s">
        <v>782</v>
      </c>
      <c r="X155" s="8"/>
      <c r="AR155" t="s">
        <v>791</v>
      </c>
    </row>
    <row r="156" spans="17:44" x14ac:dyDescent="0.35">
      <c r="Q156" t="s">
        <v>792</v>
      </c>
      <c r="S156" s="10" t="s">
        <v>785</v>
      </c>
      <c r="T156" s="9" t="s">
        <v>786</v>
      </c>
      <c r="X156" s="8"/>
      <c r="AR156" t="s">
        <v>795</v>
      </c>
    </row>
    <row r="157" spans="17:44" x14ac:dyDescent="0.35">
      <c r="Q157" t="s">
        <v>796</v>
      </c>
      <c r="S157" s="56" t="s">
        <v>789</v>
      </c>
      <c r="T157" s="56" t="s">
        <v>790</v>
      </c>
      <c r="X157" s="8"/>
      <c r="AR157" t="s">
        <v>799</v>
      </c>
    </row>
    <row r="158" spans="17:44" x14ac:dyDescent="0.35">
      <c r="Q158" t="s">
        <v>800</v>
      </c>
      <c r="S158" s="56" t="s">
        <v>793</v>
      </c>
      <c r="T158" t="s">
        <v>794</v>
      </c>
      <c r="X158" s="8"/>
      <c r="AR158" t="s">
        <v>803</v>
      </c>
    </row>
    <row r="159" spans="17:44" x14ac:dyDescent="0.35">
      <c r="Q159" t="s">
        <v>804</v>
      </c>
      <c r="S159" s="9" t="s">
        <v>797</v>
      </c>
      <c r="T159" s="9" t="s">
        <v>798</v>
      </c>
      <c r="X159" s="8"/>
      <c r="AR159" t="s">
        <v>806</v>
      </c>
    </row>
    <row r="160" spans="17:44" x14ac:dyDescent="0.35">
      <c r="Q160" t="s">
        <v>807</v>
      </c>
      <c r="S160" s="9" t="s">
        <v>801</v>
      </c>
      <c r="T160" s="9" t="s">
        <v>802</v>
      </c>
      <c r="X160" s="8"/>
      <c r="AR160" t="s">
        <v>809</v>
      </c>
    </row>
    <row r="161" spans="17:44" x14ac:dyDescent="0.35">
      <c r="Q161" t="s">
        <v>810</v>
      </c>
      <c r="S161" s="9" t="s">
        <v>805</v>
      </c>
      <c r="T161" s="9" t="s">
        <v>173</v>
      </c>
      <c r="X161" s="8"/>
      <c r="AR161" t="s">
        <v>812</v>
      </c>
    </row>
    <row r="162" spans="17:44" x14ac:dyDescent="0.35">
      <c r="Q162" t="s">
        <v>813</v>
      </c>
      <c r="S162" s="9" t="s">
        <v>808</v>
      </c>
      <c r="T162" s="9" t="s">
        <v>40</v>
      </c>
      <c r="V162" s="50" t="s">
        <v>815</v>
      </c>
      <c r="X162" s="8"/>
      <c r="AR162" t="s">
        <v>816</v>
      </c>
    </row>
    <row r="163" spans="17:44" x14ac:dyDescent="0.35">
      <c r="Q163" t="s">
        <v>817</v>
      </c>
      <c r="S163" s="9" t="s">
        <v>811</v>
      </c>
      <c r="T163" s="9" t="s">
        <v>183</v>
      </c>
      <c r="X163" s="8"/>
      <c r="AR163" t="s">
        <v>820</v>
      </c>
    </row>
    <row r="164" spans="17:44" x14ac:dyDescent="0.35">
      <c r="Q164" t="s">
        <v>821</v>
      </c>
      <c r="S164" s="9" t="s">
        <v>814</v>
      </c>
      <c r="T164" s="9" t="s">
        <v>193</v>
      </c>
      <c r="X164" s="8"/>
      <c r="AR164" t="s">
        <v>824</v>
      </c>
    </row>
    <row r="165" spans="17:44" x14ac:dyDescent="0.35">
      <c r="Q165" t="s">
        <v>825</v>
      </c>
      <c r="S165" s="9" t="s">
        <v>818</v>
      </c>
      <c r="T165" s="9" t="s">
        <v>819</v>
      </c>
      <c r="X165" s="8"/>
      <c r="AR165" t="s">
        <v>828</v>
      </c>
    </row>
    <row r="166" spans="17:44" x14ac:dyDescent="0.35">
      <c r="Q166" t="s">
        <v>829</v>
      </c>
      <c r="S166" s="9" t="s">
        <v>822</v>
      </c>
      <c r="T166" s="9" t="s">
        <v>823</v>
      </c>
      <c r="X166" s="8"/>
      <c r="AR166" t="s">
        <v>831</v>
      </c>
    </row>
    <row r="167" spans="17:44" x14ac:dyDescent="0.35">
      <c r="Q167" t="s">
        <v>832</v>
      </c>
      <c r="S167" s="9" t="s">
        <v>826</v>
      </c>
      <c r="T167" s="9" t="s">
        <v>827</v>
      </c>
      <c r="X167" s="8"/>
      <c r="AR167" t="s">
        <v>834</v>
      </c>
    </row>
    <row r="168" spans="17:44" x14ac:dyDescent="0.35">
      <c r="Q168" t="s">
        <v>835</v>
      </c>
      <c r="S168" s="9" t="s">
        <v>830</v>
      </c>
      <c r="T168" s="9" t="s">
        <v>71</v>
      </c>
      <c r="X168" s="8"/>
      <c r="AR168" t="s">
        <v>838</v>
      </c>
    </row>
    <row r="169" spans="17:44" x14ac:dyDescent="0.35">
      <c r="Q169" t="s">
        <v>839</v>
      </c>
      <c r="S169" s="9" t="s">
        <v>833</v>
      </c>
      <c r="T169" s="9" t="s">
        <v>87</v>
      </c>
      <c r="X169" s="8"/>
      <c r="AR169" t="s">
        <v>842</v>
      </c>
    </row>
    <row r="170" spans="17:44" x14ac:dyDescent="0.35">
      <c r="Q170" t="s">
        <v>843</v>
      </c>
      <c r="S170" s="9" t="s">
        <v>836</v>
      </c>
      <c r="T170" s="9" t="s">
        <v>837</v>
      </c>
      <c r="X170" s="8"/>
      <c r="AR170" t="s">
        <v>846</v>
      </c>
    </row>
    <row r="171" spans="17:44" x14ac:dyDescent="0.35">
      <c r="Q171" t="s">
        <v>847</v>
      </c>
      <c r="S171" s="9" t="s">
        <v>840</v>
      </c>
      <c r="T171" s="9" t="s">
        <v>841</v>
      </c>
      <c r="X171" s="8"/>
      <c r="AR171" t="s">
        <v>850</v>
      </c>
    </row>
    <row r="172" spans="17:44" x14ac:dyDescent="0.35">
      <c r="Q172" t="s">
        <v>851</v>
      </c>
      <c r="S172" s="9" t="s">
        <v>844</v>
      </c>
      <c r="T172" s="9" t="s">
        <v>845</v>
      </c>
      <c r="X172" s="8"/>
      <c r="AR172" t="s">
        <v>854</v>
      </c>
    </row>
    <row r="173" spans="17:44" x14ac:dyDescent="0.35">
      <c r="Q173" t="s">
        <v>855</v>
      </c>
      <c r="S173" s="9" t="s">
        <v>848</v>
      </c>
      <c r="T173" s="9" t="s">
        <v>849</v>
      </c>
      <c r="X173" s="8"/>
      <c r="AR173" t="s">
        <v>858</v>
      </c>
    </row>
    <row r="174" spans="17:44" x14ac:dyDescent="0.35">
      <c r="Q174" t="s">
        <v>859</v>
      </c>
      <c r="S174" s="9" t="s">
        <v>852</v>
      </c>
      <c r="T174" s="9" t="s">
        <v>853</v>
      </c>
      <c r="X174" s="8"/>
      <c r="AR174" t="s">
        <v>861</v>
      </c>
    </row>
    <row r="175" spans="17:44" x14ac:dyDescent="0.35">
      <c r="Q175" t="s">
        <v>862</v>
      </c>
      <c r="S175" s="9" t="s">
        <v>856</v>
      </c>
      <c r="T175" s="9" t="s">
        <v>857</v>
      </c>
      <c r="X175" s="8"/>
      <c r="AR175" t="s">
        <v>865</v>
      </c>
    </row>
    <row r="176" spans="17:44" x14ac:dyDescent="0.35">
      <c r="Q176" t="s">
        <v>866</v>
      </c>
      <c r="S176" s="9" t="s">
        <v>860</v>
      </c>
      <c r="T176" s="9" t="s">
        <v>210</v>
      </c>
      <c r="X176" s="8"/>
      <c r="AR176" t="s">
        <v>869</v>
      </c>
    </row>
    <row r="177" spans="17:44" x14ac:dyDescent="0.35">
      <c r="Q177" t="s">
        <v>870</v>
      </c>
      <c r="S177" s="9" t="s">
        <v>863</v>
      </c>
      <c r="T177" s="9" t="s">
        <v>864</v>
      </c>
      <c r="X177" s="8"/>
      <c r="AR177" t="s">
        <v>872</v>
      </c>
    </row>
    <row r="178" spans="17:44" x14ac:dyDescent="0.35">
      <c r="Q178" t="s">
        <v>873</v>
      </c>
      <c r="S178" t="s">
        <v>867</v>
      </c>
      <c r="T178" s="9" t="s">
        <v>868</v>
      </c>
      <c r="X178" s="8"/>
      <c r="AR178" t="s">
        <v>876</v>
      </c>
    </row>
    <row r="179" spans="17:44" x14ac:dyDescent="0.35">
      <c r="Q179" t="s">
        <v>877</v>
      </c>
      <c r="S179" s="9" t="s">
        <v>871</v>
      </c>
      <c r="T179" s="9" t="s">
        <v>202</v>
      </c>
      <c r="X179" s="8"/>
      <c r="AR179" t="s">
        <v>880</v>
      </c>
    </row>
    <row r="180" spans="17:44" x14ac:dyDescent="0.35">
      <c r="Q180" t="s">
        <v>881</v>
      </c>
      <c r="S180" s="9" t="s">
        <v>874</v>
      </c>
      <c r="T180" s="9" t="s">
        <v>875</v>
      </c>
      <c r="X180" s="8"/>
      <c r="AR180" t="s">
        <v>884</v>
      </c>
    </row>
    <row r="181" spans="17:44" x14ac:dyDescent="0.35">
      <c r="Q181" t="s">
        <v>885</v>
      </c>
      <c r="S181" s="9" t="s">
        <v>878</v>
      </c>
      <c r="T181" s="9" t="s">
        <v>879</v>
      </c>
      <c r="X181" s="8"/>
      <c r="AR181" t="s">
        <v>888</v>
      </c>
    </row>
    <row r="182" spans="17:44" x14ac:dyDescent="0.35">
      <c r="Q182" t="s">
        <v>889</v>
      </c>
      <c r="S182" s="9" t="s">
        <v>882</v>
      </c>
      <c r="T182" s="9" t="s">
        <v>883</v>
      </c>
      <c r="X182" s="8"/>
      <c r="AR182" t="s">
        <v>892</v>
      </c>
    </row>
    <row r="183" spans="17:44" x14ac:dyDescent="0.35">
      <c r="Q183" t="s">
        <v>893</v>
      </c>
      <c r="S183" s="9" t="s">
        <v>886</v>
      </c>
      <c r="T183" s="9" t="s">
        <v>887</v>
      </c>
      <c r="X183" s="8"/>
      <c r="AR183" t="s">
        <v>896</v>
      </c>
    </row>
    <row r="184" spans="17:44" x14ac:dyDescent="0.35">
      <c r="Q184" t="s">
        <v>897</v>
      </c>
      <c r="S184" s="9" t="s">
        <v>890</v>
      </c>
      <c r="T184" s="9" t="s">
        <v>891</v>
      </c>
      <c r="X184" s="8"/>
      <c r="AR184" t="s">
        <v>900</v>
      </c>
    </row>
    <row r="185" spans="17:44" x14ac:dyDescent="0.35">
      <c r="Q185" t="s">
        <v>901</v>
      </c>
      <c r="S185" s="9" t="s">
        <v>894</v>
      </c>
      <c r="T185" s="9" t="s">
        <v>895</v>
      </c>
      <c r="X185" s="8"/>
      <c r="AR185" t="s">
        <v>904</v>
      </c>
    </row>
    <row r="186" spans="17:44" x14ac:dyDescent="0.35">
      <c r="Q186" t="s">
        <v>905</v>
      </c>
      <c r="S186" s="9" t="s">
        <v>898</v>
      </c>
      <c r="T186" s="9" t="s">
        <v>899</v>
      </c>
      <c r="X186" s="8"/>
      <c r="AR186" t="s">
        <v>908</v>
      </c>
    </row>
    <row r="187" spans="17:44" x14ac:dyDescent="0.35">
      <c r="Q187" t="s">
        <v>909</v>
      </c>
      <c r="S187" s="9" t="s">
        <v>902</v>
      </c>
      <c r="T187" s="9" t="s">
        <v>903</v>
      </c>
      <c r="X187" s="8"/>
      <c r="AR187" t="s">
        <v>912</v>
      </c>
    </row>
    <row r="188" spans="17:44" x14ac:dyDescent="0.35">
      <c r="Q188" t="s">
        <v>913</v>
      </c>
      <c r="S188" s="9" t="s">
        <v>906</v>
      </c>
      <c r="T188" s="9" t="s">
        <v>907</v>
      </c>
      <c r="X188" s="8"/>
      <c r="AR188" t="s">
        <v>916</v>
      </c>
    </row>
    <row r="189" spans="17:44" x14ac:dyDescent="0.35">
      <c r="Q189" t="s">
        <v>917</v>
      </c>
      <c r="S189" s="9" t="s">
        <v>910</v>
      </c>
      <c r="T189" s="9" t="s">
        <v>911</v>
      </c>
      <c r="X189" s="8"/>
      <c r="AR189" t="s">
        <v>920</v>
      </c>
    </row>
    <row r="190" spans="17:44" x14ac:dyDescent="0.35">
      <c r="Q190" t="s">
        <v>921</v>
      </c>
      <c r="S190" s="9" t="s">
        <v>914</v>
      </c>
      <c r="T190" s="9" t="s">
        <v>915</v>
      </c>
      <c r="X190" s="8"/>
      <c r="AR190" t="s">
        <v>924</v>
      </c>
    </row>
    <row r="191" spans="17:44" x14ac:dyDescent="0.35">
      <c r="Q191" t="s">
        <v>925</v>
      </c>
      <c r="S191" s="9" t="s">
        <v>918</v>
      </c>
      <c r="T191" s="9" t="s">
        <v>919</v>
      </c>
      <c r="X191" s="8"/>
      <c r="AR191" t="s">
        <v>928</v>
      </c>
    </row>
    <row r="192" spans="17:44" x14ac:dyDescent="0.35">
      <c r="Q192" t="s">
        <v>353</v>
      </c>
      <c r="S192" s="9" t="s">
        <v>922</v>
      </c>
      <c r="T192" s="9" t="s">
        <v>923</v>
      </c>
      <c r="X192" s="8"/>
      <c r="AR192" t="s">
        <v>931</v>
      </c>
    </row>
    <row r="193" spans="17:44" x14ac:dyDescent="0.35">
      <c r="Q193" t="s">
        <v>932</v>
      </c>
      <c r="S193" s="9" t="s">
        <v>926</v>
      </c>
      <c r="T193" s="9" t="s">
        <v>927</v>
      </c>
      <c r="X193" s="8"/>
      <c r="AR193" t="s">
        <v>935</v>
      </c>
    </row>
    <row r="194" spans="17:44" x14ac:dyDescent="0.35">
      <c r="Q194" t="s">
        <v>936</v>
      </c>
      <c r="S194" s="9" t="s">
        <v>929</v>
      </c>
      <c r="T194" s="9" t="s">
        <v>930</v>
      </c>
      <c r="X194" s="8"/>
      <c r="AR194" t="s">
        <v>939</v>
      </c>
    </row>
    <row r="195" spans="17:44" x14ac:dyDescent="0.35">
      <c r="Q195" t="s">
        <v>936</v>
      </c>
      <c r="S195" s="9" t="s">
        <v>933</v>
      </c>
      <c r="T195" s="9" t="s">
        <v>934</v>
      </c>
      <c r="X195" s="8"/>
      <c r="AR195" t="s">
        <v>940</v>
      </c>
    </row>
    <row r="196" spans="17:44" x14ac:dyDescent="0.35">
      <c r="Q196" t="s">
        <v>353</v>
      </c>
      <c r="S196" s="9" t="s">
        <v>937</v>
      </c>
      <c r="T196" s="9" t="s">
        <v>938</v>
      </c>
      <c r="X196" s="8"/>
      <c r="AR196" t="s">
        <v>941</v>
      </c>
    </row>
    <row r="197" spans="17:44" x14ac:dyDescent="0.35">
      <c r="Q197" t="s">
        <v>942</v>
      </c>
      <c r="S197" t="s">
        <v>3589</v>
      </c>
      <c r="T197" t="s">
        <v>199</v>
      </c>
      <c r="X197" s="8"/>
      <c r="AR197" t="s">
        <v>943</v>
      </c>
    </row>
    <row r="198" spans="17:44" x14ac:dyDescent="0.35">
      <c r="Q198" t="s">
        <v>944</v>
      </c>
      <c r="S198" t="s">
        <v>3590</v>
      </c>
      <c r="T198" t="s">
        <v>207</v>
      </c>
      <c r="X198" s="8"/>
      <c r="AR198" t="s">
        <v>945</v>
      </c>
    </row>
    <row r="199" spans="17:44" x14ac:dyDescent="0.35">
      <c r="Q199" t="s">
        <v>946</v>
      </c>
      <c r="S199" t="s">
        <v>863</v>
      </c>
      <c r="T199" t="s">
        <v>864</v>
      </c>
      <c r="X199" s="8"/>
      <c r="AR199" t="s">
        <v>947</v>
      </c>
    </row>
    <row r="200" spans="17:44" x14ac:dyDescent="0.35">
      <c r="Q200" t="s">
        <v>948</v>
      </c>
      <c r="S200" t="s">
        <v>785</v>
      </c>
      <c r="T200" t="s">
        <v>3591</v>
      </c>
      <c r="X200" s="8"/>
      <c r="AR200" t="s">
        <v>949</v>
      </c>
    </row>
    <row r="201" spans="17:44" x14ac:dyDescent="0.35">
      <c r="Q201" t="s">
        <v>950</v>
      </c>
      <c r="S201" t="s">
        <v>591</v>
      </c>
      <c r="T201" t="s">
        <v>592</v>
      </c>
      <c r="X201" s="8"/>
      <c r="AR201" t="s">
        <v>951</v>
      </c>
    </row>
    <row r="202" spans="17:44" x14ac:dyDescent="0.35">
      <c r="Q202" t="s">
        <v>952</v>
      </c>
      <c r="S202" t="s">
        <v>3699</v>
      </c>
      <c r="T202" s="68" t="s">
        <v>3682</v>
      </c>
      <c r="X202" s="8"/>
      <c r="AR202" t="s">
        <v>953</v>
      </c>
    </row>
    <row r="203" spans="17:44" x14ac:dyDescent="0.35">
      <c r="Q203" t="s">
        <v>954</v>
      </c>
      <c r="S203" s="68" t="s">
        <v>3689</v>
      </c>
      <c r="T203" s="68" t="s">
        <v>3683</v>
      </c>
      <c r="X203" s="8"/>
      <c r="AR203" t="s">
        <v>955</v>
      </c>
    </row>
    <row r="204" spans="17:44" x14ac:dyDescent="0.35">
      <c r="Q204" t="s">
        <v>956</v>
      </c>
      <c r="S204" s="68" t="s">
        <v>3690</v>
      </c>
      <c r="T204" s="68" t="s">
        <v>3684</v>
      </c>
      <c r="X204" s="8"/>
      <c r="AR204" t="s">
        <v>957</v>
      </c>
    </row>
    <row r="205" spans="17:44" x14ac:dyDescent="0.35">
      <c r="Q205" t="s">
        <v>958</v>
      </c>
      <c r="S205" s="68" t="s">
        <v>3691</v>
      </c>
      <c r="T205" s="68" t="s">
        <v>3685</v>
      </c>
      <c r="X205" s="8"/>
      <c r="AR205" t="s">
        <v>959</v>
      </c>
    </row>
    <row r="206" spans="17:44" x14ac:dyDescent="0.35">
      <c r="Q206" t="s">
        <v>960</v>
      </c>
      <c r="S206" s="68" t="s">
        <v>3692</v>
      </c>
      <c r="T206" s="68" t="s">
        <v>3697</v>
      </c>
      <c r="X206" s="8"/>
      <c r="AR206" t="s">
        <v>961</v>
      </c>
    </row>
    <row r="207" spans="17:44" x14ac:dyDescent="0.35">
      <c r="Q207" t="s">
        <v>962</v>
      </c>
      <c r="S207" s="68" t="s">
        <v>3693</v>
      </c>
      <c r="T207" s="68" t="s">
        <v>3698</v>
      </c>
      <c r="X207" s="8"/>
      <c r="AR207" t="s">
        <v>963</v>
      </c>
    </row>
    <row r="208" spans="17:44" x14ac:dyDescent="0.35">
      <c r="Q208" t="s">
        <v>964</v>
      </c>
      <c r="S208" s="68" t="s">
        <v>3694</v>
      </c>
      <c r="T208" s="68" t="s">
        <v>3686</v>
      </c>
      <c r="X208" s="8"/>
      <c r="AR208" t="s">
        <v>965</v>
      </c>
    </row>
    <row r="209" spans="17:44" x14ac:dyDescent="0.35">
      <c r="Q209" t="s">
        <v>966</v>
      </c>
      <c r="S209" s="68" t="s">
        <v>3695</v>
      </c>
      <c r="T209" s="68" t="s">
        <v>3687</v>
      </c>
      <c r="X209" s="8"/>
      <c r="AR209" t="s">
        <v>967</v>
      </c>
    </row>
    <row r="210" spans="17:44" x14ac:dyDescent="0.35">
      <c r="Q210" t="s">
        <v>341</v>
      </c>
      <c r="S210" s="68" t="s">
        <v>3696</v>
      </c>
      <c r="T210" s="68" t="s">
        <v>3688</v>
      </c>
      <c r="X210" s="8"/>
      <c r="AR210" t="s">
        <v>968</v>
      </c>
    </row>
    <row r="211" spans="17:44" x14ac:dyDescent="0.35">
      <c r="Q211" t="s">
        <v>969</v>
      </c>
      <c r="S211" t="s">
        <v>359</v>
      </c>
      <c r="T211" s="68" t="s">
        <v>3700</v>
      </c>
      <c r="X211" s="8"/>
      <c r="AR211" t="s">
        <v>970</v>
      </c>
    </row>
    <row r="212" spans="17:44" x14ac:dyDescent="0.35">
      <c r="Q212" t="s">
        <v>971</v>
      </c>
      <c r="S212" s="68" t="s">
        <v>3702</v>
      </c>
      <c r="T212" t="s">
        <v>3701</v>
      </c>
      <c r="X212" s="8"/>
      <c r="AR212" t="s">
        <v>972</v>
      </c>
    </row>
    <row r="213" spans="17:44" x14ac:dyDescent="0.35">
      <c r="Q213" t="s">
        <v>973</v>
      </c>
      <c r="S213" s="68" t="s">
        <v>3692</v>
      </c>
      <c r="T213" s="68" t="s">
        <v>3697</v>
      </c>
      <c r="X213" s="8"/>
      <c r="AR213" t="s">
        <v>974</v>
      </c>
    </row>
    <row r="214" spans="17:44" x14ac:dyDescent="0.35">
      <c r="Q214" t="s">
        <v>975</v>
      </c>
      <c r="X214" s="8"/>
      <c r="AR214" t="s">
        <v>976</v>
      </c>
    </row>
    <row r="215" spans="17:44" x14ac:dyDescent="0.35">
      <c r="Q215" t="s">
        <v>977</v>
      </c>
      <c r="X215" s="8"/>
      <c r="AR215" t="s">
        <v>978</v>
      </c>
    </row>
    <row r="216" spans="17:44" x14ac:dyDescent="0.35">
      <c r="Q216" t="s">
        <v>979</v>
      </c>
      <c r="X216" s="8"/>
      <c r="AR216" t="s">
        <v>980</v>
      </c>
    </row>
    <row r="217" spans="17:44" x14ac:dyDescent="0.35">
      <c r="Q217" t="s">
        <v>981</v>
      </c>
      <c r="X217" s="8"/>
      <c r="AR217" t="s">
        <v>982</v>
      </c>
    </row>
    <row r="218" spans="17:44" x14ac:dyDescent="0.35">
      <c r="Q218" t="s">
        <v>983</v>
      </c>
      <c r="X218" s="8"/>
      <c r="AR218" t="s">
        <v>984</v>
      </c>
    </row>
    <row r="219" spans="17:44" x14ac:dyDescent="0.35">
      <c r="Q219" t="s">
        <v>985</v>
      </c>
      <c r="X219" s="8"/>
      <c r="AR219" t="s">
        <v>986</v>
      </c>
    </row>
    <row r="220" spans="17:44" x14ac:dyDescent="0.35">
      <c r="Q220" t="s">
        <v>987</v>
      </c>
      <c r="X220" s="8"/>
      <c r="AR220" t="s">
        <v>988</v>
      </c>
    </row>
    <row r="221" spans="17:44" x14ac:dyDescent="0.35">
      <c r="X221" s="8"/>
      <c r="AR221" t="s">
        <v>989</v>
      </c>
    </row>
    <row r="222" spans="17:44" x14ac:dyDescent="0.35">
      <c r="X222" s="8"/>
      <c r="AR222" t="s">
        <v>990</v>
      </c>
    </row>
    <row r="223" spans="17:44" x14ac:dyDescent="0.35">
      <c r="X223" s="8"/>
      <c r="AR223" t="s">
        <v>991</v>
      </c>
    </row>
    <row r="224" spans="17:44" x14ac:dyDescent="0.35">
      <c r="X224" s="8"/>
      <c r="AR224" t="s">
        <v>992</v>
      </c>
    </row>
    <row r="225" spans="24:44" x14ac:dyDescent="0.35">
      <c r="X225" s="8"/>
      <c r="AR225" t="s">
        <v>993</v>
      </c>
    </row>
    <row r="226" spans="24:44" x14ac:dyDescent="0.35">
      <c r="X226" s="8"/>
      <c r="AR226" t="s">
        <v>994</v>
      </c>
    </row>
    <row r="227" spans="24:44" x14ac:dyDescent="0.35">
      <c r="X227" s="8"/>
      <c r="AR227" t="s">
        <v>995</v>
      </c>
    </row>
    <row r="228" spans="24:44" x14ac:dyDescent="0.35">
      <c r="X228" s="8"/>
      <c r="AR228" t="s">
        <v>996</v>
      </c>
    </row>
    <row r="229" spans="24:44" x14ac:dyDescent="0.35">
      <c r="X229" s="8"/>
      <c r="AR229" t="s">
        <v>997</v>
      </c>
    </row>
    <row r="230" spans="24:44" x14ac:dyDescent="0.35">
      <c r="X230" s="8"/>
      <c r="AR230" t="s">
        <v>998</v>
      </c>
    </row>
    <row r="231" spans="24:44" x14ac:dyDescent="0.35">
      <c r="X231" s="8"/>
      <c r="AR231" t="s">
        <v>999</v>
      </c>
    </row>
    <row r="232" spans="24:44" x14ac:dyDescent="0.35">
      <c r="X232" s="8"/>
      <c r="AR232" t="s">
        <v>49</v>
      </c>
    </row>
    <row r="233" spans="24:44" x14ac:dyDescent="0.35">
      <c r="X233" s="8"/>
      <c r="AR233" t="s">
        <v>1000</v>
      </c>
    </row>
    <row r="234" spans="24:44" x14ac:dyDescent="0.35">
      <c r="X234" s="8"/>
      <c r="AR234" t="s">
        <v>1001</v>
      </c>
    </row>
    <row r="235" spans="24:44" x14ac:dyDescent="0.35">
      <c r="X235" s="8"/>
      <c r="AR235" t="s">
        <v>1002</v>
      </c>
    </row>
    <row r="236" spans="24:44" x14ac:dyDescent="0.35">
      <c r="X236" s="8"/>
      <c r="AR236" t="s">
        <v>1003</v>
      </c>
    </row>
    <row r="237" spans="24:44" x14ac:dyDescent="0.35">
      <c r="X237" s="8"/>
      <c r="AR237" t="s">
        <v>1004</v>
      </c>
    </row>
    <row r="238" spans="24:44" x14ac:dyDescent="0.35">
      <c r="X238" s="8"/>
      <c r="AR238" t="s">
        <v>1005</v>
      </c>
    </row>
    <row r="239" spans="24:44" x14ac:dyDescent="0.35">
      <c r="X239" s="8"/>
      <c r="AR239" t="s">
        <v>1006</v>
      </c>
    </row>
    <row r="240" spans="24:44" x14ac:dyDescent="0.35">
      <c r="X240" s="8"/>
      <c r="AR240" t="s">
        <v>1007</v>
      </c>
    </row>
    <row r="241" spans="24:44" x14ac:dyDescent="0.35">
      <c r="X241" s="8"/>
      <c r="AR241" t="s">
        <v>1008</v>
      </c>
    </row>
    <row r="242" spans="24:44" x14ac:dyDescent="0.35">
      <c r="X242" s="8"/>
      <c r="AR242" t="s">
        <v>1009</v>
      </c>
    </row>
    <row r="243" spans="24:44" x14ac:dyDescent="0.35">
      <c r="X243" s="8"/>
      <c r="AR243" t="s">
        <v>1010</v>
      </c>
    </row>
    <row r="244" spans="24:44" x14ac:dyDescent="0.35">
      <c r="X244" s="8"/>
      <c r="AR244" t="s">
        <v>1011</v>
      </c>
    </row>
    <row r="245" spans="24:44" x14ac:dyDescent="0.35">
      <c r="X245" s="8"/>
      <c r="AR245" t="s">
        <v>1012</v>
      </c>
    </row>
    <row r="246" spans="24:44" x14ac:dyDescent="0.35">
      <c r="X246" s="8"/>
      <c r="AR246" t="s">
        <v>1013</v>
      </c>
    </row>
    <row r="247" spans="24:44" x14ac:dyDescent="0.35">
      <c r="X247" s="8"/>
      <c r="AR247" t="s">
        <v>1014</v>
      </c>
    </row>
    <row r="248" spans="24:44" x14ac:dyDescent="0.35">
      <c r="X248" s="8"/>
      <c r="AR248" t="s">
        <v>1015</v>
      </c>
    </row>
    <row r="249" spans="24:44" x14ac:dyDescent="0.35">
      <c r="X249" s="8"/>
      <c r="AR249" t="s">
        <v>1016</v>
      </c>
    </row>
    <row r="250" spans="24:44" x14ac:dyDescent="0.35">
      <c r="X250" s="8"/>
      <c r="AR250" t="s">
        <v>1017</v>
      </c>
    </row>
    <row r="251" spans="24:44" x14ac:dyDescent="0.35">
      <c r="X251" s="8"/>
      <c r="AR251" t="s">
        <v>1018</v>
      </c>
    </row>
    <row r="252" spans="24:44" x14ac:dyDescent="0.35">
      <c r="X252" s="8"/>
      <c r="AR252" t="s">
        <v>1019</v>
      </c>
    </row>
    <row r="253" spans="24:44" x14ac:dyDescent="0.35">
      <c r="X253" s="8"/>
      <c r="AR253" t="s">
        <v>1020</v>
      </c>
    </row>
    <row r="254" spans="24:44" x14ac:dyDescent="0.35">
      <c r="X254" s="8"/>
      <c r="AR254" t="s">
        <v>1021</v>
      </c>
    </row>
    <row r="255" spans="24:44" x14ac:dyDescent="0.35">
      <c r="X255" s="8"/>
      <c r="AR255" t="s">
        <v>1022</v>
      </c>
    </row>
    <row r="256" spans="24:44" x14ac:dyDescent="0.35">
      <c r="X256" s="8"/>
      <c r="AR256" t="s">
        <v>1023</v>
      </c>
    </row>
    <row r="257" spans="24:44" x14ac:dyDescent="0.35">
      <c r="X257" s="8"/>
      <c r="AR257" t="s">
        <v>1024</v>
      </c>
    </row>
    <row r="258" spans="24:44" x14ac:dyDescent="0.35">
      <c r="X258" s="8"/>
    </row>
    <row r="259" spans="24:44" x14ac:dyDescent="0.35">
      <c r="X259" s="8"/>
    </row>
    <row r="260" spans="24:44" x14ac:dyDescent="0.35">
      <c r="X260" s="8"/>
    </row>
    <row r="261" spans="24:44" x14ac:dyDescent="0.35">
      <c r="X261" s="8"/>
    </row>
    <row r="262" spans="24:44" x14ac:dyDescent="0.35">
      <c r="X262" s="8"/>
    </row>
    <row r="263" spans="24:44" x14ac:dyDescent="0.35">
      <c r="X263" s="8"/>
    </row>
    <row r="264" spans="24:44" x14ac:dyDescent="0.35">
      <c r="X264" s="8"/>
    </row>
    <row r="265" spans="24:44" x14ac:dyDescent="0.35">
      <c r="X265" s="8"/>
    </row>
    <row r="266" spans="24:44" x14ac:dyDescent="0.35">
      <c r="X266" s="8"/>
    </row>
    <row r="267" spans="24:44" x14ac:dyDescent="0.35">
      <c r="X267" s="8"/>
    </row>
    <row r="268" spans="24:44" x14ac:dyDescent="0.35">
      <c r="X268" s="8"/>
    </row>
    <row r="269" spans="24:44" x14ac:dyDescent="0.35">
      <c r="X269" s="8"/>
    </row>
    <row r="270" spans="24:44" x14ac:dyDescent="0.35">
      <c r="X270" s="8"/>
    </row>
    <row r="271" spans="24:44" x14ac:dyDescent="0.35">
      <c r="X271" s="8"/>
    </row>
    <row r="272" spans="24:44" x14ac:dyDescent="0.35">
      <c r="X272" s="8"/>
    </row>
    <row r="273" spans="24:24" x14ac:dyDescent="0.35">
      <c r="X273" s="8"/>
    </row>
    <row r="274" spans="24:24" x14ac:dyDescent="0.35">
      <c r="X274" s="8"/>
    </row>
    <row r="275" spans="24:24" x14ac:dyDescent="0.35">
      <c r="X275" s="8"/>
    </row>
    <row r="276" spans="24:24" x14ac:dyDescent="0.35">
      <c r="X276" s="8"/>
    </row>
    <row r="277" spans="24:24" x14ac:dyDescent="0.35">
      <c r="X277" s="8"/>
    </row>
    <row r="278" spans="24:24" x14ac:dyDescent="0.35">
      <c r="X278" s="8"/>
    </row>
    <row r="279" spans="24:24" x14ac:dyDescent="0.35">
      <c r="X279" s="8"/>
    </row>
    <row r="280" spans="24:24" x14ac:dyDescent="0.35">
      <c r="X280" s="8"/>
    </row>
    <row r="281" spans="24:24" x14ac:dyDescent="0.35">
      <c r="X281" s="8"/>
    </row>
    <row r="282" spans="24:24" x14ac:dyDescent="0.35">
      <c r="X282" s="8"/>
    </row>
    <row r="283" spans="24:24" x14ac:dyDescent="0.35">
      <c r="X283" s="8"/>
    </row>
    <row r="284" spans="24:24" x14ac:dyDescent="0.35">
      <c r="X284" s="8"/>
    </row>
    <row r="285" spans="24:24" x14ac:dyDescent="0.35">
      <c r="X285" s="8"/>
    </row>
    <row r="286" spans="24:24" x14ac:dyDescent="0.35">
      <c r="X286" s="8"/>
    </row>
    <row r="287" spans="24:24" x14ac:dyDescent="0.35">
      <c r="X287" s="8"/>
    </row>
    <row r="288" spans="24:24" x14ac:dyDescent="0.35">
      <c r="X288" s="8"/>
    </row>
    <row r="289" spans="24:24" x14ac:dyDescent="0.35">
      <c r="X289" s="8"/>
    </row>
    <row r="290" spans="24:24" x14ac:dyDescent="0.35">
      <c r="X290" s="8"/>
    </row>
    <row r="291" spans="24:24" x14ac:dyDescent="0.35">
      <c r="X291" s="8"/>
    </row>
    <row r="292" spans="24:24" x14ac:dyDescent="0.35">
      <c r="X292" s="8"/>
    </row>
    <row r="293" spans="24:24" x14ac:dyDescent="0.35">
      <c r="X293" s="8"/>
    </row>
    <row r="294" spans="24:24" x14ac:dyDescent="0.35">
      <c r="X294" s="8"/>
    </row>
    <row r="295" spans="24:24" x14ac:dyDescent="0.35">
      <c r="X295" s="8"/>
    </row>
    <row r="296" spans="24:24" x14ac:dyDescent="0.35">
      <c r="X296" s="8"/>
    </row>
    <row r="297" spans="24:24" x14ac:dyDescent="0.35">
      <c r="X297" s="8"/>
    </row>
    <row r="298" spans="24:24" x14ac:dyDescent="0.35">
      <c r="X298" s="8"/>
    </row>
    <row r="299" spans="24:24" x14ac:dyDescent="0.35">
      <c r="X299" s="8"/>
    </row>
    <row r="300" spans="24:24" x14ac:dyDescent="0.35">
      <c r="X300" s="8"/>
    </row>
    <row r="301" spans="24:24" x14ac:dyDescent="0.35">
      <c r="X301" s="8"/>
    </row>
    <row r="302" spans="24:24" x14ac:dyDescent="0.35">
      <c r="X302" s="8"/>
    </row>
    <row r="303" spans="24:24" x14ac:dyDescent="0.35">
      <c r="X303" s="8"/>
    </row>
    <row r="304" spans="24:24" x14ac:dyDescent="0.35">
      <c r="X304" s="8"/>
    </row>
    <row r="305" spans="24:24" x14ac:dyDescent="0.35">
      <c r="X305" s="8"/>
    </row>
    <row r="306" spans="24:24" x14ac:dyDescent="0.35">
      <c r="X306" s="8"/>
    </row>
    <row r="307" spans="24:24" x14ac:dyDescent="0.35">
      <c r="X307" s="8"/>
    </row>
    <row r="308" spans="24:24" x14ac:dyDescent="0.35">
      <c r="X308" s="8"/>
    </row>
    <row r="309" spans="24:24" x14ac:dyDescent="0.35">
      <c r="X309" s="8"/>
    </row>
    <row r="310" spans="24:24" x14ac:dyDescent="0.35">
      <c r="X310" s="8"/>
    </row>
    <row r="311" spans="24:24" x14ac:dyDescent="0.35">
      <c r="X311" s="8"/>
    </row>
    <row r="312" spans="24:24" x14ac:dyDescent="0.35">
      <c r="X312" s="8"/>
    </row>
    <row r="313" spans="24:24" x14ac:dyDescent="0.35">
      <c r="X313" s="8"/>
    </row>
    <row r="314" spans="24:24" x14ac:dyDescent="0.35">
      <c r="X314" s="8"/>
    </row>
    <row r="315" spans="24:24" x14ac:dyDescent="0.35">
      <c r="X315" s="8"/>
    </row>
    <row r="316" spans="24:24" x14ac:dyDescent="0.35">
      <c r="X316" s="8"/>
    </row>
    <row r="317" spans="24:24" x14ac:dyDescent="0.35">
      <c r="X317" s="8"/>
    </row>
    <row r="318" spans="24:24" x14ac:dyDescent="0.35">
      <c r="X318" s="8"/>
    </row>
    <row r="319" spans="24:24" x14ac:dyDescent="0.35">
      <c r="X319" s="8"/>
    </row>
    <row r="320" spans="24:24" x14ac:dyDescent="0.35">
      <c r="X320" s="8"/>
    </row>
    <row r="321" spans="24:24" x14ac:dyDescent="0.35">
      <c r="X321" s="8"/>
    </row>
    <row r="322" spans="24:24" x14ac:dyDescent="0.35">
      <c r="X322" s="8"/>
    </row>
    <row r="323" spans="24:24" x14ac:dyDescent="0.35">
      <c r="X323" s="8"/>
    </row>
    <row r="324" spans="24:24" x14ac:dyDescent="0.35">
      <c r="X324" s="8"/>
    </row>
    <row r="325" spans="24:24" x14ac:dyDescent="0.35">
      <c r="X325" s="8"/>
    </row>
    <row r="326" spans="24:24" x14ac:dyDescent="0.35">
      <c r="X326" s="8"/>
    </row>
    <row r="327" spans="24:24" x14ac:dyDescent="0.35">
      <c r="X327" s="8"/>
    </row>
    <row r="328" spans="24:24" x14ac:dyDescent="0.35">
      <c r="X328" s="8"/>
    </row>
    <row r="329" spans="24:24" x14ac:dyDescent="0.35">
      <c r="X329" s="8"/>
    </row>
    <row r="330" spans="24:24" x14ac:dyDescent="0.35">
      <c r="X330" s="8"/>
    </row>
    <row r="331" spans="24:24" x14ac:dyDescent="0.35">
      <c r="X331" s="8"/>
    </row>
    <row r="332" spans="24:24" x14ac:dyDescent="0.35">
      <c r="X332" s="8"/>
    </row>
    <row r="333" spans="24:24" x14ac:dyDescent="0.35">
      <c r="X333" s="8"/>
    </row>
    <row r="334" spans="24:24" x14ac:dyDescent="0.35">
      <c r="X334" s="8"/>
    </row>
    <row r="335" spans="24:24" x14ac:dyDescent="0.35">
      <c r="X335" s="8"/>
    </row>
    <row r="336" spans="24:24" x14ac:dyDescent="0.35">
      <c r="X336" s="8"/>
    </row>
    <row r="337" spans="24:24" x14ac:dyDescent="0.35">
      <c r="X337" s="8"/>
    </row>
    <row r="338" spans="24:24" x14ac:dyDescent="0.35">
      <c r="X338" s="8"/>
    </row>
    <row r="339" spans="24:24" x14ac:dyDescent="0.35">
      <c r="X339" s="8"/>
    </row>
    <row r="340" spans="24:24" x14ac:dyDescent="0.35">
      <c r="X340" s="8"/>
    </row>
    <row r="341" spans="24:24" x14ac:dyDescent="0.35">
      <c r="X341" s="8"/>
    </row>
    <row r="342" spans="24:24" x14ac:dyDescent="0.35">
      <c r="X342" s="8"/>
    </row>
    <row r="343" spans="24:24" x14ac:dyDescent="0.35">
      <c r="X343" s="8"/>
    </row>
    <row r="344" spans="24:24" x14ac:dyDescent="0.35">
      <c r="X344" s="8"/>
    </row>
    <row r="345" spans="24:24" x14ac:dyDescent="0.35">
      <c r="X345" s="8"/>
    </row>
    <row r="346" spans="24:24" x14ac:dyDescent="0.35">
      <c r="X346" s="8"/>
    </row>
    <row r="347" spans="24:24" x14ac:dyDescent="0.35">
      <c r="X347" s="8"/>
    </row>
    <row r="348" spans="24:24" x14ac:dyDescent="0.35">
      <c r="X348" s="8"/>
    </row>
    <row r="349" spans="24:24" x14ac:dyDescent="0.35">
      <c r="X349" s="8"/>
    </row>
    <row r="350" spans="24:24" x14ac:dyDescent="0.35">
      <c r="X350" s="8"/>
    </row>
    <row r="351" spans="24:24" x14ac:dyDescent="0.35">
      <c r="X351" s="8"/>
    </row>
    <row r="352" spans="24:24" x14ac:dyDescent="0.35">
      <c r="X352" s="8"/>
    </row>
    <row r="353" spans="24:24" x14ac:dyDescent="0.35">
      <c r="X353" s="8"/>
    </row>
    <row r="354" spans="24:24" x14ac:dyDescent="0.35">
      <c r="X354" s="8"/>
    </row>
    <row r="355" spans="24:24" x14ac:dyDescent="0.35">
      <c r="X355" s="8"/>
    </row>
    <row r="356" spans="24:24" x14ac:dyDescent="0.35">
      <c r="X356" s="8"/>
    </row>
    <row r="357" spans="24:24" x14ac:dyDescent="0.35">
      <c r="X357" s="8"/>
    </row>
    <row r="358" spans="24:24" x14ac:dyDescent="0.35">
      <c r="X358" s="8"/>
    </row>
    <row r="359" spans="24:24" x14ac:dyDescent="0.35">
      <c r="X359" s="8"/>
    </row>
    <row r="360" spans="24:24" x14ac:dyDescent="0.35">
      <c r="X360" s="8"/>
    </row>
    <row r="361" spans="24:24" x14ac:dyDescent="0.35">
      <c r="X361" s="8"/>
    </row>
    <row r="362" spans="24:24" x14ac:dyDescent="0.35">
      <c r="X362" s="8"/>
    </row>
    <row r="363" spans="24:24" x14ac:dyDescent="0.35">
      <c r="X363" s="8"/>
    </row>
    <row r="364" spans="24:24" x14ac:dyDescent="0.35">
      <c r="X364" s="8"/>
    </row>
    <row r="365" spans="24:24" x14ac:dyDescent="0.35">
      <c r="X365" s="8"/>
    </row>
    <row r="366" spans="24:24" x14ac:dyDescent="0.35">
      <c r="X366" s="8"/>
    </row>
    <row r="367" spans="24:24" x14ac:dyDescent="0.35">
      <c r="X367" s="8"/>
    </row>
    <row r="368" spans="24:24" x14ac:dyDescent="0.35">
      <c r="X368" s="8"/>
    </row>
    <row r="369" spans="24:24" x14ac:dyDescent="0.35">
      <c r="X369" s="8"/>
    </row>
    <row r="370" spans="24:24" x14ac:dyDescent="0.35">
      <c r="X370" s="8"/>
    </row>
    <row r="371" spans="24:24" x14ac:dyDescent="0.35">
      <c r="X371" s="8"/>
    </row>
    <row r="372" spans="24:24" x14ac:dyDescent="0.35">
      <c r="X372" s="8"/>
    </row>
    <row r="373" spans="24:24" x14ac:dyDescent="0.35">
      <c r="X373" s="8"/>
    </row>
    <row r="374" spans="24:24" x14ac:dyDescent="0.35">
      <c r="X374" s="8"/>
    </row>
    <row r="375" spans="24:24" x14ac:dyDescent="0.35">
      <c r="X375" s="8"/>
    </row>
    <row r="376" spans="24:24" x14ac:dyDescent="0.35">
      <c r="X376" s="8"/>
    </row>
    <row r="377" spans="24:24" x14ac:dyDescent="0.35">
      <c r="X377" s="8"/>
    </row>
    <row r="378" spans="24:24" x14ac:dyDescent="0.35">
      <c r="X378" s="8"/>
    </row>
    <row r="379" spans="24:24" x14ac:dyDescent="0.35">
      <c r="X379" s="8"/>
    </row>
    <row r="380" spans="24:24" x14ac:dyDescent="0.35">
      <c r="X380" s="8"/>
    </row>
    <row r="381" spans="24:24" x14ac:dyDescent="0.35">
      <c r="X381" s="8"/>
    </row>
    <row r="382" spans="24:24" x14ac:dyDescent="0.35">
      <c r="X382" s="8"/>
    </row>
    <row r="383" spans="24:24" x14ac:dyDescent="0.35">
      <c r="X383" s="8"/>
    </row>
    <row r="384" spans="24:24" x14ac:dyDescent="0.35">
      <c r="X384" s="8"/>
    </row>
    <row r="385" spans="24:24" x14ac:dyDescent="0.35">
      <c r="X385" s="8"/>
    </row>
    <row r="386" spans="24:24" x14ac:dyDescent="0.35">
      <c r="X386" s="8"/>
    </row>
    <row r="387" spans="24:24" x14ac:dyDescent="0.35">
      <c r="X387" s="8"/>
    </row>
    <row r="388" spans="24:24" x14ac:dyDescent="0.35">
      <c r="X388" s="8"/>
    </row>
    <row r="389" spans="24:24" x14ac:dyDescent="0.35">
      <c r="X389" s="8"/>
    </row>
    <row r="390" spans="24:24" x14ac:dyDescent="0.35">
      <c r="X390" s="8"/>
    </row>
    <row r="391" spans="24:24" x14ac:dyDescent="0.35">
      <c r="X391" s="8"/>
    </row>
    <row r="392" spans="24:24" x14ac:dyDescent="0.35">
      <c r="X392" s="8"/>
    </row>
    <row r="393" spans="24:24" x14ac:dyDescent="0.35">
      <c r="X393" s="8"/>
    </row>
    <row r="394" spans="24:24" x14ac:dyDescent="0.35">
      <c r="X394" s="8"/>
    </row>
    <row r="395" spans="24:24" x14ac:dyDescent="0.35">
      <c r="X395" s="8"/>
    </row>
    <row r="396" spans="24:24" x14ac:dyDescent="0.35">
      <c r="X396" s="8"/>
    </row>
    <row r="397" spans="24:24" x14ac:dyDescent="0.35">
      <c r="X397" s="8"/>
    </row>
    <row r="398" spans="24:24" x14ac:dyDescent="0.35">
      <c r="X398" s="8"/>
    </row>
    <row r="399" spans="24:24" x14ac:dyDescent="0.35">
      <c r="X399" s="8"/>
    </row>
    <row r="400" spans="24:24" x14ac:dyDescent="0.35">
      <c r="X400" s="8"/>
    </row>
    <row r="401" spans="24:24" x14ac:dyDescent="0.35">
      <c r="X401" s="8"/>
    </row>
    <row r="402" spans="24:24" x14ac:dyDescent="0.35">
      <c r="X402" s="8"/>
    </row>
    <row r="403" spans="24:24" x14ac:dyDescent="0.35">
      <c r="X403" s="8"/>
    </row>
    <row r="404" spans="24:24" x14ac:dyDescent="0.35">
      <c r="X404" s="8"/>
    </row>
    <row r="405" spans="24:24" x14ac:dyDescent="0.35">
      <c r="X405" s="8"/>
    </row>
    <row r="406" spans="24:24" x14ac:dyDescent="0.35">
      <c r="X406" s="8"/>
    </row>
    <row r="407" spans="24:24" x14ac:dyDescent="0.35">
      <c r="X407" s="8"/>
    </row>
    <row r="408" spans="24:24" x14ac:dyDescent="0.35">
      <c r="X408" s="8"/>
    </row>
    <row r="409" spans="24:24" x14ac:dyDescent="0.35">
      <c r="X409" s="8"/>
    </row>
    <row r="410" spans="24:24" x14ac:dyDescent="0.35">
      <c r="X410" s="8"/>
    </row>
    <row r="411" spans="24:24" x14ac:dyDescent="0.35">
      <c r="X411" s="8"/>
    </row>
    <row r="412" spans="24:24" x14ac:dyDescent="0.35">
      <c r="X412" s="8"/>
    </row>
    <row r="413" spans="24:24" x14ac:dyDescent="0.35">
      <c r="X413" s="8"/>
    </row>
    <row r="414" spans="24:24" x14ac:dyDescent="0.35">
      <c r="X414" s="8"/>
    </row>
    <row r="415" spans="24:24" x14ac:dyDescent="0.35">
      <c r="X415" s="8"/>
    </row>
    <row r="416" spans="24:24" x14ac:dyDescent="0.35">
      <c r="X416" s="8"/>
    </row>
    <row r="417" spans="24:24" x14ac:dyDescent="0.35">
      <c r="X417" s="8"/>
    </row>
    <row r="418" spans="24:24" x14ac:dyDescent="0.35">
      <c r="X418" s="8"/>
    </row>
    <row r="419" spans="24:24" x14ac:dyDescent="0.35">
      <c r="X419" s="8"/>
    </row>
    <row r="420" spans="24:24" x14ac:dyDescent="0.35">
      <c r="X420" s="8"/>
    </row>
    <row r="421" spans="24:24" x14ac:dyDescent="0.35">
      <c r="X421" s="8"/>
    </row>
    <row r="422" spans="24:24" x14ac:dyDescent="0.35">
      <c r="X422" s="8"/>
    </row>
    <row r="423" spans="24:24" x14ac:dyDescent="0.35">
      <c r="X423" s="8"/>
    </row>
    <row r="424" spans="24:24" x14ac:dyDescent="0.35">
      <c r="X424" s="8"/>
    </row>
    <row r="425" spans="24:24" x14ac:dyDescent="0.35">
      <c r="X425" s="8"/>
    </row>
    <row r="426" spans="24:24" x14ac:dyDescent="0.35">
      <c r="X426" s="8"/>
    </row>
    <row r="427" spans="24:24" x14ac:dyDescent="0.35">
      <c r="X427" s="8"/>
    </row>
    <row r="428" spans="24:24" x14ac:dyDescent="0.35">
      <c r="X428" s="8"/>
    </row>
    <row r="429" spans="24:24" x14ac:dyDescent="0.35">
      <c r="X429" s="8"/>
    </row>
    <row r="430" spans="24:24" x14ac:dyDescent="0.35">
      <c r="X430" s="8"/>
    </row>
    <row r="431" spans="24:24" x14ac:dyDescent="0.35">
      <c r="X431" s="8"/>
    </row>
    <row r="432" spans="24:24" x14ac:dyDescent="0.35">
      <c r="X432" s="8"/>
    </row>
    <row r="433" spans="24:24" x14ac:dyDescent="0.35">
      <c r="X433" s="8"/>
    </row>
    <row r="434" spans="24:24" x14ac:dyDescent="0.35">
      <c r="X434" s="8"/>
    </row>
    <row r="435" spans="24:24" x14ac:dyDescent="0.35">
      <c r="X435" s="8"/>
    </row>
    <row r="436" spans="24:24" x14ac:dyDescent="0.35">
      <c r="X436" s="8"/>
    </row>
    <row r="437" spans="24:24" x14ac:dyDescent="0.35">
      <c r="X437" s="8"/>
    </row>
    <row r="438" spans="24:24" x14ac:dyDescent="0.35">
      <c r="X438" s="8"/>
    </row>
    <row r="439" spans="24:24" x14ac:dyDescent="0.35">
      <c r="X439" s="8"/>
    </row>
    <row r="440" spans="24:24" x14ac:dyDescent="0.35">
      <c r="X440" s="8"/>
    </row>
    <row r="441" spans="24:24" x14ac:dyDescent="0.35">
      <c r="X441" s="8"/>
    </row>
    <row r="442" spans="24:24" x14ac:dyDescent="0.35">
      <c r="X442" s="8"/>
    </row>
    <row r="443" spans="24:24" x14ac:dyDescent="0.35">
      <c r="X443" s="8"/>
    </row>
    <row r="444" spans="24:24" x14ac:dyDescent="0.35">
      <c r="X444" s="8"/>
    </row>
    <row r="445" spans="24:24" x14ac:dyDescent="0.35">
      <c r="X445" s="8"/>
    </row>
    <row r="446" spans="24:24" x14ac:dyDescent="0.35">
      <c r="X446" s="8"/>
    </row>
    <row r="447" spans="24:24" x14ac:dyDescent="0.35">
      <c r="X447" s="8"/>
    </row>
    <row r="448" spans="24:24" x14ac:dyDescent="0.35">
      <c r="X448" s="8"/>
    </row>
    <row r="449" spans="24:24" x14ac:dyDescent="0.35">
      <c r="X449" s="8"/>
    </row>
    <row r="450" spans="24:24" x14ac:dyDescent="0.35">
      <c r="X450" s="8"/>
    </row>
    <row r="451" spans="24:24" x14ac:dyDescent="0.35">
      <c r="X451" s="8"/>
    </row>
    <row r="452" spans="24:24" x14ac:dyDescent="0.35">
      <c r="X452" s="8"/>
    </row>
    <row r="453" spans="24:24" x14ac:dyDescent="0.35">
      <c r="X453" s="8"/>
    </row>
    <row r="454" spans="24:24" x14ac:dyDescent="0.35">
      <c r="X454" s="8"/>
    </row>
    <row r="455" spans="24:24" x14ac:dyDescent="0.35">
      <c r="X455" s="8"/>
    </row>
    <row r="456" spans="24:24" x14ac:dyDescent="0.35">
      <c r="X456" s="8"/>
    </row>
    <row r="457" spans="24:24" x14ac:dyDescent="0.35">
      <c r="X457" s="8"/>
    </row>
    <row r="458" spans="24:24" x14ac:dyDescent="0.35">
      <c r="X458" s="8"/>
    </row>
    <row r="459" spans="24:24" x14ac:dyDescent="0.35">
      <c r="X459" s="8"/>
    </row>
    <row r="460" spans="24:24" x14ac:dyDescent="0.35">
      <c r="X460" s="8"/>
    </row>
    <row r="461" spans="24:24" x14ac:dyDescent="0.35">
      <c r="X461" s="8"/>
    </row>
    <row r="462" spans="24:24" x14ac:dyDescent="0.35">
      <c r="X462" s="8"/>
    </row>
    <row r="463" spans="24:24" x14ac:dyDescent="0.35">
      <c r="X463" s="8"/>
    </row>
    <row r="464" spans="24:24" x14ac:dyDescent="0.35">
      <c r="X464" s="8"/>
    </row>
    <row r="465" spans="24:24" x14ac:dyDescent="0.35">
      <c r="X465" s="8"/>
    </row>
    <row r="466" spans="24:24" x14ac:dyDescent="0.35">
      <c r="X466" s="8"/>
    </row>
    <row r="467" spans="24:24" x14ac:dyDescent="0.35">
      <c r="X467" s="8"/>
    </row>
    <row r="468" spans="24:24" x14ac:dyDescent="0.35">
      <c r="X468" s="8"/>
    </row>
    <row r="469" spans="24:24" x14ac:dyDescent="0.35">
      <c r="X469" s="8"/>
    </row>
    <row r="470" spans="24:24" x14ac:dyDescent="0.35">
      <c r="X470" s="8"/>
    </row>
    <row r="471" spans="24:24" x14ac:dyDescent="0.35">
      <c r="X471" s="8"/>
    </row>
    <row r="472" spans="24:24" x14ac:dyDescent="0.35">
      <c r="X472" s="8"/>
    </row>
    <row r="473" spans="24:24" x14ac:dyDescent="0.35">
      <c r="X473" s="8"/>
    </row>
    <row r="474" spans="24:24" x14ac:dyDescent="0.35">
      <c r="X474" s="8"/>
    </row>
    <row r="475" spans="24:24" x14ac:dyDescent="0.35">
      <c r="X475" s="8"/>
    </row>
    <row r="476" spans="24:24" x14ac:dyDescent="0.35">
      <c r="X476" s="8"/>
    </row>
    <row r="477" spans="24:24" x14ac:dyDescent="0.35">
      <c r="X477" s="8"/>
    </row>
    <row r="478" spans="24:24" x14ac:dyDescent="0.35">
      <c r="X478" s="8"/>
    </row>
    <row r="479" spans="24:24" x14ac:dyDescent="0.35">
      <c r="X479" s="8"/>
    </row>
    <row r="480" spans="24:24" x14ac:dyDescent="0.35">
      <c r="X480" s="8"/>
    </row>
    <row r="481" spans="24:24" x14ac:dyDescent="0.35">
      <c r="X481" s="8"/>
    </row>
    <row r="482" spans="24:24" x14ac:dyDescent="0.35">
      <c r="X482" s="8"/>
    </row>
    <row r="483" spans="24:24" x14ac:dyDescent="0.35">
      <c r="X483" s="8"/>
    </row>
    <row r="484" spans="24:24" x14ac:dyDescent="0.35">
      <c r="X484" s="8"/>
    </row>
    <row r="485" spans="24:24" x14ac:dyDescent="0.35">
      <c r="X485" s="8"/>
    </row>
    <row r="486" spans="24:24" x14ac:dyDescent="0.35">
      <c r="X486" s="8"/>
    </row>
    <row r="487" spans="24:24" x14ac:dyDescent="0.35">
      <c r="X487" s="8"/>
    </row>
    <row r="488" spans="24:24" x14ac:dyDescent="0.35">
      <c r="X488" s="8"/>
    </row>
    <row r="489" spans="24:24" x14ac:dyDescent="0.35">
      <c r="X489" s="8"/>
    </row>
    <row r="490" spans="24:24" x14ac:dyDescent="0.35">
      <c r="X490" s="8"/>
    </row>
    <row r="491" spans="24:24" x14ac:dyDescent="0.35">
      <c r="X491" s="8"/>
    </row>
    <row r="492" spans="24:24" x14ac:dyDescent="0.35">
      <c r="X492" s="8"/>
    </row>
    <row r="493" spans="24:24" x14ac:dyDescent="0.35">
      <c r="X493" s="8"/>
    </row>
    <row r="494" spans="24:24" x14ac:dyDescent="0.35">
      <c r="X494" s="8"/>
    </row>
    <row r="495" spans="24:24" x14ac:dyDescent="0.35">
      <c r="X495" s="8"/>
    </row>
    <row r="496" spans="24:24" x14ac:dyDescent="0.35">
      <c r="X496" s="8"/>
    </row>
    <row r="497" spans="24:24" x14ac:dyDescent="0.35">
      <c r="X497" s="8"/>
    </row>
    <row r="498" spans="24:24" x14ac:dyDescent="0.35">
      <c r="X498" s="8"/>
    </row>
    <row r="499" spans="24:24" x14ac:dyDescent="0.35">
      <c r="X499" s="8"/>
    </row>
    <row r="500" spans="24:24" x14ac:dyDescent="0.35">
      <c r="X500" s="8"/>
    </row>
    <row r="501" spans="24:24" x14ac:dyDescent="0.35">
      <c r="X501" s="8"/>
    </row>
    <row r="502" spans="24:24" x14ac:dyDescent="0.35">
      <c r="X502" s="8"/>
    </row>
    <row r="503" spans="24:24" x14ac:dyDescent="0.35">
      <c r="X503" s="8"/>
    </row>
    <row r="504" spans="24:24" x14ac:dyDescent="0.35">
      <c r="X504" s="8"/>
    </row>
    <row r="505" spans="24:24" x14ac:dyDescent="0.35">
      <c r="X505" s="8"/>
    </row>
    <row r="506" spans="24:24" x14ac:dyDescent="0.35">
      <c r="X506" s="8"/>
    </row>
    <row r="507" spans="24:24" x14ac:dyDescent="0.35">
      <c r="X507" s="8"/>
    </row>
    <row r="508" spans="24:24" x14ac:dyDescent="0.35">
      <c r="X508" s="8"/>
    </row>
    <row r="509" spans="24:24" x14ac:dyDescent="0.35">
      <c r="X509" s="8"/>
    </row>
    <row r="510" spans="24:24" x14ac:dyDescent="0.35">
      <c r="X510" s="8"/>
    </row>
    <row r="511" spans="24:24" x14ac:dyDescent="0.35">
      <c r="X511" s="8"/>
    </row>
    <row r="512" spans="24:24" x14ac:dyDescent="0.35">
      <c r="X512" s="8"/>
    </row>
    <row r="513" spans="24:24" x14ac:dyDescent="0.35">
      <c r="X513" s="8"/>
    </row>
    <row r="514" spans="24:24" x14ac:dyDescent="0.35">
      <c r="X514" s="8"/>
    </row>
    <row r="515" spans="24:24" x14ac:dyDescent="0.35">
      <c r="X515" s="8"/>
    </row>
    <row r="516" spans="24:24" x14ac:dyDescent="0.35">
      <c r="X516" s="8"/>
    </row>
    <row r="517" spans="24:24" x14ac:dyDescent="0.35">
      <c r="X517" s="8"/>
    </row>
    <row r="518" spans="24:24" x14ac:dyDescent="0.35">
      <c r="X518" s="8"/>
    </row>
    <row r="519" spans="24:24" x14ac:dyDescent="0.35">
      <c r="X519" s="8"/>
    </row>
    <row r="520" spans="24:24" x14ac:dyDescent="0.35">
      <c r="X520" s="8"/>
    </row>
    <row r="521" spans="24:24" x14ac:dyDescent="0.35">
      <c r="X521" s="8"/>
    </row>
    <row r="522" spans="24:24" x14ac:dyDescent="0.35">
      <c r="X522" s="8"/>
    </row>
    <row r="523" spans="24:24" x14ac:dyDescent="0.35">
      <c r="X523" s="8"/>
    </row>
    <row r="524" spans="24:24" x14ac:dyDescent="0.35">
      <c r="X524" s="8"/>
    </row>
    <row r="525" spans="24:24" x14ac:dyDescent="0.35">
      <c r="X525" s="8"/>
    </row>
    <row r="526" spans="24:24" x14ac:dyDescent="0.35">
      <c r="X526" s="8"/>
    </row>
    <row r="527" spans="24:24" x14ac:dyDescent="0.35">
      <c r="X527" s="8"/>
    </row>
    <row r="528" spans="24:24" x14ac:dyDescent="0.35">
      <c r="X528" s="8"/>
    </row>
    <row r="529" spans="24:24" x14ac:dyDescent="0.35">
      <c r="X529" s="8"/>
    </row>
    <row r="530" spans="24:24" x14ac:dyDescent="0.35">
      <c r="X530" s="8"/>
    </row>
    <row r="531" spans="24:24" x14ac:dyDescent="0.35">
      <c r="X531" s="8"/>
    </row>
    <row r="532" spans="24:24" x14ac:dyDescent="0.35">
      <c r="X532" s="8"/>
    </row>
    <row r="533" spans="24:24" x14ac:dyDescent="0.35">
      <c r="X533" s="8"/>
    </row>
    <row r="534" spans="24:24" x14ac:dyDescent="0.35">
      <c r="X534" s="8"/>
    </row>
    <row r="535" spans="24:24" x14ac:dyDescent="0.35">
      <c r="X535" s="8"/>
    </row>
    <row r="536" spans="24:24" x14ac:dyDescent="0.35">
      <c r="X536" s="8"/>
    </row>
    <row r="537" spans="24:24" x14ac:dyDescent="0.35">
      <c r="X537" s="8"/>
    </row>
    <row r="538" spans="24:24" x14ac:dyDescent="0.35">
      <c r="X538" s="8"/>
    </row>
    <row r="539" spans="24:24" x14ac:dyDescent="0.35">
      <c r="X539" s="8"/>
    </row>
    <row r="540" spans="24:24" x14ac:dyDescent="0.35">
      <c r="X540" s="8"/>
    </row>
    <row r="541" spans="24:24" x14ac:dyDescent="0.35">
      <c r="X541" s="8"/>
    </row>
    <row r="542" spans="24:24" x14ac:dyDescent="0.35">
      <c r="X542" s="8"/>
    </row>
    <row r="543" spans="24:24" x14ac:dyDescent="0.35">
      <c r="X543" s="8"/>
    </row>
    <row r="544" spans="24:24" x14ac:dyDescent="0.35">
      <c r="X544" s="8"/>
    </row>
    <row r="545" spans="24:24" x14ac:dyDescent="0.35">
      <c r="X545" s="8"/>
    </row>
    <row r="546" spans="24:24" x14ac:dyDescent="0.35">
      <c r="X546" s="8"/>
    </row>
    <row r="547" spans="24:24" x14ac:dyDescent="0.35">
      <c r="X547" s="8"/>
    </row>
    <row r="548" spans="24:24" x14ac:dyDescent="0.35">
      <c r="X548" s="8"/>
    </row>
    <row r="549" spans="24:24" x14ac:dyDescent="0.35">
      <c r="X549" s="8"/>
    </row>
    <row r="550" spans="24:24" x14ac:dyDescent="0.35">
      <c r="X550" s="8"/>
    </row>
    <row r="551" spans="24:24" x14ac:dyDescent="0.35">
      <c r="X551" s="8"/>
    </row>
    <row r="552" spans="24:24" x14ac:dyDescent="0.35">
      <c r="X552" s="8"/>
    </row>
    <row r="553" spans="24:24" x14ac:dyDescent="0.35">
      <c r="X553" s="8"/>
    </row>
    <row r="554" spans="24:24" x14ac:dyDescent="0.35">
      <c r="X554" s="8"/>
    </row>
    <row r="555" spans="24:24" x14ac:dyDescent="0.35">
      <c r="X555" s="8"/>
    </row>
    <row r="556" spans="24:24" x14ac:dyDescent="0.35">
      <c r="X556" s="8"/>
    </row>
    <row r="557" spans="24:24" x14ac:dyDescent="0.35">
      <c r="X557" s="8"/>
    </row>
    <row r="558" spans="24:24" x14ac:dyDescent="0.35">
      <c r="X558" s="8"/>
    </row>
    <row r="559" spans="24:24" x14ac:dyDescent="0.35">
      <c r="X559" s="8"/>
    </row>
    <row r="560" spans="24:24" x14ac:dyDescent="0.35">
      <c r="X560" s="8"/>
    </row>
    <row r="561" spans="24:24" x14ac:dyDescent="0.35">
      <c r="X561" s="8"/>
    </row>
    <row r="562" spans="24:24" x14ac:dyDescent="0.35">
      <c r="X562" s="8"/>
    </row>
    <row r="563" spans="24:24" x14ac:dyDescent="0.35">
      <c r="X563" s="8"/>
    </row>
    <row r="564" spans="24:24" x14ac:dyDescent="0.35">
      <c r="X564" s="8"/>
    </row>
    <row r="565" spans="24:24" x14ac:dyDescent="0.35">
      <c r="X565" s="8"/>
    </row>
    <row r="566" spans="24:24" x14ac:dyDescent="0.35">
      <c r="X566" s="8"/>
    </row>
    <row r="567" spans="24:24" x14ac:dyDescent="0.35">
      <c r="X567" s="8"/>
    </row>
    <row r="568" spans="24:24" x14ac:dyDescent="0.35">
      <c r="X568" s="8"/>
    </row>
    <row r="569" spans="24:24" x14ac:dyDescent="0.35">
      <c r="X569" s="8"/>
    </row>
    <row r="570" spans="24:24" x14ac:dyDescent="0.35">
      <c r="X570" s="8"/>
    </row>
    <row r="571" spans="24:24" x14ac:dyDescent="0.35">
      <c r="X571" s="8"/>
    </row>
    <row r="572" spans="24:24" x14ac:dyDescent="0.35">
      <c r="X572" s="8"/>
    </row>
    <row r="573" spans="24:24" x14ac:dyDescent="0.35">
      <c r="X573" s="8"/>
    </row>
    <row r="574" spans="24:24" x14ac:dyDescent="0.35">
      <c r="X574" s="8"/>
    </row>
    <row r="575" spans="24:24" x14ac:dyDescent="0.35">
      <c r="X575" s="8"/>
    </row>
    <row r="576" spans="24:24" x14ac:dyDescent="0.35">
      <c r="X576" s="8"/>
    </row>
    <row r="577" spans="24:24" x14ac:dyDescent="0.35">
      <c r="X577" s="8"/>
    </row>
    <row r="578" spans="24:24" x14ac:dyDescent="0.35">
      <c r="X578" s="8"/>
    </row>
    <row r="579" spans="24:24" x14ac:dyDescent="0.35">
      <c r="X579" s="8"/>
    </row>
    <row r="580" spans="24:24" x14ac:dyDescent="0.35">
      <c r="X580" s="8"/>
    </row>
    <row r="581" spans="24:24" x14ac:dyDescent="0.35">
      <c r="X581" s="8"/>
    </row>
    <row r="582" spans="24:24" x14ac:dyDescent="0.35">
      <c r="X582" s="8"/>
    </row>
    <row r="583" spans="24:24" x14ac:dyDescent="0.35">
      <c r="X583" s="8"/>
    </row>
    <row r="584" spans="24:24" x14ac:dyDescent="0.35">
      <c r="X584" s="8"/>
    </row>
    <row r="585" spans="24:24" x14ac:dyDescent="0.35">
      <c r="X585" s="8"/>
    </row>
    <row r="586" spans="24:24" x14ac:dyDescent="0.35">
      <c r="X586" s="8"/>
    </row>
    <row r="587" spans="24:24" x14ac:dyDescent="0.35">
      <c r="X587" s="8"/>
    </row>
    <row r="588" spans="24:24" x14ac:dyDescent="0.35">
      <c r="X588" s="8"/>
    </row>
    <row r="589" spans="24:24" x14ac:dyDescent="0.35">
      <c r="X589" s="8"/>
    </row>
    <row r="590" spans="24:24" x14ac:dyDescent="0.35">
      <c r="X590" s="8"/>
    </row>
    <row r="591" spans="24:24" x14ac:dyDescent="0.35">
      <c r="X591" s="8"/>
    </row>
    <row r="592" spans="24:24" x14ac:dyDescent="0.35">
      <c r="X592" s="8"/>
    </row>
    <row r="593" spans="24:24" x14ac:dyDescent="0.35">
      <c r="X593" s="8"/>
    </row>
    <row r="594" spans="24:24" x14ac:dyDescent="0.35">
      <c r="X594" s="8"/>
    </row>
    <row r="595" spans="24:24" x14ac:dyDescent="0.35">
      <c r="X595" s="8"/>
    </row>
    <row r="596" spans="24:24" x14ac:dyDescent="0.35">
      <c r="X596" s="8"/>
    </row>
    <row r="597" spans="24:24" x14ac:dyDescent="0.35">
      <c r="X597" s="8"/>
    </row>
    <row r="598" spans="24:24" x14ac:dyDescent="0.35">
      <c r="X598" s="8"/>
    </row>
    <row r="599" spans="24:24" x14ac:dyDescent="0.35">
      <c r="X599" s="8"/>
    </row>
    <row r="600" spans="24:24" x14ac:dyDescent="0.35">
      <c r="X600" s="8"/>
    </row>
    <row r="601" spans="24:24" x14ac:dyDescent="0.35">
      <c r="X601" s="8"/>
    </row>
    <row r="602" spans="24:24" x14ac:dyDescent="0.35">
      <c r="X602" s="8"/>
    </row>
    <row r="603" spans="24:24" x14ac:dyDescent="0.35">
      <c r="X603" s="8"/>
    </row>
    <row r="604" spans="24:24" x14ac:dyDescent="0.35">
      <c r="X604" s="8"/>
    </row>
    <row r="605" spans="24:24" x14ac:dyDescent="0.35">
      <c r="X605" s="8"/>
    </row>
    <row r="606" spans="24:24" x14ac:dyDescent="0.35">
      <c r="X606" s="8"/>
    </row>
    <row r="607" spans="24:24" x14ac:dyDescent="0.35">
      <c r="X607" s="8"/>
    </row>
    <row r="608" spans="24:24" x14ac:dyDescent="0.35">
      <c r="X608" s="8"/>
    </row>
    <row r="609" spans="24:24" x14ac:dyDescent="0.35">
      <c r="X609" s="8"/>
    </row>
    <row r="610" spans="24:24" x14ac:dyDescent="0.35">
      <c r="X610" s="8"/>
    </row>
    <row r="611" spans="24:24" x14ac:dyDescent="0.35">
      <c r="X611" s="8"/>
    </row>
    <row r="612" spans="24:24" x14ac:dyDescent="0.35">
      <c r="X612" s="8"/>
    </row>
    <row r="613" spans="24:24" x14ac:dyDescent="0.35">
      <c r="X613" s="8"/>
    </row>
    <row r="614" spans="24:24" x14ac:dyDescent="0.35">
      <c r="X614" s="8"/>
    </row>
    <row r="615" spans="24:24" x14ac:dyDescent="0.35">
      <c r="X615" s="8"/>
    </row>
    <row r="616" spans="24:24" x14ac:dyDescent="0.35">
      <c r="X616" s="8"/>
    </row>
    <row r="617" spans="24:24" x14ac:dyDescent="0.35">
      <c r="X617" s="8"/>
    </row>
    <row r="618" spans="24:24" x14ac:dyDescent="0.35">
      <c r="X618" s="8"/>
    </row>
    <row r="619" spans="24:24" x14ac:dyDescent="0.35">
      <c r="X619" s="8"/>
    </row>
    <row r="620" spans="24:24" x14ac:dyDescent="0.35">
      <c r="X620" s="8"/>
    </row>
    <row r="621" spans="24:24" x14ac:dyDescent="0.35">
      <c r="X621" s="8"/>
    </row>
    <row r="622" spans="24:24" x14ac:dyDescent="0.35">
      <c r="X622" s="8"/>
    </row>
    <row r="623" spans="24:24" x14ac:dyDescent="0.35">
      <c r="X623" s="8"/>
    </row>
    <row r="624" spans="24:24" x14ac:dyDescent="0.35">
      <c r="X624" s="8"/>
    </row>
    <row r="625" spans="24:24" x14ac:dyDescent="0.35">
      <c r="X625" s="8"/>
    </row>
    <row r="626" spans="24:24" x14ac:dyDescent="0.35">
      <c r="X626" s="8"/>
    </row>
    <row r="627" spans="24:24" x14ac:dyDescent="0.35">
      <c r="X627" s="8"/>
    </row>
    <row r="628" spans="24:24" x14ac:dyDescent="0.35">
      <c r="X628" s="8"/>
    </row>
    <row r="629" spans="24:24" x14ac:dyDescent="0.35">
      <c r="X629" s="8"/>
    </row>
    <row r="630" spans="24:24" x14ac:dyDescent="0.35">
      <c r="X630" s="8"/>
    </row>
    <row r="631" spans="24:24" x14ac:dyDescent="0.35">
      <c r="X631" s="8"/>
    </row>
    <row r="632" spans="24:24" x14ac:dyDescent="0.35">
      <c r="X632" s="8"/>
    </row>
    <row r="633" spans="24:24" x14ac:dyDescent="0.35">
      <c r="X633" s="8"/>
    </row>
    <row r="634" spans="24:24" x14ac:dyDescent="0.35">
      <c r="X634" s="8"/>
    </row>
    <row r="635" spans="24:24" x14ac:dyDescent="0.35">
      <c r="X635" s="8"/>
    </row>
    <row r="636" spans="24:24" x14ac:dyDescent="0.35">
      <c r="X636" s="8"/>
    </row>
    <row r="637" spans="24:24" x14ac:dyDescent="0.35">
      <c r="X637" s="8"/>
    </row>
    <row r="638" spans="24:24" x14ac:dyDescent="0.35">
      <c r="X638" s="8"/>
    </row>
    <row r="639" spans="24:24" x14ac:dyDescent="0.35">
      <c r="X639" s="8"/>
    </row>
    <row r="640" spans="24:24" x14ac:dyDescent="0.35">
      <c r="X640" s="8"/>
    </row>
    <row r="641" spans="24:24" x14ac:dyDescent="0.35">
      <c r="X641" s="8"/>
    </row>
    <row r="642" spans="24:24" x14ac:dyDescent="0.35">
      <c r="X642" s="8"/>
    </row>
    <row r="643" spans="24:24" x14ac:dyDescent="0.35">
      <c r="X643" s="8"/>
    </row>
    <row r="644" spans="24:24" x14ac:dyDescent="0.35">
      <c r="X644" s="8"/>
    </row>
    <row r="645" spans="24:24" x14ac:dyDescent="0.35">
      <c r="X645" s="8"/>
    </row>
    <row r="646" spans="24:24" x14ac:dyDescent="0.35">
      <c r="X646" s="8"/>
    </row>
    <row r="647" spans="24:24" x14ac:dyDescent="0.35">
      <c r="X647" s="8"/>
    </row>
    <row r="648" spans="24:24" x14ac:dyDescent="0.35">
      <c r="X648" s="8"/>
    </row>
    <row r="649" spans="24:24" x14ac:dyDescent="0.35">
      <c r="X649" s="8"/>
    </row>
    <row r="650" spans="24:24" x14ac:dyDescent="0.35">
      <c r="X650" s="8"/>
    </row>
    <row r="651" spans="24:24" x14ac:dyDescent="0.35">
      <c r="X651" s="8"/>
    </row>
    <row r="652" spans="24:24" x14ac:dyDescent="0.35">
      <c r="X652" s="8"/>
    </row>
    <row r="653" spans="24:24" x14ac:dyDescent="0.35">
      <c r="X653" s="8"/>
    </row>
    <row r="654" spans="24:24" x14ac:dyDescent="0.35">
      <c r="X654" s="8"/>
    </row>
    <row r="655" spans="24:24" x14ac:dyDescent="0.35">
      <c r="X655" s="8"/>
    </row>
    <row r="656" spans="24:24" x14ac:dyDescent="0.35">
      <c r="X656" s="8"/>
    </row>
    <row r="657" spans="24:24" x14ac:dyDescent="0.35">
      <c r="X657" s="8"/>
    </row>
    <row r="658" spans="24:24" x14ac:dyDescent="0.35">
      <c r="X658" s="8"/>
    </row>
    <row r="659" spans="24:24" x14ac:dyDescent="0.35">
      <c r="X659" s="8"/>
    </row>
    <row r="660" spans="24:24" x14ac:dyDescent="0.35">
      <c r="X660" s="8"/>
    </row>
    <row r="661" spans="24:24" x14ac:dyDescent="0.35">
      <c r="X661" s="8"/>
    </row>
    <row r="662" spans="24:24" x14ac:dyDescent="0.35">
      <c r="X662" s="8"/>
    </row>
    <row r="663" spans="24:24" x14ac:dyDescent="0.35">
      <c r="X663" s="8"/>
    </row>
    <row r="664" spans="24:24" x14ac:dyDescent="0.35">
      <c r="X664" s="8"/>
    </row>
    <row r="665" spans="24:24" x14ac:dyDescent="0.35">
      <c r="X665" s="8"/>
    </row>
    <row r="666" spans="24:24" x14ac:dyDescent="0.35">
      <c r="X666" s="8"/>
    </row>
    <row r="667" spans="24:24" x14ac:dyDescent="0.35">
      <c r="X667" s="8"/>
    </row>
    <row r="668" spans="24:24" x14ac:dyDescent="0.35">
      <c r="X668" s="8"/>
    </row>
    <row r="669" spans="24:24" x14ac:dyDescent="0.35">
      <c r="X669" s="8"/>
    </row>
    <row r="670" spans="24:24" x14ac:dyDescent="0.35">
      <c r="X670" s="8"/>
    </row>
    <row r="671" spans="24:24" x14ac:dyDescent="0.35">
      <c r="X671" s="8"/>
    </row>
    <row r="672" spans="24:24" x14ac:dyDescent="0.35">
      <c r="X672" s="8"/>
    </row>
    <row r="673" spans="24:24" x14ac:dyDescent="0.35">
      <c r="X673" s="8"/>
    </row>
    <row r="674" spans="24:24" x14ac:dyDescent="0.35">
      <c r="X674" s="8"/>
    </row>
    <row r="675" spans="24:24" x14ac:dyDescent="0.35">
      <c r="X675" s="8"/>
    </row>
    <row r="676" spans="24:24" x14ac:dyDescent="0.35">
      <c r="X676" s="8"/>
    </row>
    <row r="677" spans="24:24" x14ac:dyDescent="0.35">
      <c r="X677" s="8"/>
    </row>
    <row r="678" spans="24:24" x14ac:dyDescent="0.35">
      <c r="X678" s="8"/>
    </row>
    <row r="679" spans="24:24" x14ac:dyDescent="0.35">
      <c r="X679" s="8"/>
    </row>
    <row r="680" spans="24:24" x14ac:dyDescent="0.35">
      <c r="X680" s="8"/>
    </row>
    <row r="681" spans="24:24" x14ac:dyDescent="0.35">
      <c r="X681" s="8"/>
    </row>
    <row r="682" spans="24:24" x14ac:dyDescent="0.35">
      <c r="X682" s="8"/>
    </row>
    <row r="683" spans="24:24" x14ac:dyDescent="0.35">
      <c r="X683" s="8"/>
    </row>
    <row r="684" spans="24:24" x14ac:dyDescent="0.35">
      <c r="X684" s="8"/>
    </row>
    <row r="685" spans="24:24" x14ac:dyDescent="0.35">
      <c r="X685" s="8"/>
    </row>
    <row r="686" spans="24:24" x14ac:dyDescent="0.35">
      <c r="X686" s="8"/>
    </row>
    <row r="687" spans="24:24" x14ac:dyDescent="0.35">
      <c r="X687" s="8"/>
    </row>
    <row r="688" spans="24:24" x14ac:dyDescent="0.35">
      <c r="X688" s="8"/>
    </row>
    <row r="689" spans="24:24" x14ac:dyDescent="0.35">
      <c r="X689" s="8"/>
    </row>
    <row r="690" spans="24:24" x14ac:dyDescent="0.35">
      <c r="X690" s="8"/>
    </row>
    <row r="691" spans="24:24" x14ac:dyDescent="0.35">
      <c r="X691" s="8"/>
    </row>
    <row r="692" spans="24:24" x14ac:dyDescent="0.35">
      <c r="X692" s="8"/>
    </row>
    <row r="693" spans="24:24" x14ac:dyDescent="0.35">
      <c r="X693" s="8"/>
    </row>
    <row r="694" spans="24:24" x14ac:dyDescent="0.35">
      <c r="X694" s="8"/>
    </row>
    <row r="695" spans="24:24" x14ac:dyDescent="0.35">
      <c r="X695" s="8"/>
    </row>
    <row r="696" spans="24:24" x14ac:dyDescent="0.35">
      <c r="X696" s="8"/>
    </row>
    <row r="697" spans="24:24" x14ac:dyDescent="0.35">
      <c r="X697" s="8"/>
    </row>
    <row r="698" spans="24:24" x14ac:dyDescent="0.35">
      <c r="X698" s="8"/>
    </row>
    <row r="699" spans="24:24" x14ac:dyDescent="0.35">
      <c r="X699" s="8"/>
    </row>
    <row r="700" spans="24:24" x14ac:dyDescent="0.35">
      <c r="X700" s="8"/>
    </row>
    <row r="701" spans="24:24" x14ac:dyDescent="0.35">
      <c r="X701" s="8"/>
    </row>
    <row r="702" spans="24:24" x14ac:dyDescent="0.35">
      <c r="X702" s="8"/>
    </row>
    <row r="703" spans="24:24" x14ac:dyDescent="0.35">
      <c r="X703" s="8"/>
    </row>
    <row r="704" spans="24:24" x14ac:dyDescent="0.35">
      <c r="X704" s="8"/>
    </row>
    <row r="705" spans="24:24" x14ac:dyDescent="0.35">
      <c r="X705" s="8"/>
    </row>
    <row r="706" spans="24:24" x14ac:dyDescent="0.35">
      <c r="X706" s="8"/>
    </row>
    <row r="707" spans="24:24" x14ac:dyDescent="0.35">
      <c r="X707" s="8"/>
    </row>
    <row r="708" spans="24:24" x14ac:dyDescent="0.35">
      <c r="X708" s="8"/>
    </row>
    <row r="709" spans="24:24" x14ac:dyDescent="0.35">
      <c r="X709" s="8"/>
    </row>
    <row r="710" spans="24:24" x14ac:dyDescent="0.35">
      <c r="X710" s="8"/>
    </row>
    <row r="711" spans="24:24" x14ac:dyDescent="0.35">
      <c r="X711" s="8"/>
    </row>
    <row r="712" spans="24:24" x14ac:dyDescent="0.35">
      <c r="X712" s="8"/>
    </row>
    <row r="713" spans="24:24" x14ac:dyDescent="0.35">
      <c r="X713" s="8"/>
    </row>
    <row r="714" spans="24:24" x14ac:dyDescent="0.35">
      <c r="X714" s="8"/>
    </row>
    <row r="715" spans="24:24" x14ac:dyDescent="0.35">
      <c r="X715" s="8"/>
    </row>
    <row r="716" spans="24:24" x14ac:dyDescent="0.35">
      <c r="X716" s="8"/>
    </row>
    <row r="717" spans="24:24" x14ac:dyDescent="0.35">
      <c r="X717" s="8"/>
    </row>
    <row r="718" spans="24:24" x14ac:dyDescent="0.35">
      <c r="X718" s="8"/>
    </row>
    <row r="719" spans="24:24" x14ac:dyDescent="0.35">
      <c r="X719" s="8"/>
    </row>
    <row r="720" spans="24:24" x14ac:dyDescent="0.35">
      <c r="X720" s="8"/>
    </row>
    <row r="721" spans="24:24" x14ac:dyDescent="0.35">
      <c r="X721" s="8"/>
    </row>
    <row r="722" spans="24:24" x14ac:dyDescent="0.35">
      <c r="X722" s="8"/>
    </row>
    <row r="723" spans="24:24" x14ac:dyDescent="0.35">
      <c r="X723" s="8"/>
    </row>
    <row r="724" spans="24:24" x14ac:dyDescent="0.35">
      <c r="X724" s="8"/>
    </row>
    <row r="725" spans="24:24" x14ac:dyDescent="0.35">
      <c r="X725" s="8"/>
    </row>
    <row r="726" spans="24:24" x14ac:dyDescent="0.35">
      <c r="X726" s="8"/>
    </row>
    <row r="727" spans="24:24" x14ac:dyDescent="0.35">
      <c r="X727" s="8"/>
    </row>
    <row r="728" spans="24:24" x14ac:dyDescent="0.35">
      <c r="X728" s="8"/>
    </row>
    <row r="729" spans="24:24" x14ac:dyDescent="0.35">
      <c r="X729" s="8"/>
    </row>
    <row r="730" spans="24:24" x14ac:dyDescent="0.35">
      <c r="X730" s="8"/>
    </row>
    <row r="731" spans="24:24" x14ac:dyDescent="0.35">
      <c r="X731" s="8"/>
    </row>
    <row r="732" spans="24:24" x14ac:dyDescent="0.35">
      <c r="X732" s="8"/>
    </row>
    <row r="733" spans="24:24" x14ac:dyDescent="0.35">
      <c r="X733" s="8"/>
    </row>
    <row r="734" spans="24:24" x14ac:dyDescent="0.35">
      <c r="X734" s="8"/>
    </row>
    <row r="735" spans="24:24" x14ac:dyDescent="0.35">
      <c r="X735" s="8"/>
    </row>
    <row r="736" spans="24:24" x14ac:dyDescent="0.35">
      <c r="X736" s="8"/>
    </row>
    <row r="737" spans="24:24" x14ac:dyDescent="0.35">
      <c r="X737" s="8"/>
    </row>
    <row r="738" spans="24:24" x14ac:dyDescent="0.35">
      <c r="X738" s="8"/>
    </row>
    <row r="739" spans="24:24" x14ac:dyDescent="0.35">
      <c r="X739" s="8"/>
    </row>
    <row r="740" spans="24:24" x14ac:dyDescent="0.35">
      <c r="X740" s="8"/>
    </row>
    <row r="741" spans="24:24" x14ac:dyDescent="0.35">
      <c r="X741" s="8"/>
    </row>
    <row r="742" spans="24:24" x14ac:dyDescent="0.35">
      <c r="X742" s="8"/>
    </row>
    <row r="743" spans="24:24" x14ac:dyDescent="0.35">
      <c r="X743" s="8"/>
    </row>
    <row r="744" spans="24:24" x14ac:dyDescent="0.35">
      <c r="X744" s="8"/>
    </row>
    <row r="745" spans="24:24" x14ac:dyDescent="0.35">
      <c r="X745" s="8"/>
    </row>
    <row r="746" spans="24:24" x14ac:dyDescent="0.35">
      <c r="X746" s="8"/>
    </row>
    <row r="747" spans="24:24" x14ac:dyDescent="0.35">
      <c r="X747" s="8"/>
    </row>
    <row r="748" spans="24:24" x14ac:dyDescent="0.35">
      <c r="X748" s="8"/>
    </row>
    <row r="749" spans="24:24" x14ac:dyDescent="0.35">
      <c r="X749" s="8"/>
    </row>
    <row r="750" spans="24:24" x14ac:dyDescent="0.35">
      <c r="X750" s="8"/>
    </row>
    <row r="751" spans="24:24" x14ac:dyDescent="0.35">
      <c r="X751" s="8"/>
    </row>
    <row r="752" spans="24:24" x14ac:dyDescent="0.35">
      <c r="X752" s="8"/>
    </row>
    <row r="753" spans="24:24" x14ac:dyDescent="0.35">
      <c r="X753" s="8"/>
    </row>
    <row r="754" spans="24:24" x14ac:dyDescent="0.35">
      <c r="X754" s="8"/>
    </row>
    <row r="755" spans="24:24" x14ac:dyDescent="0.35">
      <c r="X755" s="8"/>
    </row>
    <row r="756" spans="24:24" x14ac:dyDescent="0.35">
      <c r="X756" s="8"/>
    </row>
    <row r="757" spans="24:24" x14ac:dyDescent="0.35">
      <c r="X757" s="8"/>
    </row>
    <row r="758" spans="24:24" x14ac:dyDescent="0.35">
      <c r="X758" s="8"/>
    </row>
    <row r="759" spans="24:24" x14ac:dyDescent="0.35">
      <c r="X759" s="8"/>
    </row>
    <row r="760" spans="24:24" x14ac:dyDescent="0.35">
      <c r="X760" s="8"/>
    </row>
    <row r="761" spans="24:24" x14ac:dyDescent="0.35">
      <c r="X761" s="8"/>
    </row>
    <row r="762" spans="24:24" x14ac:dyDescent="0.35">
      <c r="X762" s="8"/>
    </row>
    <row r="763" spans="24:24" x14ac:dyDescent="0.35">
      <c r="X763" s="8"/>
    </row>
    <row r="764" spans="24:24" x14ac:dyDescent="0.35">
      <c r="X764" s="8"/>
    </row>
    <row r="765" spans="24:24" x14ac:dyDescent="0.35">
      <c r="X765" s="8"/>
    </row>
    <row r="766" spans="24:24" x14ac:dyDescent="0.35">
      <c r="X766" s="8"/>
    </row>
    <row r="767" spans="24:24" x14ac:dyDescent="0.35">
      <c r="X767" s="8"/>
    </row>
    <row r="768" spans="24:24" x14ac:dyDescent="0.35">
      <c r="X768" s="8"/>
    </row>
    <row r="769" spans="24:24" x14ac:dyDescent="0.35">
      <c r="X769" s="8"/>
    </row>
    <row r="770" spans="24:24" x14ac:dyDescent="0.35">
      <c r="X770" s="8"/>
    </row>
    <row r="771" spans="24:24" x14ac:dyDescent="0.35">
      <c r="X771" s="8"/>
    </row>
    <row r="772" spans="24:24" x14ac:dyDescent="0.35">
      <c r="X772" s="8"/>
    </row>
    <row r="773" spans="24:24" x14ac:dyDescent="0.35">
      <c r="X773" s="8"/>
    </row>
    <row r="774" spans="24:24" x14ac:dyDescent="0.35">
      <c r="X774" s="8"/>
    </row>
    <row r="775" spans="24:24" x14ac:dyDescent="0.35">
      <c r="X775" s="8"/>
    </row>
    <row r="776" spans="24:24" x14ac:dyDescent="0.35">
      <c r="X776" s="8"/>
    </row>
    <row r="777" spans="24:24" x14ac:dyDescent="0.35">
      <c r="X777" s="8"/>
    </row>
    <row r="778" spans="24:24" x14ac:dyDescent="0.35">
      <c r="X778" s="8"/>
    </row>
    <row r="779" spans="24:24" x14ac:dyDescent="0.35">
      <c r="X779" s="8"/>
    </row>
    <row r="780" spans="24:24" x14ac:dyDescent="0.35">
      <c r="X780" s="8"/>
    </row>
    <row r="781" spans="24:24" x14ac:dyDescent="0.35">
      <c r="X781" s="8"/>
    </row>
    <row r="782" spans="24:24" x14ac:dyDescent="0.35">
      <c r="X782" s="8"/>
    </row>
    <row r="783" spans="24:24" x14ac:dyDescent="0.35">
      <c r="X783" s="8"/>
    </row>
    <row r="784" spans="24:24" x14ac:dyDescent="0.35">
      <c r="X784" s="8"/>
    </row>
    <row r="785" spans="24:24" x14ac:dyDescent="0.35">
      <c r="X785" s="8"/>
    </row>
    <row r="786" spans="24:24" x14ac:dyDescent="0.35">
      <c r="X786" s="8"/>
    </row>
    <row r="787" spans="24:24" x14ac:dyDescent="0.35">
      <c r="X787" s="8"/>
    </row>
    <row r="788" spans="24:24" x14ac:dyDescent="0.35">
      <c r="X788" s="8"/>
    </row>
    <row r="789" spans="24:24" x14ac:dyDescent="0.35">
      <c r="X789" s="8"/>
    </row>
    <row r="790" spans="24:24" x14ac:dyDescent="0.35">
      <c r="X790" s="8"/>
    </row>
    <row r="791" spans="24:24" x14ac:dyDescent="0.35">
      <c r="X791" s="8"/>
    </row>
    <row r="792" spans="24:24" x14ac:dyDescent="0.35">
      <c r="X792" s="8"/>
    </row>
    <row r="793" spans="24:24" x14ac:dyDescent="0.35">
      <c r="X793" s="8"/>
    </row>
    <row r="794" spans="24:24" x14ac:dyDescent="0.35">
      <c r="X794" s="8"/>
    </row>
    <row r="795" spans="24:24" x14ac:dyDescent="0.35">
      <c r="X795" s="8"/>
    </row>
    <row r="796" spans="24:24" x14ac:dyDescent="0.35">
      <c r="X796" s="8"/>
    </row>
    <row r="797" spans="24:24" x14ac:dyDescent="0.35">
      <c r="X797" s="8"/>
    </row>
    <row r="798" spans="24:24" x14ac:dyDescent="0.35">
      <c r="X798" s="8"/>
    </row>
    <row r="799" spans="24:24" x14ac:dyDescent="0.35">
      <c r="X799" s="8"/>
    </row>
    <row r="800" spans="24:24" x14ac:dyDescent="0.35">
      <c r="X800" s="8"/>
    </row>
    <row r="801" spans="24:24" x14ac:dyDescent="0.35">
      <c r="X801" s="8"/>
    </row>
    <row r="802" spans="24:24" x14ac:dyDescent="0.35">
      <c r="X802" s="8"/>
    </row>
    <row r="803" spans="24:24" x14ac:dyDescent="0.35">
      <c r="X803" s="8"/>
    </row>
    <row r="804" spans="24:24" x14ac:dyDescent="0.35">
      <c r="X804" s="8"/>
    </row>
    <row r="805" spans="24:24" x14ac:dyDescent="0.35">
      <c r="X805" s="8"/>
    </row>
    <row r="806" spans="24:24" x14ac:dyDescent="0.35">
      <c r="X806" s="8"/>
    </row>
    <row r="807" spans="24:24" x14ac:dyDescent="0.35">
      <c r="X807" s="8"/>
    </row>
    <row r="808" spans="24:24" x14ac:dyDescent="0.35">
      <c r="X808" s="8"/>
    </row>
    <row r="809" spans="24:24" x14ac:dyDescent="0.35">
      <c r="X809" s="8"/>
    </row>
    <row r="810" spans="24:24" x14ac:dyDescent="0.35">
      <c r="X810" s="8"/>
    </row>
    <row r="811" spans="24:24" x14ac:dyDescent="0.35">
      <c r="X811" s="8"/>
    </row>
    <row r="812" spans="24:24" x14ac:dyDescent="0.35">
      <c r="X812" s="8"/>
    </row>
    <row r="813" spans="24:24" x14ac:dyDescent="0.35">
      <c r="X813" s="8"/>
    </row>
    <row r="814" spans="24:24" x14ac:dyDescent="0.35">
      <c r="X814" s="8"/>
    </row>
    <row r="815" spans="24:24" x14ac:dyDescent="0.35">
      <c r="X815" s="8"/>
    </row>
    <row r="816" spans="24:24" x14ac:dyDescent="0.35">
      <c r="X816" s="8"/>
    </row>
    <row r="817" spans="24:24" x14ac:dyDescent="0.35">
      <c r="X817" s="8"/>
    </row>
    <row r="818" spans="24:24" x14ac:dyDescent="0.35">
      <c r="X818" s="8"/>
    </row>
    <row r="819" spans="24:24" x14ac:dyDescent="0.35">
      <c r="X819" s="8"/>
    </row>
    <row r="820" spans="24:24" x14ac:dyDescent="0.35">
      <c r="X820" s="8"/>
    </row>
    <row r="821" spans="24:24" x14ac:dyDescent="0.35">
      <c r="X821" s="8"/>
    </row>
    <row r="822" spans="24:24" x14ac:dyDescent="0.35">
      <c r="X822" s="8"/>
    </row>
    <row r="823" spans="24:24" x14ac:dyDescent="0.35">
      <c r="X823" s="8"/>
    </row>
    <row r="824" spans="24:24" x14ac:dyDescent="0.35">
      <c r="X824" s="8"/>
    </row>
    <row r="825" spans="24:24" x14ac:dyDescent="0.35">
      <c r="X825" s="8"/>
    </row>
    <row r="826" spans="24:24" x14ac:dyDescent="0.35">
      <c r="X826" s="8"/>
    </row>
    <row r="827" spans="24:24" x14ac:dyDescent="0.35">
      <c r="X827" s="8"/>
    </row>
    <row r="828" spans="24:24" x14ac:dyDescent="0.35">
      <c r="X828" s="8"/>
    </row>
    <row r="829" spans="24:24" x14ac:dyDescent="0.35">
      <c r="X829" s="8"/>
    </row>
    <row r="830" spans="24:24" x14ac:dyDescent="0.35">
      <c r="X830" s="8"/>
    </row>
    <row r="831" spans="24:24" x14ac:dyDescent="0.35">
      <c r="X831" s="8"/>
    </row>
    <row r="832" spans="24:24" x14ac:dyDescent="0.35">
      <c r="X832" s="8"/>
    </row>
    <row r="833" spans="24:24" x14ac:dyDescent="0.35">
      <c r="X833" s="8"/>
    </row>
    <row r="834" spans="24:24" x14ac:dyDescent="0.35">
      <c r="X834" s="8"/>
    </row>
    <row r="835" spans="24:24" x14ac:dyDescent="0.35">
      <c r="X835" s="8"/>
    </row>
    <row r="836" spans="24:24" x14ac:dyDescent="0.35">
      <c r="X836" s="8"/>
    </row>
    <row r="837" spans="24:24" x14ac:dyDescent="0.35">
      <c r="X837" s="8"/>
    </row>
    <row r="838" spans="24:24" x14ac:dyDescent="0.35">
      <c r="X838" s="8"/>
    </row>
    <row r="839" spans="24:24" x14ac:dyDescent="0.35">
      <c r="X839" s="8"/>
    </row>
    <row r="840" spans="24:24" x14ac:dyDescent="0.35">
      <c r="X840" s="8"/>
    </row>
    <row r="841" spans="24:24" x14ac:dyDescent="0.35">
      <c r="X841" s="8"/>
    </row>
    <row r="842" spans="24:24" x14ac:dyDescent="0.35">
      <c r="X842" s="8"/>
    </row>
    <row r="843" spans="24:24" x14ac:dyDescent="0.35">
      <c r="X843" s="8"/>
    </row>
    <row r="844" spans="24:24" x14ac:dyDescent="0.35">
      <c r="X844" s="8"/>
    </row>
    <row r="845" spans="24:24" x14ac:dyDescent="0.35">
      <c r="X845" s="8"/>
    </row>
    <row r="846" spans="24:24" x14ac:dyDescent="0.35">
      <c r="X846" s="8"/>
    </row>
    <row r="847" spans="24:24" x14ac:dyDescent="0.35">
      <c r="X847" s="8"/>
    </row>
    <row r="848" spans="24:24" x14ac:dyDescent="0.35">
      <c r="X848" s="8"/>
    </row>
    <row r="849" spans="24:24" x14ac:dyDescent="0.35">
      <c r="X849" s="8"/>
    </row>
    <row r="850" spans="24:24" x14ac:dyDescent="0.35">
      <c r="X850" s="8"/>
    </row>
    <row r="851" spans="24:24" x14ac:dyDescent="0.35">
      <c r="X851" s="8"/>
    </row>
    <row r="852" spans="24:24" x14ac:dyDescent="0.35">
      <c r="X852" s="8"/>
    </row>
    <row r="853" spans="24:24" x14ac:dyDescent="0.35">
      <c r="X853" s="8"/>
    </row>
    <row r="854" spans="24:24" x14ac:dyDescent="0.35">
      <c r="X854" s="8"/>
    </row>
    <row r="855" spans="24:24" x14ac:dyDescent="0.35">
      <c r="X855" s="8"/>
    </row>
    <row r="856" spans="24:24" x14ac:dyDescent="0.35">
      <c r="X856" s="8"/>
    </row>
    <row r="857" spans="24:24" x14ac:dyDescent="0.35">
      <c r="X857" s="8"/>
    </row>
    <row r="858" spans="24:24" x14ac:dyDescent="0.35">
      <c r="X858" s="8"/>
    </row>
    <row r="859" spans="24:24" x14ac:dyDescent="0.35">
      <c r="X859" s="8"/>
    </row>
    <row r="860" spans="24:24" x14ac:dyDescent="0.35">
      <c r="X860" s="8"/>
    </row>
    <row r="861" spans="24:24" x14ac:dyDescent="0.35">
      <c r="X861" s="8"/>
    </row>
    <row r="862" spans="24:24" x14ac:dyDescent="0.35">
      <c r="X862" s="8"/>
    </row>
    <row r="863" spans="24:24" x14ac:dyDescent="0.35">
      <c r="X863" s="8"/>
    </row>
    <row r="864" spans="24:24" x14ac:dyDescent="0.35">
      <c r="X864" s="8"/>
    </row>
    <row r="865" spans="24:24" x14ac:dyDescent="0.35">
      <c r="X865" s="8"/>
    </row>
    <row r="866" spans="24:24" x14ac:dyDescent="0.35">
      <c r="X866" s="8"/>
    </row>
    <row r="867" spans="24:24" x14ac:dyDescent="0.35">
      <c r="X867" s="8"/>
    </row>
    <row r="868" spans="24:24" x14ac:dyDescent="0.35">
      <c r="X868" s="8"/>
    </row>
    <row r="869" spans="24:24" x14ac:dyDescent="0.35">
      <c r="X869" s="8"/>
    </row>
    <row r="870" spans="24:24" x14ac:dyDescent="0.35">
      <c r="X870" s="8"/>
    </row>
    <row r="871" spans="24:24" x14ac:dyDescent="0.35">
      <c r="X871" s="8"/>
    </row>
    <row r="872" spans="24:24" x14ac:dyDescent="0.35">
      <c r="X872" s="8"/>
    </row>
    <row r="873" spans="24:24" x14ac:dyDescent="0.35">
      <c r="X873" s="8"/>
    </row>
    <row r="874" spans="24:24" x14ac:dyDescent="0.35">
      <c r="X874" s="8"/>
    </row>
    <row r="875" spans="24:24" x14ac:dyDescent="0.35">
      <c r="X875" s="8"/>
    </row>
    <row r="876" spans="24:24" x14ac:dyDescent="0.35">
      <c r="X876" s="8"/>
    </row>
    <row r="877" spans="24:24" x14ac:dyDescent="0.35">
      <c r="X877" s="8"/>
    </row>
    <row r="878" spans="24:24" x14ac:dyDescent="0.35">
      <c r="X878" s="8"/>
    </row>
    <row r="879" spans="24:24" x14ac:dyDescent="0.35">
      <c r="X879" s="8"/>
    </row>
    <row r="880" spans="24:24" x14ac:dyDescent="0.35">
      <c r="X880" s="8"/>
    </row>
    <row r="881" spans="24:24" x14ac:dyDescent="0.35">
      <c r="X881" s="8"/>
    </row>
    <row r="882" spans="24:24" x14ac:dyDescent="0.35">
      <c r="X882" s="8"/>
    </row>
    <row r="883" spans="24:24" x14ac:dyDescent="0.35">
      <c r="X883" s="8"/>
    </row>
    <row r="884" spans="24:24" x14ac:dyDescent="0.35">
      <c r="X884" s="8"/>
    </row>
    <row r="885" spans="24:24" x14ac:dyDescent="0.35">
      <c r="X885" s="8"/>
    </row>
    <row r="886" spans="24:24" x14ac:dyDescent="0.35">
      <c r="X886" s="8"/>
    </row>
    <row r="887" spans="24:24" x14ac:dyDescent="0.35">
      <c r="X887" s="8"/>
    </row>
    <row r="888" spans="24:24" x14ac:dyDescent="0.35">
      <c r="X888" s="8"/>
    </row>
    <row r="889" spans="24:24" x14ac:dyDescent="0.35">
      <c r="X889" s="8"/>
    </row>
    <row r="890" spans="24:24" x14ac:dyDescent="0.35">
      <c r="X890" s="8"/>
    </row>
    <row r="891" spans="24:24" x14ac:dyDescent="0.35">
      <c r="X891" s="8"/>
    </row>
    <row r="892" spans="24:24" x14ac:dyDescent="0.35">
      <c r="X892" s="8"/>
    </row>
    <row r="893" spans="24:24" x14ac:dyDescent="0.35">
      <c r="X893" s="8"/>
    </row>
    <row r="894" spans="24:24" x14ac:dyDescent="0.35">
      <c r="X894" s="8"/>
    </row>
    <row r="895" spans="24:24" x14ac:dyDescent="0.35">
      <c r="X895" s="8"/>
    </row>
    <row r="896" spans="24:24" x14ac:dyDescent="0.35">
      <c r="X896" s="8"/>
    </row>
    <row r="897" spans="24:24" x14ac:dyDescent="0.35">
      <c r="X897" s="8"/>
    </row>
    <row r="898" spans="24:24" x14ac:dyDescent="0.35">
      <c r="X898" s="8"/>
    </row>
    <row r="899" spans="24:24" x14ac:dyDescent="0.35">
      <c r="X899" s="8"/>
    </row>
    <row r="900" spans="24:24" x14ac:dyDescent="0.35">
      <c r="X900" s="8"/>
    </row>
    <row r="901" spans="24:24" x14ac:dyDescent="0.35">
      <c r="X901" s="8"/>
    </row>
    <row r="902" spans="24:24" x14ac:dyDescent="0.35">
      <c r="X902" s="8"/>
    </row>
    <row r="903" spans="24:24" x14ac:dyDescent="0.35">
      <c r="X903" s="8"/>
    </row>
    <row r="904" spans="24:24" x14ac:dyDescent="0.35">
      <c r="X904" s="8"/>
    </row>
    <row r="905" spans="24:24" x14ac:dyDescent="0.35">
      <c r="X905" s="8"/>
    </row>
    <row r="906" spans="24:24" x14ac:dyDescent="0.35">
      <c r="X906" s="8"/>
    </row>
    <row r="907" spans="24:24" x14ac:dyDescent="0.35">
      <c r="X907" s="8"/>
    </row>
    <row r="908" spans="24:24" x14ac:dyDescent="0.35">
      <c r="X908" s="8"/>
    </row>
    <row r="909" spans="24:24" x14ac:dyDescent="0.35">
      <c r="X909" s="8"/>
    </row>
    <row r="910" spans="24:24" x14ac:dyDescent="0.35">
      <c r="X910" s="8"/>
    </row>
    <row r="911" spans="24:24" x14ac:dyDescent="0.35">
      <c r="X911" s="8"/>
    </row>
    <row r="912" spans="24:24" x14ac:dyDescent="0.35">
      <c r="X912" s="8"/>
    </row>
    <row r="913" spans="24:24" x14ac:dyDescent="0.35">
      <c r="X913" s="8"/>
    </row>
    <row r="914" spans="24:24" x14ac:dyDescent="0.35">
      <c r="X914" s="8"/>
    </row>
    <row r="915" spans="24:24" x14ac:dyDescent="0.35">
      <c r="X915" s="8"/>
    </row>
    <row r="916" spans="24:24" x14ac:dyDescent="0.35">
      <c r="X916" s="8"/>
    </row>
    <row r="917" spans="24:24" x14ac:dyDescent="0.35">
      <c r="X917" s="8"/>
    </row>
    <row r="918" spans="24:24" x14ac:dyDescent="0.35">
      <c r="X918" s="8"/>
    </row>
    <row r="919" spans="24:24" x14ac:dyDescent="0.35">
      <c r="X919" s="8"/>
    </row>
    <row r="920" spans="24:24" x14ac:dyDescent="0.35">
      <c r="X920" s="8"/>
    </row>
    <row r="921" spans="24:24" x14ac:dyDescent="0.35">
      <c r="X921" s="8"/>
    </row>
    <row r="922" spans="24:24" x14ac:dyDescent="0.35">
      <c r="X922" s="8"/>
    </row>
    <row r="923" spans="24:24" x14ac:dyDescent="0.35">
      <c r="X923" s="8"/>
    </row>
    <row r="924" spans="24:24" x14ac:dyDescent="0.35">
      <c r="X924" s="8"/>
    </row>
    <row r="925" spans="24:24" x14ac:dyDescent="0.35">
      <c r="X925" s="8"/>
    </row>
    <row r="926" spans="24:24" x14ac:dyDescent="0.35">
      <c r="X926" s="8"/>
    </row>
    <row r="927" spans="24:24" x14ac:dyDescent="0.35">
      <c r="X927" s="8"/>
    </row>
    <row r="928" spans="24:24" x14ac:dyDescent="0.35">
      <c r="X928" s="8"/>
    </row>
    <row r="929" spans="24:24" x14ac:dyDescent="0.35">
      <c r="X929" s="8"/>
    </row>
    <row r="930" spans="24:24" x14ac:dyDescent="0.35">
      <c r="X930" s="8"/>
    </row>
    <row r="931" spans="24:24" x14ac:dyDescent="0.35">
      <c r="X931" s="8"/>
    </row>
    <row r="932" spans="24:24" x14ac:dyDescent="0.35">
      <c r="X932" s="8"/>
    </row>
    <row r="933" spans="24:24" x14ac:dyDescent="0.35">
      <c r="X933" s="8"/>
    </row>
    <row r="934" spans="24:24" x14ac:dyDescent="0.35">
      <c r="X934" s="8"/>
    </row>
    <row r="935" spans="24:24" x14ac:dyDescent="0.35">
      <c r="X935" s="8"/>
    </row>
    <row r="936" spans="24:24" x14ac:dyDescent="0.35">
      <c r="X936" s="8"/>
    </row>
    <row r="937" spans="24:24" x14ac:dyDescent="0.35">
      <c r="X937" s="8"/>
    </row>
    <row r="938" spans="24:24" x14ac:dyDescent="0.35">
      <c r="X938" s="8"/>
    </row>
    <row r="939" spans="24:24" x14ac:dyDescent="0.35">
      <c r="X939" s="8"/>
    </row>
    <row r="940" spans="24:24" x14ac:dyDescent="0.35">
      <c r="X940" s="8"/>
    </row>
    <row r="941" spans="24:24" x14ac:dyDescent="0.35">
      <c r="X941" s="8"/>
    </row>
    <row r="942" spans="24:24" x14ac:dyDescent="0.35">
      <c r="X942" s="8"/>
    </row>
    <row r="943" spans="24:24" x14ac:dyDescent="0.35">
      <c r="X943" s="8"/>
    </row>
    <row r="944" spans="24:24" x14ac:dyDescent="0.35">
      <c r="X944" s="8"/>
    </row>
    <row r="945" spans="24:24" x14ac:dyDescent="0.35">
      <c r="X945" s="8"/>
    </row>
    <row r="946" spans="24:24" x14ac:dyDescent="0.35">
      <c r="X946" s="8"/>
    </row>
    <row r="947" spans="24:24" x14ac:dyDescent="0.35">
      <c r="X947" s="8"/>
    </row>
    <row r="948" spans="24:24" x14ac:dyDescent="0.35">
      <c r="X948" s="8"/>
    </row>
    <row r="949" spans="24:24" x14ac:dyDescent="0.35">
      <c r="X949" s="8"/>
    </row>
    <row r="950" spans="24:24" x14ac:dyDescent="0.35">
      <c r="X950" s="8"/>
    </row>
    <row r="951" spans="24:24" x14ac:dyDescent="0.35">
      <c r="X951" s="8"/>
    </row>
    <row r="952" spans="24:24" x14ac:dyDescent="0.35">
      <c r="X952" s="8"/>
    </row>
    <row r="953" spans="24:24" x14ac:dyDescent="0.35">
      <c r="X953" s="8"/>
    </row>
    <row r="954" spans="24:24" x14ac:dyDescent="0.35">
      <c r="X954" s="8"/>
    </row>
    <row r="955" spans="24:24" x14ac:dyDescent="0.35">
      <c r="X955" s="8"/>
    </row>
    <row r="956" spans="24:24" x14ac:dyDescent="0.35">
      <c r="X956" s="8"/>
    </row>
    <row r="957" spans="24:24" x14ac:dyDescent="0.35">
      <c r="X957" s="8"/>
    </row>
    <row r="958" spans="24:24" x14ac:dyDescent="0.35">
      <c r="X958" s="8"/>
    </row>
    <row r="959" spans="24:24" x14ac:dyDescent="0.35">
      <c r="X959" s="8"/>
    </row>
    <row r="960" spans="24:24" x14ac:dyDescent="0.35">
      <c r="X960" s="8"/>
    </row>
    <row r="961" spans="24:24" x14ac:dyDescent="0.35">
      <c r="X961" s="8"/>
    </row>
    <row r="962" spans="24:24" x14ac:dyDescent="0.35">
      <c r="X962" s="8"/>
    </row>
    <row r="963" spans="24:24" x14ac:dyDescent="0.35">
      <c r="X963" s="8"/>
    </row>
    <row r="964" spans="24:24" x14ac:dyDescent="0.35">
      <c r="X964" s="8"/>
    </row>
    <row r="965" spans="24:24" x14ac:dyDescent="0.35">
      <c r="X965" s="8"/>
    </row>
    <row r="966" spans="24:24" x14ac:dyDescent="0.35">
      <c r="X966" s="8"/>
    </row>
    <row r="967" spans="24:24" x14ac:dyDescent="0.35">
      <c r="X967" s="8"/>
    </row>
    <row r="968" spans="24:24" x14ac:dyDescent="0.35">
      <c r="X968" s="8"/>
    </row>
    <row r="969" spans="24:24" x14ac:dyDescent="0.35">
      <c r="X969" s="8"/>
    </row>
    <row r="970" spans="24:24" x14ac:dyDescent="0.35">
      <c r="X970" s="8"/>
    </row>
    <row r="971" spans="24:24" x14ac:dyDescent="0.35">
      <c r="X971" s="8"/>
    </row>
    <row r="972" spans="24:24" x14ac:dyDescent="0.35">
      <c r="X972" s="8"/>
    </row>
    <row r="973" spans="24:24" x14ac:dyDescent="0.35">
      <c r="X973" s="8"/>
    </row>
    <row r="974" spans="24:24" x14ac:dyDescent="0.35">
      <c r="X974" s="8"/>
    </row>
    <row r="975" spans="24:24" x14ac:dyDescent="0.35">
      <c r="X975" s="8"/>
    </row>
    <row r="976" spans="24:24" x14ac:dyDescent="0.35">
      <c r="X976" s="8"/>
    </row>
    <row r="977" spans="24:24" x14ac:dyDescent="0.35">
      <c r="X977" s="8"/>
    </row>
    <row r="978" spans="24:24" x14ac:dyDescent="0.35">
      <c r="X978" s="8"/>
    </row>
    <row r="979" spans="24:24" x14ac:dyDescent="0.35">
      <c r="X979" s="8"/>
    </row>
    <row r="980" spans="24:24" x14ac:dyDescent="0.35">
      <c r="X980" s="8"/>
    </row>
    <row r="981" spans="24:24" x14ac:dyDescent="0.35">
      <c r="X981" s="8"/>
    </row>
    <row r="982" spans="24:24" x14ac:dyDescent="0.35">
      <c r="X982" s="8"/>
    </row>
    <row r="983" spans="24:24" x14ac:dyDescent="0.35">
      <c r="X983" s="8"/>
    </row>
    <row r="984" spans="24:24" x14ac:dyDescent="0.35">
      <c r="X984" s="8"/>
    </row>
    <row r="985" spans="24:24" x14ac:dyDescent="0.35">
      <c r="X985" s="8"/>
    </row>
    <row r="986" spans="24:24" x14ac:dyDescent="0.35">
      <c r="X986" s="8"/>
    </row>
    <row r="987" spans="24:24" x14ac:dyDescent="0.35">
      <c r="X987" s="8"/>
    </row>
    <row r="988" spans="24:24" x14ac:dyDescent="0.35">
      <c r="X988" s="8"/>
    </row>
    <row r="989" spans="24:24" x14ac:dyDescent="0.35">
      <c r="X989" s="8"/>
    </row>
    <row r="990" spans="24:24" x14ac:dyDescent="0.35">
      <c r="X990" s="8"/>
    </row>
    <row r="991" spans="24:24" x14ac:dyDescent="0.35">
      <c r="X991" s="8"/>
    </row>
    <row r="992" spans="24:24" x14ac:dyDescent="0.35">
      <c r="X992" s="8"/>
    </row>
    <row r="993" spans="24:24" x14ac:dyDescent="0.35">
      <c r="X993" s="8"/>
    </row>
    <row r="994" spans="24:24" x14ac:dyDescent="0.35">
      <c r="X994" s="8"/>
    </row>
    <row r="995" spans="24:24" x14ac:dyDescent="0.35">
      <c r="X995" s="8"/>
    </row>
    <row r="996" spans="24:24" x14ac:dyDescent="0.35">
      <c r="X996" s="8"/>
    </row>
    <row r="997" spans="24:24" x14ac:dyDescent="0.35">
      <c r="X997" s="8"/>
    </row>
    <row r="998" spans="24:24" x14ac:dyDescent="0.35">
      <c r="X998" s="8"/>
    </row>
    <row r="999" spans="24:24" x14ac:dyDescent="0.35">
      <c r="X999" s="8"/>
    </row>
    <row r="1000" spans="24:24" x14ac:dyDescent="0.35">
      <c r="X1000" s="8"/>
    </row>
    <row r="1001" spans="24:24" x14ac:dyDescent="0.35">
      <c r="X1001" s="8"/>
    </row>
    <row r="1002" spans="24:24" x14ac:dyDescent="0.35">
      <c r="X1002" s="8"/>
    </row>
    <row r="1003" spans="24:24" x14ac:dyDescent="0.35">
      <c r="X1003" s="8"/>
    </row>
    <row r="1004" spans="24:24" x14ac:dyDescent="0.35">
      <c r="X1004" s="8"/>
    </row>
    <row r="1005" spans="24:24" x14ac:dyDescent="0.35">
      <c r="X1005" s="8"/>
    </row>
    <row r="1006" spans="24:24" x14ac:dyDescent="0.35">
      <c r="X1006" s="8"/>
    </row>
    <row r="1007" spans="24:24" x14ac:dyDescent="0.35">
      <c r="X1007" s="8"/>
    </row>
    <row r="1008" spans="24:24" x14ac:dyDescent="0.35">
      <c r="X1008" s="8"/>
    </row>
    <row r="1009" spans="24:24" x14ac:dyDescent="0.35">
      <c r="X1009" s="8"/>
    </row>
    <row r="1010" spans="24:24" x14ac:dyDescent="0.35">
      <c r="X1010" s="8"/>
    </row>
    <row r="1011" spans="24:24" x14ac:dyDescent="0.35">
      <c r="X1011" s="8"/>
    </row>
    <row r="1012" spans="24:24" x14ac:dyDescent="0.35">
      <c r="X1012" s="8"/>
    </row>
    <row r="1013" spans="24:24" x14ac:dyDescent="0.35">
      <c r="X1013" s="8"/>
    </row>
    <row r="1014" spans="24:24" x14ac:dyDescent="0.35">
      <c r="X1014" s="8"/>
    </row>
    <row r="1015" spans="24:24" x14ac:dyDescent="0.35">
      <c r="X1015" s="8"/>
    </row>
    <row r="1016" spans="24:24" x14ac:dyDescent="0.35">
      <c r="X1016" s="8"/>
    </row>
    <row r="1017" spans="24:24" x14ac:dyDescent="0.35">
      <c r="X1017" s="8"/>
    </row>
    <row r="1018" spans="24:24" x14ac:dyDescent="0.35">
      <c r="X1018" s="8"/>
    </row>
    <row r="1019" spans="24:24" x14ac:dyDescent="0.35">
      <c r="X1019" s="8"/>
    </row>
    <row r="1020" spans="24:24" x14ac:dyDescent="0.35">
      <c r="X1020" s="8"/>
    </row>
    <row r="1021" spans="24:24" x14ac:dyDescent="0.35">
      <c r="X1021" s="8"/>
    </row>
    <row r="1022" spans="24:24" x14ac:dyDescent="0.35">
      <c r="X1022" s="8"/>
    </row>
    <row r="1023" spans="24:24" x14ac:dyDescent="0.35">
      <c r="X1023" s="8"/>
    </row>
    <row r="1024" spans="24:24" x14ac:dyDescent="0.35">
      <c r="X1024" s="8"/>
    </row>
    <row r="1025" spans="24:24" x14ac:dyDescent="0.35">
      <c r="X1025" s="8"/>
    </row>
    <row r="1026" spans="24:24" x14ac:dyDescent="0.35">
      <c r="X1026" s="8"/>
    </row>
    <row r="1027" spans="24:24" x14ac:dyDescent="0.35">
      <c r="X1027" s="8"/>
    </row>
    <row r="1028" spans="24:24" x14ac:dyDescent="0.35">
      <c r="X1028" s="8"/>
    </row>
    <row r="1029" spans="24:24" x14ac:dyDescent="0.35">
      <c r="X1029" s="8"/>
    </row>
    <row r="1030" spans="24:24" x14ac:dyDescent="0.35">
      <c r="X1030" s="8"/>
    </row>
    <row r="1031" spans="24:24" x14ac:dyDescent="0.35">
      <c r="X1031" s="8"/>
    </row>
    <row r="1032" spans="24:24" x14ac:dyDescent="0.35">
      <c r="X1032" s="8"/>
    </row>
    <row r="1033" spans="24:24" x14ac:dyDescent="0.35">
      <c r="X1033" s="8"/>
    </row>
    <row r="1034" spans="24:24" x14ac:dyDescent="0.35">
      <c r="X1034" s="8"/>
    </row>
    <row r="1035" spans="24:24" x14ac:dyDescent="0.35">
      <c r="X1035" s="8"/>
    </row>
    <row r="1036" spans="24:24" x14ac:dyDescent="0.35">
      <c r="X1036" s="8"/>
    </row>
    <row r="1037" spans="24:24" x14ac:dyDescent="0.35">
      <c r="X1037" s="8"/>
    </row>
    <row r="1038" spans="24:24" x14ac:dyDescent="0.35">
      <c r="X1038" s="8"/>
    </row>
    <row r="1039" spans="24:24" x14ac:dyDescent="0.35">
      <c r="X1039" s="8"/>
    </row>
    <row r="1040" spans="24:24" x14ac:dyDescent="0.35">
      <c r="X1040" s="8"/>
    </row>
    <row r="1041" spans="24:24" x14ac:dyDescent="0.35">
      <c r="X1041" s="8"/>
    </row>
    <row r="1042" spans="24:24" x14ac:dyDescent="0.35">
      <c r="X1042" s="8"/>
    </row>
    <row r="1043" spans="24:24" x14ac:dyDescent="0.35">
      <c r="X1043" s="8"/>
    </row>
    <row r="1044" spans="24:24" x14ac:dyDescent="0.35">
      <c r="X1044" s="8"/>
    </row>
    <row r="1045" spans="24:24" x14ac:dyDescent="0.35">
      <c r="X1045" s="8"/>
    </row>
    <row r="1046" spans="24:24" x14ac:dyDescent="0.35">
      <c r="X1046" s="8"/>
    </row>
    <row r="1047" spans="24:24" x14ac:dyDescent="0.35">
      <c r="X1047" s="8"/>
    </row>
    <row r="1048" spans="24:24" x14ac:dyDescent="0.35">
      <c r="X1048" s="8"/>
    </row>
    <row r="1049" spans="24:24" x14ac:dyDescent="0.35">
      <c r="X1049" s="8"/>
    </row>
    <row r="1050" spans="24:24" x14ac:dyDescent="0.35">
      <c r="X1050" s="8"/>
    </row>
    <row r="1051" spans="24:24" x14ac:dyDescent="0.35">
      <c r="X1051" s="8"/>
    </row>
    <row r="1052" spans="24:24" x14ac:dyDescent="0.35">
      <c r="X1052" s="8"/>
    </row>
    <row r="1053" spans="24:24" x14ac:dyDescent="0.35">
      <c r="X1053" s="8"/>
    </row>
    <row r="1054" spans="24:24" x14ac:dyDescent="0.35">
      <c r="X1054" s="8"/>
    </row>
    <row r="1055" spans="24:24" x14ac:dyDescent="0.35">
      <c r="X1055" s="8"/>
    </row>
    <row r="1056" spans="24:24" x14ac:dyDescent="0.35">
      <c r="X1056" s="8"/>
    </row>
    <row r="1057" spans="24:24" x14ac:dyDescent="0.35">
      <c r="X1057" s="8"/>
    </row>
    <row r="1058" spans="24:24" x14ac:dyDescent="0.35">
      <c r="X1058" s="8"/>
    </row>
    <row r="1059" spans="24:24" x14ac:dyDescent="0.35">
      <c r="X1059" s="8"/>
    </row>
    <row r="1060" spans="24:24" x14ac:dyDescent="0.35">
      <c r="X1060" s="8"/>
    </row>
    <row r="1061" spans="24:24" x14ac:dyDescent="0.35">
      <c r="X1061" s="8"/>
    </row>
    <row r="1062" spans="24:24" x14ac:dyDescent="0.35">
      <c r="X1062" s="8"/>
    </row>
    <row r="1063" spans="24:24" x14ac:dyDescent="0.35">
      <c r="X1063" s="8"/>
    </row>
    <row r="1064" spans="24:24" x14ac:dyDescent="0.35">
      <c r="X1064" s="8"/>
    </row>
    <row r="1065" spans="24:24" x14ac:dyDescent="0.35">
      <c r="X1065" s="8"/>
    </row>
    <row r="1066" spans="24:24" x14ac:dyDescent="0.35">
      <c r="X1066" s="8"/>
    </row>
    <row r="1067" spans="24:24" x14ac:dyDescent="0.35">
      <c r="X1067" s="8"/>
    </row>
    <row r="1068" spans="24:24" x14ac:dyDescent="0.35">
      <c r="X1068" s="8"/>
    </row>
    <row r="1069" spans="24:24" x14ac:dyDescent="0.35">
      <c r="X1069" s="8"/>
    </row>
    <row r="1070" spans="24:24" x14ac:dyDescent="0.35">
      <c r="X1070" s="8"/>
    </row>
    <row r="1071" spans="24:24" x14ac:dyDescent="0.35">
      <c r="X1071" s="8"/>
    </row>
    <row r="1072" spans="24:24" x14ac:dyDescent="0.35">
      <c r="X1072" s="8"/>
    </row>
    <row r="1073" spans="24:24" x14ac:dyDescent="0.35">
      <c r="X1073" s="8"/>
    </row>
    <row r="1074" spans="24:24" x14ac:dyDescent="0.35">
      <c r="X1074" s="8"/>
    </row>
    <row r="1075" spans="24:24" x14ac:dyDescent="0.35">
      <c r="X1075" s="8"/>
    </row>
    <row r="1076" spans="24:24" x14ac:dyDescent="0.35">
      <c r="X1076" s="8"/>
    </row>
    <row r="1077" spans="24:24" x14ac:dyDescent="0.35">
      <c r="X1077" s="8"/>
    </row>
    <row r="1078" spans="24:24" x14ac:dyDescent="0.35">
      <c r="X1078" s="8"/>
    </row>
    <row r="1079" spans="24:24" x14ac:dyDescent="0.35">
      <c r="X1079" s="8"/>
    </row>
    <row r="1080" spans="24:24" x14ac:dyDescent="0.35">
      <c r="X1080" s="8"/>
    </row>
    <row r="1081" spans="24:24" x14ac:dyDescent="0.35">
      <c r="X1081" s="8"/>
    </row>
    <row r="1082" spans="24:24" x14ac:dyDescent="0.35">
      <c r="X1082" s="8"/>
    </row>
    <row r="1083" spans="24:24" x14ac:dyDescent="0.35">
      <c r="X1083" s="8"/>
    </row>
    <row r="1084" spans="24:24" x14ac:dyDescent="0.35">
      <c r="X1084" s="8"/>
    </row>
    <row r="1085" spans="24:24" x14ac:dyDescent="0.35">
      <c r="X1085" s="8"/>
    </row>
    <row r="1086" spans="24:24" x14ac:dyDescent="0.35">
      <c r="X1086" s="8"/>
    </row>
    <row r="1087" spans="24:24" x14ac:dyDescent="0.35">
      <c r="X1087" s="8"/>
    </row>
    <row r="1088" spans="24:24" x14ac:dyDescent="0.35">
      <c r="X1088" s="8"/>
    </row>
    <row r="1089" spans="24:24" x14ac:dyDescent="0.35">
      <c r="X1089" s="8"/>
    </row>
    <row r="1090" spans="24:24" x14ac:dyDescent="0.35">
      <c r="X1090" s="8"/>
    </row>
    <row r="1091" spans="24:24" x14ac:dyDescent="0.35">
      <c r="X1091" s="8"/>
    </row>
    <row r="1092" spans="24:24" x14ac:dyDescent="0.35">
      <c r="X1092" s="8"/>
    </row>
    <row r="1093" spans="24:24" x14ac:dyDescent="0.35">
      <c r="X1093" s="8"/>
    </row>
    <row r="1094" spans="24:24" x14ac:dyDescent="0.35">
      <c r="X1094" s="8"/>
    </row>
    <row r="1095" spans="24:24" x14ac:dyDescent="0.35">
      <c r="X1095" s="8"/>
    </row>
    <row r="1096" spans="24:24" x14ac:dyDescent="0.35">
      <c r="X1096" s="8"/>
    </row>
    <row r="1097" spans="24:24" x14ac:dyDescent="0.35">
      <c r="X1097" s="8"/>
    </row>
    <row r="1098" spans="24:24" x14ac:dyDescent="0.35">
      <c r="X1098" s="8"/>
    </row>
    <row r="1099" spans="24:24" x14ac:dyDescent="0.35">
      <c r="X1099" s="8"/>
    </row>
    <row r="1100" spans="24:24" x14ac:dyDescent="0.35">
      <c r="X1100" s="8"/>
    </row>
    <row r="1101" spans="24:24" x14ac:dyDescent="0.35">
      <c r="X1101" s="8"/>
    </row>
    <row r="1102" spans="24:24" x14ac:dyDescent="0.35">
      <c r="X1102" s="8"/>
    </row>
    <row r="1103" spans="24:24" x14ac:dyDescent="0.35">
      <c r="X1103" s="8"/>
    </row>
    <row r="1104" spans="24:24" x14ac:dyDescent="0.35">
      <c r="X1104" s="8"/>
    </row>
    <row r="1105" spans="24:24" x14ac:dyDescent="0.35">
      <c r="X1105" s="8"/>
    </row>
    <row r="1106" spans="24:24" x14ac:dyDescent="0.35">
      <c r="X1106" s="8"/>
    </row>
    <row r="1107" spans="24:24" x14ac:dyDescent="0.35">
      <c r="X1107" s="8"/>
    </row>
    <row r="1108" spans="24:24" x14ac:dyDescent="0.35">
      <c r="X1108" s="8"/>
    </row>
    <row r="1109" spans="24:24" x14ac:dyDescent="0.35">
      <c r="X1109" s="8"/>
    </row>
    <row r="1110" spans="24:24" x14ac:dyDescent="0.35">
      <c r="X1110" s="8"/>
    </row>
    <row r="1111" spans="24:24" x14ac:dyDescent="0.35">
      <c r="X1111" s="8"/>
    </row>
    <row r="1112" spans="24:24" x14ac:dyDescent="0.35">
      <c r="X1112" s="8"/>
    </row>
    <row r="1113" spans="24:24" x14ac:dyDescent="0.35">
      <c r="X1113" s="8"/>
    </row>
    <row r="1114" spans="24:24" x14ac:dyDescent="0.35">
      <c r="X1114" s="8"/>
    </row>
    <row r="1115" spans="24:24" x14ac:dyDescent="0.35">
      <c r="X1115" s="8"/>
    </row>
    <row r="1116" spans="24:24" x14ac:dyDescent="0.35">
      <c r="X1116" s="8"/>
    </row>
    <row r="1117" spans="24:24" x14ac:dyDescent="0.35">
      <c r="X1117" s="8"/>
    </row>
    <row r="1118" spans="24:24" x14ac:dyDescent="0.35">
      <c r="X1118" s="8"/>
    </row>
    <row r="1119" spans="24:24" x14ac:dyDescent="0.35">
      <c r="X1119" s="8"/>
    </row>
    <row r="1120" spans="24:24" x14ac:dyDescent="0.35">
      <c r="X1120" s="8"/>
    </row>
    <row r="1121" spans="24:24" x14ac:dyDescent="0.35">
      <c r="X1121" s="8"/>
    </row>
    <row r="1122" spans="24:24" x14ac:dyDescent="0.35">
      <c r="X1122" s="8"/>
    </row>
    <row r="1123" spans="24:24" x14ac:dyDescent="0.35">
      <c r="X1123" s="8"/>
    </row>
    <row r="1124" spans="24:24" x14ac:dyDescent="0.35">
      <c r="X1124" s="8"/>
    </row>
    <row r="1125" spans="24:24" x14ac:dyDescent="0.35">
      <c r="X1125" s="8"/>
    </row>
    <row r="1126" spans="24:24" x14ac:dyDescent="0.35">
      <c r="X1126" s="8"/>
    </row>
    <row r="1127" spans="24:24" x14ac:dyDescent="0.35">
      <c r="X1127" s="8"/>
    </row>
    <row r="1128" spans="24:24" x14ac:dyDescent="0.35">
      <c r="X1128" s="8"/>
    </row>
    <row r="1129" spans="24:24" x14ac:dyDescent="0.35">
      <c r="X1129" s="8"/>
    </row>
    <row r="1130" spans="24:24" x14ac:dyDescent="0.35">
      <c r="X1130" s="8"/>
    </row>
    <row r="1131" spans="24:24" x14ac:dyDescent="0.35">
      <c r="X1131" s="8"/>
    </row>
    <row r="1132" spans="24:24" x14ac:dyDescent="0.35">
      <c r="X1132" s="8"/>
    </row>
    <row r="1133" spans="24:24" x14ac:dyDescent="0.35">
      <c r="X1133" s="8"/>
    </row>
    <row r="1134" spans="24:24" x14ac:dyDescent="0.35">
      <c r="X1134" s="8"/>
    </row>
    <row r="1135" spans="24:24" x14ac:dyDescent="0.35">
      <c r="X1135" s="8"/>
    </row>
    <row r="1136" spans="24:24" x14ac:dyDescent="0.35">
      <c r="X1136" s="8"/>
    </row>
    <row r="1137" spans="24:24" x14ac:dyDescent="0.35">
      <c r="X1137" s="8"/>
    </row>
    <row r="1138" spans="24:24" x14ac:dyDescent="0.35">
      <c r="X1138" s="8"/>
    </row>
    <row r="1139" spans="24:24" x14ac:dyDescent="0.35">
      <c r="X1139" s="8"/>
    </row>
    <row r="1140" spans="24:24" x14ac:dyDescent="0.35">
      <c r="X1140" s="8"/>
    </row>
    <row r="1141" spans="24:24" x14ac:dyDescent="0.35">
      <c r="X1141" s="8"/>
    </row>
    <row r="1142" spans="24:24" x14ac:dyDescent="0.35">
      <c r="X1142" s="8"/>
    </row>
    <row r="1143" spans="24:24" x14ac:dyDescent="0.35">
      <c r="X1143" s="8"/>
    </row>
    <row r="1144" spans="24:24" x14ac:dyDescent="0.35">
      <c r="X1144" s="8"/>
    </row>
    <row r="1145" spans="24:24" x14ac:dyDescent="0.35">
      <c r="X1145" s="8"/>
    </row>
    <row r="1146" spans="24:24" x14ac:dyDescent="0.35">
      <c r="X1146" s="8"/>
    </row>
    <row r="1147" spans="24:24" x14ac:dyDescent="0.35">
      <c r="X1147" s="8"/>
    </row>
    <row r="1148" spans="24:24" x14ac:dyDescent="0.35">
      <c r="X1148" s="8"/>
    </row>
    <row r="1149" spans="24:24" x14ac:dyDescent="0.35">
      <c r="X1149" s="8"/>
    </row>
    <row r="1150" spans="24:24" x14ac:dyDescent="0.35">
      <c r="X1150" s="8"/>
    </row>
    <row r="1151" spans="24:24" x14ac:dyDescent="0.35">
      <c r="X1151" s="8"/>
    </row>
    <row r="1152" spans="24:24" x14ac:dyDescent="0.35">
      <c r="X1152" s="8"/>
    </row>
    <row r="1153" spans="24:24" x14ac:dyDescent="0.35">
      <c r="X1153" s="8"/>
    </row>
    <row r="1154" spans="24:24" x14ac:dyDescent="0.35">
      <c r="X1154" s="8"/>
    </row>
    <row r="1155" spans="24:24" x14ac:dyDescent="0.35">
      <c r="X1155" s="8"/>
    </row>
    <row r="1156" spans="24:24" x14ac:dyDescent="0.35">
      <c r="X1156" s="8"/>
    </row>
    <row r="1157" spans="24:24" x14ac:dyDescent="0.35">
      <c r="X1157" s="8"/>
    </row>
    <row r="1158" spans="24:24" x14ac:dyDescent="0.35">
      <c r="X1158" s="8"/>
    </row>
    <row r="1159" spans="24:24" x14ac:dyDescent="0.35">
      <c r="X1159" s="8"/>
    </row>
    <row r="1160" spans="24:24" x14ac:dyDescent="0.35">
      <c r="X1160" s="8"/>
    </row>
    <row r="1161" spans="24:24" x14ac:dyDescent="0.35">
      <c r="X1161" s="8"/>
    </row>
    <row r="1162" spans="24:24" x14ac:dyDescent="0.35">
      <c r="X1162" s="8"/>
    </row>
    <row r="1163" spans="24:24" x14ac:dyDescent="0.35">
      <c r="X1163" s="8"/>
    </row>
    <row r="1164" spans="24:24" x14ac:dyDescent="0.35">
      <c r="X1164" s="8"/>
    </row>
    <row r="1165" spans="24:24" x14ac:dyDescent="0.35">
      <c r="X1165" s="8"/>
    </row>
    <row r="1166" spans="24:24" x14ac:dyDescent="0.35">
      <c r="X1166" s="8"/>
    </row>
    <row r="1167" spans="24:24" x14ac:dyDescent="0.35">
      <c r="X1167" s="8"/>
    </row>
    <row r="1168" spans="24:24" x14ac:dyDescent="0.35">
      <c r="X1168" s="8"/>
    </row>
    <row r="1169" spans="24:24" x14ac:dyDescent="0.35">
      <c r="X1169" s="8"/>
    </row>
    <row r="1170" spans="24:24" x14ac:dyDescent="0.35">
      <c r="X1170" s="8"/>
    </row>
    <row r="1171" spans="24:24" x14ac:dyDescent="0.35">
      <c r="X1171" s="8"/>
    </row>
    <row r="1172" spans="24:24" x14ac:dyDescent="0.35">
      <c r="X1172" s="8"/>
    </row>
    <row r="1173" spans="24:24" x14ac:dyDescent="0.35">
      <c r="X1173" s="8"/>
    </row>
    <row r="1174" spans="24:24" x14ac:dyDescent="0.35">
      <c r="X1174" s="8"/>
    </row>
    <row r="1175" spans="24:24" x14ac:dyDescent="0.35">
      <c r="X1175" s="8"/>
    </row>
    <row r="1176" spans="24:24" x14ac:dyDescent="0.35">
      <c r="X1176" s="8"/>
    </row>
    <row r="1177" spans="24:24" x14ac:dyDescent="0.35">
      <c r="X1177" s="8"/>
    </row>
    <row r="1178" spans="24:24" x14ac:dyDescent="0.35">
      <c r="X1178" s="8"/>
    </row>
    <row r="1179" spans="24:24" x14ac:dyDescent="0.35">
      <c r="X1179" s="8"/>
    </row>
    <row r="1180" spans="24:24" x14ac:dyDescent="0.35">
      <c r="X1180" s="8"/>
    </row>
    <row r="1181" spans="24:24" x14ac:dyDescent="0.35">
      <c r="X1181" s="8"/>
    </row>
    <row r="1182" spans="24:24" x14ac:dyDescent="0.35">
      <c r="X1182" s="8"/>
    </row>
    <row r="1183" spans="24:24" x14ac:dyDescent="0.35">
      <c r="X1183" s="8"/>
    </row>
    <row r="1184" spans="24:24" x14ac:dyDescent="0.35">
      <c r="X1184" s="8"/>
    </row>
    <row r="1185" spans="24:24" x14ac:dyDescent="0.35">
      <c r="X1185" s="8"/>
    </row>
    <row r="1186" spans="24:24" x14ac:dyDescent="0.35">
      <c r="X1186" s="8"/>
    </row>
    <row r="1187" spans="24:24" x14ac:dyDescent="0.35">
      <c r="X1187" s="8"/>
    </row>
    <row r="1188" spans="24:24" x14ac:dyDescent="0.35">
      <c r="X1188" s="8"/>
    </row>
    <row r="1189" spans="24:24" x14ac:dyDescent="0.35">
      <c r="X1189" s="8"/>
    </row>
    <row r="1190" spans="24:24" x14ac:dyDescent="0.35">
      <c r="X1190" s="8"/>
    </row>
    <row r="1191" spans="24:24" x14ac:dyDescent="0.35">
      <c r="X1191" s="8"/>
    </row>
    <row r="1192" spans="24:24" x14ac:dyDescent="0.35">
      <c r="X1192" s="8"/>
    </row>
    <row r="1193" spans="24:24" x14ac:dyDescent="0.35">
      <c r="X1193" s="8"/>
    </row>
    <row r="1194" spans="24:24" x14ac:dyDescent="0.35">
      <c r="X1194" s="8"/>
    </row>
    <row r="1195" spans="24:24" x14ac:dyDescent="0.35">
      <c r="X1195" s="8"/>
    </row>
    <row r="1196" spans="24:24" x14ac:dyDescent="0.35">
      <c r="X1196" s="8"/>
    </row>
    <row r="1197" spans="24:24" x14ac:dyDescent="0.35">
      <c r="X1197" s="8"/>
    </row>
    <row r="1198" spans="24:24" x14ac:dyDescent="0.35">
      <c r="X1198" s="8"/>
    </row>
    <row r="1199" spans="24:24" x14ac:dyDescent="0.35">
      <c r="X1199" s="8"/>
    </row>
    <row r="1200" spans="24:24" x14ac:dyDescent="0.35">
      <c r="X1200" s="8"/>
    </row>
    <row r="1201" spans="24:24" x14ac:dyDescent="0.35">
      <c r="X1201" s="8"/>
    </row>
    <row r="1202" spans="24:24" x14ac:dyDescent="0.35">
      <c r="X1202" s="8"/>
    </row>
    <row r="1203" spans="24:24" x14ac:dyDescent="0.35">
      <c r="X1203" s="8"/>
    </row>
    <row r="1204" spans="24:24" x14ac:dyDescent="0.35">
      <c r="X1204" s="8"/>
    </row>
    <row r="1205" spans="24:24" x14ac:dyDescent="0.35">
      <c r="X1205" s="8"/>
    </row>
    <row r="1206" spans="24:24" x14ac:dyDescent="0.35">
      <c r="X1206" s="8"/>
    </row>
    <row r="1207" spans="24:24" x14ac:dyDescent="0.35">
      <c r="X1207" s="8"/>
    </row>
    <row r="1208" spans="24:24" x14ac:dyDescent="0.35">
      <c r="X1208" s="8"/>
    </row>
    <row r="1209" spans="24:24" x14ac:dyDescent="0.35">
      <c r="X1209" s="8"/>
    </row>
    <row r="1210" spans="24:24" x14ac:dyDescent="0.35">
      <c r="X1210" s="8"/>
    </row>
    <row r="1211" spans="24:24" x14ac:dyDescent="0.35">
      <c r="X1211" s="8"/>
    </row>
    <row r="1212" spans="24:24" x14ac:dyDescent="0.35">
      <c r="X1212" s="8"/>
    </row>
    <row r="1213" spans="24:24" x14ac:dyDescent="0.35">
      <c r="X1213" s="8"/>
    </row>
    <row r="1214" spans="24:24" x14ac:dyDescent="0.35">
      <c r="X1214" s="8"/>
    </row>
    <row r="1215" spans="24:24" x14ac:dyDescent="0.35">
      <c r="X1215" s="8"/>
    </row>
    <row r="1216" spans="24:24" x14ac:dyDescent="0.35">
      <c r="X1216" s="8"/>
    </row>
    <row r="1217" spans="24:24" x14ac:dyDescent="0.35">
      <c r="X1217" s="8"/>
    </row>
    <row r="1218" spans="24:24" x14ac:dyDescent="0.35">
      <c r="X1218" s="8"/>
    </row>
    <row r="1219" spans="24:24" x14ac:dyDescent="0.35">
      <c r="X1219" s="8"/>
    </row>
    <row r="1220" spans="24:24" x14ac:dyDescent="0.35">
      <c r="X1220" s="8"/>
    </row>
    <row r="1221" spans="24:24" x14ac:dyDescent="0.35">
      <c r="X1221" s="8"/>
    </row>
    <row r="1222" spans="24:24" x14ac:dyDescent="0.35">
      <c r="X1222" s="8"/>
    </row>
    <row r="1223" spans="24:24" x14ac:dyDescent="0.35">
      <c r="X1223" s="8"/>
    </row>
    <row r="1224" spans="24:24" x14ac:dyDescent="0.35">
      <c r="X1224" s="8"/>
    </row>
    <row r="1225" spans="24:24" x14ac:dyDescent="0.35">
      <c r="X1225" s="8"/>
    </row>
    <row r="1226" spans="24:24" x14ac:dyDescent="0.35">
      <c r="X1226" s="8"/>
    </row>
    <row r="1227" spans="24:24" x14ac:dyDescent="0.35">
      <c r="X1227" s="8"/>
    </row>
    <row r="1228" spans="24:24" x14ac:dyDescent="0.35">
      <c r="X1228" s="8"/>
    </row>
    <row r="1229" spans="24:24" x14ac:dyDescent="0.35">
      <c r="X1229" s="8"/>
    </row>
    <row r="1230" spans="24:24" x14ac:dyDescent="0.35">
      <c r="X1230" s="8"/>
    </row>
    <row r="1231" spans="24:24" x14ac:dyDescent="0.35">
      <c r="X1231" s="8"/>
    </row>
    <row r="1232" spans="24:24" x14ac:dyDescent="0.35">
      <c r="X1232" s="8"/>
    </row>
    <row r="1233" spans="24:24" x14ac:dyDescent="0.35">
      <c r="X1233" s="8"/>
    </row>
    <row r="1234" spans="24:24" x14ac:dyDescent="0.35">
      <c r="X1234" s="8"/>
    </row>
    <row r="1235" spans="24:24" x14ac:dyDescent="0.35">
      <c r="X1235" s="8"/>
    </row>
    <row r="1236" spans="24:24" x14ac:dyDescent="0.35">
      <c r="X1236" s="8"/>
    </row>
    <row r="1237" spans="24:24" x14ac:dyDescent="0.35">
      <c r="X1237" s="8"/>
    </row>
    <row r="1238" spans="24:24" x14ac:dyDescent="0.35">
      <c r="X1238" s="8"/>
    </row>
    <row r="1239" spans="24:24" x14ac:dyDescent="0.35">
      <c r="X1239" s="8"/>
    </row>
    <row r="1240" spans="24:24" x14ac:dyDescent="0.35">
      <c r="X1240" s="8"/>
    </row>
    <row r="1241" spans="24:24" x14ac:dyDescent="0.35">
      <c r="X1241" s="8"/>
    </row>
    <row r="1242" spans="24:24" x14ac:dyDescent="0.35">
      <c r="X1242" s="8"/>
    </row>
    <row r="1243" spans="24:24" x14ac:dyDescent="0.35">
      <c r="X1243" s="8"/>
    </row>
    <row r="1244" spans="24:24" x14ac:dyDescent="0.35">
      <c r="X1244" s="8"/>
    </row>
    <row r="1245" spans="24:24" x14ac:dyDescent="0.35">
      <c r="X1245" s="8"/>
    </row>
    <row r="1246" spans="24:24" x14ac:dyDescent="0.35">
      <c r="X1246" s="8"/>
    </row>
    <row r="1247" spans="24:24" x14ac:dyDescent="0.35">
      <c r="X1247" s="8"/>
    </row>
    <row r="1248" spans="24:24" x14ac:dyDescent="0.35">
      <c r="X1248" s="8"/>
    </row>
    <row r="1249" spans="24:24" x14ac:dyDescent="0.35">
      <c r="X1249" s="8"/>
    </row>
    <row r="1250" spans="24:24" x14ac:dyDescent="0.35">
      <c r="X1250" s="8"/>
    </row>
    <row r="1251" spans="24:24" x14ac:dyDescent="0.35">
      <c r="X1251" s="8"/>
    </row>
    <row r="1252" spans="24:24" x14ac:dyDescent="0.35">
      <c r="X1252" s="8"/>
    </row>
    <row r="1253" spans="24:24" x14ac:dyDescent="0.35">
      <c r="X1253" s="8"/>
    </row>
    <row r="1254" spans="24:24" x14ac:dyDescent="0.35">
      <c r="X1254" s="8"/>
    </row>
    <row r="1255" spans="24:24" x14ac:dyDescent="0.35">
      <c r="X1255" s="8"/>
    </row>
    <row r="1256" spans="24:24" x14ac:dyDescent="0.35">
      <c r="X1256" s="8"/>
    </row>
    <row r="1257" spans="24:24" x14ac:dyDescent="0.35">
      <c r="X1257" s="8"/>
    </row>
    <row r="1258" spans="24:24" x14ac:dyDescent="0.35">
      <c r="X1258" s="8"/>
    </row>
    <row r="1259" spans="24:24" x14ac:dyDescent="0.35">
      <c r="X1259" s="8"/>
    </row>
    <row r="1260" spans="24:24" x14ac:dyDescent="0.35">
      <c r="X1260" s="8"/>
    </row>
    <row r="1261" spans="24:24" x14ac:dyDescent="0.35">
      <c r="X1261" s="8"/>
    </row>
    <row r="1262" spans="24:24" x14ac:dyDescent="0.35">
      <c r="X1262" s="8"/>
    </row>
    <row r="1263" spans="24:24" x14ac:dyDescent="0.35">
      <c r="X1263" s="8"/>
    </row>
    <row r="1264" spans="24:24" x14ac:dyDescent="0.35">
      <c r="X1264" s="8"/>
    </row>
    <row r="1265" spans="24:24" x14ac:dyDescent="0.35">
      <c r="X1265" s="8"/>
    </row>
    <row r="1266" spans="24:24" x14ac:dyDescent="0.35">
      <c r="X1266" s="8"/>
    </row>
    <row r="1267" spans="24:24" x14ac:dyDescent="0.35">
      <c r="X1267" s="8"/>
    </row>
    <row r="1268" spans="24:24" x14ac:dyDescent="0.35">
      <c r="X1268" s="8"/>
    </row>
    <row r="1269" spans="24:24" x14ac:dyDescent="0.35">
      <c r="X1269" s="8"/>
    </row>
    <row r="1270" spans="24:24" x14ac:dyDescent="0.35">
      <c r="X1270" s="8"/>
    </row>
    <row r="1271" spans="24:24" x14ac:dyDescent="0.35">
      <c r="X1271" s="8"/>
    </row>
    <row r="1272" spans="24:24" x14ac:dyDescent="0.35">
      <c r="X1272" s="8"/>
    </row>
    <row r="1273" spans="24:24" x14ac:dyDescent="0.35">
      <c r="X1273" s="8"/>
    </row>
    <row r="1274" spans="24:24" x14ac:dyDescent="0.35">
      <c r="X1274" s="8"/>
    </row>
    <row r="1275" spans="24:24" x14ac:dyDescent="0.35">
      <c r="X1275" s="8"/>
    </row>
    <row r="1276" spans="24:24" x14ac:dyDescent="0.35">
      <c r="X1276" s="8"/>
    </row>
    <row r="1277" spans="24:24" x14ac:dyDescent="0.35">
      <c r="X1277" s="8"/>
    </row>
    <row r="1278" spans="24:24" x14ac:dyDescent="0.35">
      <c r="X1278" s="8"/>
    </row>
    <row r="1279" spans="24:24" x14ac:dyDescent="0.35">
      <c r="X1279" s="8"/>
    </row>
    <row r="1280" spans="24:24" x14ac:dyDescent="0.35">
      <c r="X1280" s="8"/>
    </row>
    <row r="1281" spans="24:24" x14ac:dyDescent="0.35">
      <c r="X1281" s="8"/>
    </row>
    <row r="1282" spans="24:24" x14ac:dyDescent="0.35">
      <c r="X1282" s="8"/>
    </row>
    <row r="1283" spans="24:24" x14ac:dyDescent="0.35">
      <c r="X1283" s="8"/>
    </row>
    <row r="1284" spans="24:24" x14ac:dyDescent="0.35">
      <c r="X1284" s="8"/>
    </row>
    <row r="1285" spans="24:24" x14ac:dyDescent="0.35">
      <c r="X1285" s="8"/>
    </row>
    <row r="1286" spans="24:24" x14ac:dyDescent="0.35">
      <c r="X1286" s="8"/>
    </row>
    <row r="1287" spans="24:24" x14ac:dyDescent="0.35">
      <c r="X1287" s="8"/>
    </row>
    <row r="1288" spans="24:24" x14ac:dyDescent="0.35">
      <c r="X1288" s="8"/>
    </row>
    <row r="1289" spans="24:24" x14ac:dyDescent="0.35">
      <c r="X1289" s="8"/>
    </row>
    <row r="1290" spans="24:24" x14ac:dyDescent="0.35">
      <c r="X1290" s="8"/>
    </row>
    <row r="1291" spans="24:24" x14ac:dyDescent="0.35">
      <c r="X1291" s="8"/>
    </row>
    <row r="1292" spans="24:24" x14ac:dyDescent="0.35">
      <c r="X1292" s="8"/>
    </row>
    <row r="1293" spans="24:24" x14ac:dyDescent="0.35">
      <c r="X1293" s="8"/>
    </row>
    <row r="1294" spans="24:24" x14ac:dyDescent="0.35">
      <c r="X1294" s="8"/>
    </row>
    <row r="1295" spans="24:24" x14ac:dyDescent="0.35">
      <c r="X1295" s="8"/>
    </row>
    <row r="1296" spans="24:24" x14ac:dyDescent="0.35">
      <c r="X1296" s="8"/>
    </row>
    <row r="1297" spans="24:24" x14ac:dyDescent="0.35">
      <c r="X1297" s="8"/>
    </row>
    <row r="1298" spans="24:24" x14ac:dyDescent="0.35">
      <c r="X1298" s="8"/>
    </row>
    <row r="1299" spans="24:24" x14ac:dyDescent="0.35">
      <c r="X1299" s="8"/>
    </row>
    <row r="1300" spans="24:24" x14ac:dyDescent="0.35">
      <c r="X1300" s="8"/>
    </row>
    <row r="1301" spans="24:24" x14ac:dyDescent="0.35">
      <c r="X1301" s="8"/>
    </row>
    <row r="1302" spans="24:24" x14ac:dyDescent="0.35">
      <c r="X1302" s="8"/>
    </row>
    <row r="1303" spans="24:24" x14ac:dyDescent="0.35">
      <c r="X1303" s="8"/>
    </row>
    <row r="1304" spans="24:24" x14ac:dyDescent="0.35">
      <c r="X1304" s="8"/>
    </row>
    <row r="1305" spans="24:24" x14ac:dyDescent="0.35">
      <c r="X1305" s="8"/>
    </row>
    <row r="1306" spans="24:24" x14ac:dyDescent="0.35">
      <c r="X1306" s="8"/>
    </row>
    <row r="1307" spans="24:24" x14ac:dyDescent="0.35">
      <c r="X1307" s="8"/>
    </row>
    <row r="1308" spans="24:24" x14ac:dyDescent="0.35">
      <c r="X1308" s="8"/>
    </row>
    <row r="1309" spans="24:24" x14ac:dyDescent="0.35">
      <c r="X1309" s="8"/>
    </row>
    <row r="1310" spans="24:24" x14ac:dyDescent="0.35">
      <c r="X1310" s="8"/>
    </row>
    <row r="1311" spans="24:24" x14ac:dyDescent="0.35">
      <c r="X1311" s="8"/>
    </row>
    <row r="1312" spans="24:24" x14ac:dyDescent="0.35">
      <c r="X1312" s="8"/>
    </row>
    <row r="1313" spans="24:24" x14ac:dyDescent="0.35">
      <c r="X1313" s="8"/>
    </row>
    <row r="1314" spans="24:24" x14ac:dyDescent="0.35">
      <c r="X1314" s="8"/>
    </row>
    <row r="1315" spans="24:24" x14ac:dyDescent="0.35">
      <c r="X1315" s="8"/>
    </row>
    <row r="1316" spans="24:24" x14ac:dyDescent="0.35">
      <c r="X1316" s="8"/>
    </row>
    <row r="1317" spans="24:24" x14ac:dyDescent="0.35">
      <c r="X1317" s="8"/>
    </row>
    <row r="1318" spans="24:24" x14ac:dyDescent="0.35">
      <c r="X1318" s="8"/>
    </row>
    <row r="1319" spans="24:24" x14ac:dyDescent="0.35">
      <c r="X1319" s="8"/>
    </row>
    <row r="1320" spans="24:24" x14ac:dyDescent="0.35">
      <c r="X1320" s="8"/>
    </row>
    <row r="1321" spans="24:24" x14ac:dyDescent="0.35">
      <c r="X1321" s="8"/>
    </row>
    <row r="1322" spans="24:24" x14ac:dyDescent="0.35">
      <c r="X1322" s="8"/>
    </row>
    <row r="1323" spans="24:24" x14ac:dyDescent="0.35">
      <c r="X1323" s="8"/>
    </row>
    <row r="1324" spans="24:24" x14ac:dyDescent="0.35">
      <c r="X1324" s="8"/>
    </row>
    <row r="1325" spans="24:24" x14ac:dyDescent="0.35">
      <c r="X1325" s="8"/>
    </row>
    <row r="1326" spans="24:24" x14ac:dyDescent="0.35">
      <c r="X1326" s="8"/>
    </row>
    <row r="1327" spans="24:24" x14ac:dyDescent="0.35">
      <c r="X1327" s="8"/>
    </row>
    <row r="1328" spans="24:24" x14ac:dyDescent="0.35">
      <c r="X1328" s="8"/>
    </row>
    <row r="1329" spans="24:24" x14ac:dyDescent="0.35">
      <c r="X1329" s="8"/>
    </row>
    <row r="1330" spans="24:24" x14ac:dyDescent="0.35">
      <c r="X1330" s="8"/>
    </row>
    <row r="1331" spans="24:24" x14ac:dyDescent="0.35">
      <c r="X1331" s="8"/>
    </row>
    <row r="1332" spans="24:24" x14ac:dyDescent="0.35">
      <c r="X1332" s="8"/>
    </row>
    <row r="1333" spans="24:24" x14ac:dyDescent="0.35">
      <c r="X1333" s="8"/>
    </row>
    <row r="1334" spans="24:24" x14ac:dyDescent="0.35">
      <c r="X1334" s="8"/>
    </row>
    <row r="1335" spans="24:24" x14ac:dyDescent="0.35">
      <c r="X1335" s="8"/>
    </row>
    <row r="1336" spans="24:24" x14ac:dyDescent="0.35">
      <c r="X1336" s="8"/>
    </row>
    <row r="1337" spans="24:24" x14ac:dyDescent="0.35">
      <c r="X1337" s="8"/>
    </row>
    <row r="1338" spans="24:24" x14ac:dyDescent="0.35">
      <c r="X1338" s="8"/>
    </row>
    <row r="1339" spans="24:24" x14ac:dyDescent="0.35">
      <c r="X1339" s="8"/>
    </row>
    <row r="1340" spans="24:24" x14ac:dyDescent="0.35">
      <c r="X1340" s="8"/>
    </row>
    <row r="1341" spans="24:24" x14ac:dyDescent="0.35">
      <c r="X1341" s="8"/>
    </row>
    <row r="1342" spans="24:24" x14ac:dyDescent="0.35">
      <c r="X1342" s="8"/>
    </row>
    <row r="1343" spans="24:24" x14ac:dyDescent="0.35">
      <c r="X1343" s="8"/>
    </row>
    <row r="1344" spans="24:24" x14ac:dyDescent="0.35">
      <c r="X1344" s="8"/>
    </row>
    <row r="1345" spans="24:24" x14ac:dyDescent="0.35">
      <c r="X1345" s="8"/>
    </row>
    <row r="1346" spans="24:24" x14ac:dyDescent="0.35">
      <c r="X1346" s="8"/>
    </row>
    <row r="1347" spans="24:24" x14ac:dyDescent="0.35">
      <c r="X1347" s="8"/>
    </row>
    <row r="1348" spans="24:24" x14ac:dyDescent="0.35">
      <c r="X1348" s="8"/>
    </row>
    <row r="1349" spans="24:24" x14ac:dyDescent="0.35">
      <c r="X1349" s="8"/>
    </row>
    <row r="1350" spans="24:24" x14ac:dyDescent="0.35">
      <c r="X1350" s="8"/>
    </row>
    <row r="1351" spans="24:24" x14ac:dyDescent="0.35">
      <c r="X1351" s="8"/>
    </row>
    <row r="1352" spans="24:24" x14ac:dyDescent="0.35">
      <c r="X1352" s="8"/>
    </row>
    <row r="1353" spans="24:24" x14ac:dyDescent="0.35">
      <c r="X1353" s="8"/>
    </row>
    <row r="1354" spans="24:24" x14ac:dyDescent="0.35">
      <c r="X1354" s="8"/>
    </row>
    <row r="1355" spans="24:24" x14ac:dyDescent="0.35">
      <c r="X1355" s="8"/>
    </row>
    <row r="1356" spans="24:24" x14ac:dyDescent="0.35">
      <c r="X1356" s="8"/>
    </row>
    <row r="1357" spans="24:24" x14ac:dyDescent="0.35">
      <c r="X1357" s="8"/>
    </row>
    <row r="1358" spans="24:24" x14ac:dyDescent="0.35">
      <c r="X1358" s="8"/>
    </row>
    <row r="1359" spans="24:24" x14ac:dyDescent="0.35">
      <c r="X1359" s="8"/>
    </row>
    <row r="1360" spans="24:24" x14ac:dyDescent="0.35">
      <c r="X1360" s="8"/>
    </row>
    <row r="1361" spans="24:24" x14ac:dyDescent="0.35">
      <c r="X1361" s="8"/>
    </row>
    <row r="1362" spans="24:24" x14ac:dyDescent="0.35">
      <c r="X1362" s="8"/>
    </row>
    <row r="1363" spans="24:24" x14ac:dyDescent="0.35">
      <c r="X1363" s="8"/>
    </row>
    <row r="1364" spans="24:24" x14ac:dyDescent="0.35">
      <c r="X1364" s="8"/>
    </row>
    <row r="1365" spans="24:24" x14ac:dyDescent="0.35">
      <c r="X1365" s="8"/>
    </row>
    <row r="1366" spans="24:24" x14ac:dyDescent="0.35">
      <c r="X1366" s="8"/>
    </row>
    <row r="1367" spans="24:24" x14ac:dyDescent="0.35">
      <c r="X1367" s="8"/>
    </row>
    <row r="1368" spans="24:24" x14ac:dyDescent="0.35">
      <c r="X1368" s="8"/>
    </row>
    <row r="1369" spans="24:24" x14ac:dyDescent="0.35">
      <c r="X1369" s="8"/>
    </row>
    <row r="1370" spans="24:24" x14ac:dyDescent="0.35">
      <c r="X1370" s="8"/>
    </row>
    <row r="1371" spans="24:24" x14ac:dyDescent="0.35">
      <c r="X1371" s="8"/>
    </row>
    <row r="1372" spans="24:24" x14ac:dyDescent="0.35">
      <c r="X1372" s="8"/>
    </row>
    <row r="1373" spans="24:24" x14ac:dyDescent="0.35">
      <c r="X1373" s="8"/>
    </row>
    <row r="1374" spans="24:24" x14ac:dyDescent="0.35">
      <c r="X1374" s="8"/>
    </row>
    <row r="1375" spans="24:24" x14ac:dyDescent="0.35">
      <c r="X1375" s="8"/>
    </row>
    <row r="1376" spans="24:24" x14ac:dyDescent="0.35">
      <c r="X1376" s="8"/>
    </row>
    <row r="1377" spans="24:24" x14ac:dyDescent="0.35">
      <c r="X1377" s="8"/>
    </row>
    <row r="1378" spans="24:24" x14ac:dyDescent="0.35">
      <c r="X1378" s="8"/>
    </row>
    <row r="1379" spans="24:24" x14ac:dyDescent="0.35">
      <c r="X1379" s="8"/>
    </row>
    <row r="1380" spans="24:24" x14ac:dyDescent="0.35">
      <c r="X1380" s="8"/>
    </row>
    <row r="1381" spans="24:24" x14ac:dyDescent="0.35">
      <c r="X1381" s="8"/>
    </row>
    <row r="1382" spans="24:24" x14ac:dyDescent="0.35">
      <c r="X1382" s="8"/>
    </row>
    <row r="1383" spans="24:24" x14ac:dyDescent="0.35">
      <c r="X1383" s="8"/>
    </row>
    <row r="1384" spans="24:24" x14ac:dyDescent="0.35">
      <c r="X1384" s="8"/>
    </row>
    <row r="1385" spans="24:24" x14ac:dyDescent="0.35">
      <c r="X1385" s="8"/>
    </row>
    <row r="1386" spans="24:24" x14ac:dyDescent="0.35">
      <c r="X1386" s="8"/>
    </row>
    <row r="1387" spans="24:24" x14ac:dyDescent="0.35">
      <c r="X1387" s="8"/>
    </row>
    <row r="1388" spans="24:24" x14ac:dyDescent="0.35">
      <c r="X1388" s="8"/>
    </row>
    <row r="1389" spans="24:24" x14ac:dyDescent="0.35">
      <c r="X1389" s="8"/>
    </row>
    <row r="1390" spans="24:24" x14ac:dyDescent="0.35">
      <c r="X1390" s="8"/>
    </row>
    <row r="1391" spans="24:24" x14ac:dyDescent="0.35">
      <c r="X1391" s="8"/>
    </row>
    <row r="1392" spans="24:24" x14ac:dyDescent="0.35">
      <c r="X1392" s="8"/>
    </row>
    <row r="1393" spans="24:24" x14ac:dyDescent="0.35">
      <c r="X1393" s="8"/>
    </row>
    <row r="1394" spans="24:24" x14ac:dyDescent="0.35">
      <c r="X1394" s="8"/>
    </row>
    <row r="1395" spans="24:24" x14ac:dyDescent="0.35">
      <c r="X1395" s="8"/>
    </row>
    <row r="1396" spans="24:24" x14ac:dyDescent="0.35">
      <c r="X1396" s="8"/>
    </row>
    <row r="1397" spans="24:24" x14ac:dyDescent="0.35">
      <c r="X1397" s="8"/>
    </row>
    <row r="1398" spans="24:24" x14ac:dyDescent="0.35">
      <c r="X1398" s="8"/>
    </row>
    <row r="1399" spans="24:24" x14ac:dyDescent="0.35">
      <c r="X1399" s="8"/>
    </row>
    <row r="1400" spans="24:24" x14ac:dyDescent="0.35">
      <c r="X1400" s="8"/>
    </row>
    <row r="1401" spans="24:24" x14ac:dyDescent="0.35">
      <c r="X1401" s="8"/>
    </row>
    <row r="1402" spans="24:24" x14ac:dyDescent="0.35">
      <c r="X1402" s="8"/>
    </row>
    <row r="1403" spans="24:24" x14ac:dyDescent="0.35">
      <c r="X1403" s="8"/>
    </row>
    <row r="1404" spans="24:24" x14ac:dyDescent="0.35">
      <c r="X1404" s="8"/>
    </row>
    <row r="1405" spans="24:24" x14ac:dyDescent="0.35">
      <c r="X1405" s="8"/>
    </row>
    <row r="1406" spans="24:24" x14ac:dyDescent="0.35">
      <c r="X1406" s="8"/>
    </row>
    <row r="1407" spans="24:24" x14ac:dyDescent="0.35">
      <c r="X1407" s="8"/>
    </row>
    <row r="1408" spans="24:24" x14ac:dyDescent="0.35">
      <c r="X1408" s="8"/>
    </row>
    <row r="1409" spans="24:24" x14ac:dyDescent="0.35">
      <c r="X1409" s="8"/>
    </row>
    <row r="1410" spans="24:24" x14ac:dyDescent="0.35">
      <c r="X1410" s="8"/>
    </row>
    <row r="1411" spans="24:24" x14ac:dyDescent="0.35">
      <c r="X1411" s="8"/>
    </row>
    <row r="1412" spans="24:24" x14ac:dyDescent="0.35">
      <c r="X1412" s="8"/>
    </row>
    <row r="1413" spans="24:24" x14ac:dyDescent="0.35">
      <c r="X1413" s="8"/>
    </row>
    <row r="1414" spans="24:24" x14ac:dyDescent="0.35">
      <c r="X1414" s="8"/>
    </row>
    <row r="1415" spans="24:24" x14ac:dyDescent="0.35">
      <c r="X1415" s="8"/>
    </row>
    <row r="1416" spans="24:24" x14ac:dyDescent="0.35">
      <c r="X1416" s="8"/>
    </row>
    <row r="1417" spans="24:24" x14ac:dyDescent="0.35">
      <c r="X1417" s="8"/>
    </row>
    <row r="1418" spans="24:24" x14ac:dyDescent="0.35">
      <c r="X1418" s="8"/>
    </row>
    <row r="1419" spans="24:24" x14ac:dyDescent="0.35">
      <c r="X1419" s="8"/>
    </row>
    <row r="1420" spans="24:24" x14ac:dyDescent="0.35">
      <c r="X1420" s="8"/>
    </row>
    <row r="1421" spans="24:24" x14ac:dyDescent="0.35">
      <c r="X1421" s="8"/>
    </row>
    <row r="1422" spans="24:24" x14ac:dyDescent="0.35">
      <c r="X1422" s="8"/>
    </row>
    <row r="1423" spans="24:24" x14ac:dyDescent="0.35">
      <c r="X1423" s="8"/>
    </row>
    <row r="1424" spans="24:24" x14ac:dyDescent="0.35">
      <c r="X1424" s="8"/>
    </row>
    <row r="1425" spans="24:24" x14ac:dyDescent="0.35">
      <c r="X1425" s="8"/>
    </row>
    <row r="1426" spans="24:24" x14ac:dyDescent="0.35">
      <c r="X1426" s="8"/>
    </row>
    <row r="1427" spans="24:24" x14ac:dyDescent="0.35">
      <c r="X1427" s="8"/>
    </row>
    <row r="1428" spans="24:24" x14ac:dyDescent="0.35">
      <c r="X1428" s="8"/>
    </row>
    <row r="1429" spans="24:24" x14ac:dyDescent="0.35">
      <c r="X1429" s="8"/>
    </row>
    <row r="1430" spans="24:24" x14ac:dyDescent="0.35">
      <c r="X1430" s="8"/>
    </row>
    <row r="1431" spans="24:24" x14ac:dyDescent="0.35">
      <c r="X1431" s="8"/>
    </row>
    <row r="1432" spans="24:24" x14ac:dyDescent="0.35">
      <c r="X1432" s="8"/>
    </row>
    <row r="1433" spans="24:24" x14ac:dyDescent="0.35">
      <c r="X1433" s="8"/>
    </row>
    <row r="1434" spans="24:24" x14ac:dyDescent="0.35">
      <c r="X1434" s="8"/>
    </row>
    <row r="1435" spans="24:24" x14ac:dyDescent="0.35">
      <c r="X1435" s="8"/>
    </row>
    <row r="1436" spans="24:24" x14ac:dyDescent="0.35">
      <c r="X1436" s="8"/>
    </row>
    <row r="1437" spans="24:24" x14ac:dyDescent="0.35">
      <c r="X1437" s="8"/>
    </row>
    <row r="1438" spans="24:24" x14ac:dyDescent="0.35">
      <c r="X1438" s="8"/>
    </row>
    <row r="1439" spans="24:24" x14ac:dyDescent="0.35">
      <c r="X1439" s="8"/>
    </row>
    <row r="1440" spans="24:24" x14ac:dyDescent="0.35">
      <c r="X1440" s="8"/>
    </row>
    <row r="1441" spans="24:24" x14ac:dyDescent="0.35">
      <c r="X1441" s="8"/>
    </row>
    <row r="1442" spans="24:24" x14ac:dyDescent="0.35">
      <c r="X1442" s="8"/>
    </row>
    <row r="1443" spans="24:24" x14ac:dyDescent="0.35">
      <c r="X1443" s="8"/>
    </row>
    <row r="1444" spans="24:24" x14ac:dyDescent="0.35">
      <c r="X1444" s="8"/>
    </row>
    <row r="1445" spans="24:24" x14ac:dyDescent="0.35">
      <c r="X1445" s="8"/>
    </row>
    <row r="1446" spans="24:24" x14ac:dyDescent="0.35">
      <c r="X1446" s="8"/>
    </row>
    <row r="1447" spans="24:24" x14ac:dyDescent="0.35">
      <c r="X1447" s="8"/>
    </row>
    <row r="1448" spans="24:24" x14ac:dyDescent="0.35">
      <c r="X1448" s="8"/>
    </row>
    <row r="1449" spans="24:24" x14ac:dyDescent="0.35">
      <c r="X1449" s="8"/>
    </row>
    <row r="1450" spans="24:24" x14ac:dyDescent="0.35">
      <c r="X1450" s="8"/>
    </row>
    <row r="1451" spans="24:24" x14ac:dyDescent="0.35">
      <c r="X1451" s="8"/>
    </row>
    <row r="1452" spans="24:24" x14ac:dyDescent="0.35">
      <c r="X1452" s="8"/>
    </row>
    <row r="1453" spans="24:24" x14ac:dyDescent="0.35">
      <c r="X1453" s="8"/>
    </row>
    <row r="1454" spans="24:24" x14ac:dyDescent="0.35">
      <c r="X1454" s="8"/>
    </row>
    <row r="1455" spans="24:24" x14ac:dyDescent="0.35">
      <c r="X1455" s="8"/>
    </row>
    <row r="1456" spans="24:24" x14ac:dyDescent="0.35">
      <c r="X1456" s="8"/>
    </row>
    <row r="1457" spans="24:24" x14ac:dyDescent="0.35">
      <c r="X1457" s="8"/>
    </row>
    <row r="1458" spans="24:24" x14ac:dyDescent="0.35">
      <c r="X1458" s="8"/>
    </row>
    <row r="1459" spans="24:24" x14ac:dyDescent="0.35">
      <c r="X1459" s="8"/>
    </row>
    <row r="1460" spans="24:24" x14ac:dyDescent="0.35">
      <c r="X1460" s="8"/>
    </row>
    <row r="1461" spans="24:24" x14ac:dyDescent="0.35">
      <c r="X1461" s="8"/>
    </row>
    <row r="1462" spans="24:24" x14ac:dyDescent="0.35">
      <c r="X1462" s="8"/>
    </row>
    <row r="1463" spans="24:24" x14ac:dyDescent="0.35">
      <c r="X1463" s="8"/>
    </row>
    <row r="1464" spans="24:24" x14ac:dyDescent="0.35">
      <c r="X1464" s="8"/>
    </row>
    <row r="1465" spans="24:24" x14ac:dyDescent="0.35">
      <c r="X1465" s="8"/>
    </row>
    <row r="1466" spans="24:24" x14ac:dyDescent="0.35">
      <c r="X1466" s="8"/>
    </row>
    <row r="1467" spans="24:24" x14ac:dyDescent="0.35">
      <c r="X1467" s="8"/>
    </row>
    <row r="1468" spans="24:24" x14ac:dyDescent="0.35">
      <c r="X1468" s="8"/>
    </row>
    <row r="1469" spans="24:24" x14ac:dyDescent="0.35">
      <c r="X1469" s="8"/>
    </row>
    <row r="1470" spans="24:24" x14ac:dyDescent="0.35">
      <c r="X1470" s="8"/>
    </row>
    <row r="1471" spans="24:24" x14ac:dyDescent="0.35">
      <c r="X1471" s="8"/>
    </row>
    <row r="1472" spans="24:24" x14ac:dyDescent="0.35">
      <c r="X1472" s="8"/>
    </row>
    <row r="1473" spans="24:24" x14ac:dyDescent="0.35">
      <c r="X1473" s="8"/>
    </row>
    <row r="1474" spans="24:24" x14ac:dyDescent="0.35">
      <c r="X1474" s="8"/>
    </row>
    <row r="1475" spans="24:24" x14ac:dyDescent="0.35">
      <c r="X1475" s="8"/>
    </row>
    <row r="1476" spans="24:24" x14ac:dyDescent="0.35">
      <c r="X1476" s="8"/>
    </row>
    <row r="1477" spans="24:24" x14ac:dyDescent="0.35">
      <c r="X1477" s="8"/>
    </row>
    <row r="1478" spans="24:24" x14ac:dyDescent="0.35">
      <c r="X1478" s="8"/>
    </row>
    <row r="1479" spans="24:24" x14ac:dyDescent="0.35">
      <c r="X1479" s="8"/>
    </row>
    <row r="1480" spans="24:24" x14ac:dyDescent="0.35">
      <c r="X1480" s="8"/>
    </row>
    <row r="1481" spans="24:24" x14ac:dyDescent="0.35">
      <c r="X1481" s="8"/>
    </row>
    <row r="1482" spans="24:24" x14ac:dyDescent="0.35">
      <c r="X1482" s="8"/>
    </row>
    <row r="1483" spans="24:24" x14ac:dyDescent="0.35">
      <c r="X1483" s="8"/>
    </row>
    <row r="1484" spans="24:24" x14ac:dyDescent="0.35">
      <c r="X1484" s="8"/>
    </row>
    <row r="1485" spans="24:24" x14ac:dyDescent="0.35">
      <c r="X1485" s="8"/>
    </row>
    <row r="1486" spans="24:24" x14ac:dyDescent="0.35">
      <c r="X1486" s="8"/>
    </row>
    <row r="1487" spans="24:24" x14ac:dyDescent="0.35">
      <c r="X1487" s="8"/>
    </row>
    <row r="1488" spans="24:24" x14ac:dyDescent="0.35">
      <c r="X1488" s="8"/>
    </row>
    <row r="1489" spans="24:24" x14ac:dyDescent="0.35">
      <c r="X1489" s="8"/>
    </row>
    <row r="1490" spans="24:24" x14ac:dyDescent="0.35">
      <c r="X1490" s="8"/>
    </row>
    <row r="1491" spans="24:24" x14ac:dyDescent="0.35">
      <c r="X1491" s="8"/>
    </row>
    <row r="1492" spans="24:24" x14ac:dyDescent="0.35">
      <c r="X1492" s="8"/>
    </row>
    <row r="1493" spans="24:24" x14ac:dyDescent="0.35">
      <c r="X1493" s="8"/>
    </row>
    <row r="1494" spans="24:24" x14ac:dyDescent="0.35">
      <c r="X1494" s="8"/>
    </row>
    <row r="1495" spans="24:24" x14ac:dyDescent="0.35">
      <c r="X1495" s="8"/>
    </row>
    <row r="1496" spans="24:24" x14ac:dyDescent="0.35">
      <c r="X1496" s="8"/>
    </row>
    <row r="1497" spans="24:24" x14ac:dyDescent="0.35">
      <c r="X1497" s="8"/>
    </row>
    <row r="1498" spans="24:24" x14ac:dyDescent="0.35">
      <c r="X1498" s="8"/>
    </row>
    <row r="1499" spans="24:24" x14ac:dyDescent="0.35">
      <c r="X1499" s="8"/>
    </row>
    <row r="1500" spans="24:24" x14ac:dyDescent="0.35">
      <c r="X1500" s="8"/>
    </row>
    <row r="1501" spans="24:24" x14ac:dyDescent="0.35">
      <c r="X1501" s="8"/>
    </row>
    <row r="1502" spans="24:24" x14ac:dyDescent="0.35">
      <c r="X1502" s="8"/>
    </row>
    <row r="1503" spans="24:24" x14ac:dyDescent="0.35">
      <c r="X1503" s="8"/>
    </row>
    <row r="1504" spans="24:24" x14ac:dyDescent="0.35">
      <c r="X1504" s="8"/>
    </row>
    <row r="1505" spans="24:24" x14ac:dyDescent="0.35">
      <c r="X1505" s="8"/>
    </row>
    <row r="1506" spans="24:24" x14ac:dyDescent="0.35">
      <c r="X1506" s="8"/>
    </row>
    <row r="1507" spans="24:24" x14ac:dyDescent="0.35">
      <c r="X1507" s="8"/>
    </row>
    <row r="1508" spans="24:24" x14ac:dyDescent="0.35">
      <c r="X1508" s="8"/>
    </row>
    <row r="1509" spans="24:24" x14ac:dyDescent="0.35">
      <c r="X1509" s="8"/>
    </row>
    <row r="1510" spans="24:24" x14ac:dyDescent="0.35">
      <c r="X1510" s="8"/>
    </row>
    <row r="1511" spans="24:24" x14ac:dyDescent="0.35">
      <c r="X1511" s="8"/>
    </row>
    <row r="1512" spans="24:24" x14ac:dyDescent="0.35">
      <c r="X1512" s="8"/>
    </row>
    <row r="1513" spans="24:24" x14ac:dyDescent="0.35">
      <c r="X1513" s="8"/>
    </row>
    <row r="1514" spans="24:24" x14ac:dyDescent="0.35">
      <c r="X1514" s="8"/>
    </row>
    <row r="1515" spans="24:24" x14ac:dyDescent="0.35">
      <c r="X1515" s="8"/>
    </row>
    <row r="1516" spans="24:24" x14ac:dyDescent="0.35">
      <c r="X1516" s="8"/>
    </row>
    <row r="1517" spans="24:24" x14ac:dyDescent="0.35">
      <c r="X1517" s="8"/>
    </row>
    <row r="1518" spans="24:24" x14ac:dyDescent="0.35">
      <c r="X1518" s="8"/>
    </row>
    <row r="1519" spans="24:24" x14ac:dyDescent="0.35">
      <c r="X1519" s="8"/>
    </row>
    <row r="1520" spans="24:24" x14ac:dyDescent="0.35">
      <c r="X1520" s="8"/>
    </row>
    <row r="1521" spans="24:24" x14ac:dyDescent="0.35">
      <c r="X1521" s="8"/>
    </row>
    <row r="1522" spans="24:24" x14ac:dyDescent="0.35">
      <c r="X1522" s="8"/>
    </row>
    <row r="1523" spans="24:24" x14ac:dyDescent="0.35">
      <c r="X1523" s="8"/>
    </row>
    <row r="1524" spans="24:24" x14ac:dyDescent="0.35">
      <c r="X1524" s="8"/>
    </row>
    <row r="1525" spans="24:24" x14ac:dyDescent="0.35">
      <c r="X1525" s="8"/>
    </row>
    <row r="1526" spans="24:24" x14ac:dyDescent="0.35">
      <c r="X1526" s="8"/>
    </row>
    <row r="1527" spans="24:24" x14ac:dyDescent="0.35">
      <c r="X1527" s="8"/>
    </row>
    <row r="1528" spans="24:24" x14ac:dyDescent="0.35">
      <c r="X1528" s="8"/>
    </row>
    <row r="1529" spans="24:24" x14ac:dyDescent="0.35">
      <c r="X1529" s="8"/>
    </row>
    <row r="1530" spans="24:24" x14ac:dyDescent="0.35">
      <c r="X1530" s="8"/>
    </row>
    <row r="1531" spans="24:24" x14ac:dyDescent="0.35">
      <c r="X1531" s="8"/>
    </row>
    <row r="1532" spans="24:24" x14ac:dyDescent="0.35">
      <c r="X1532" s="8"/>
    </row>
    <row r="1533" spans="24:24" x14ac:dyDescent="0.35">
      <c r="X1533" s="8"/>
    </row>
    <row r="1534" spans="24:24" x14ac:dyDescent="0.35">
      <c r="X1534" s="8"/>
    </row>
    <row r="1535" spans="24:24" x14ac:dyDescent="0.35">
      <c r="X1535" s="8"/>
    </row>
    <row r="1536" spans="24:24" x14ac:dyDescent="0.35">
      <c r="X1536" s="8"/>
    </row>
    <row r="1537" spans="24:24" x14ac:dyDescent="0.35">
      <c r="X1537" s="8"/>
    </row>
    <row r="1538" spans="24:24" x14ac:dyDescent="0.35">
      <c r="X1538" s="8"/>
    </row>
    <row r="1539" spans="24:24" x14ac:dyDescent="0.35">
      <c r="X1539" s="8"/>
    </row>
    <row r="1540" spans="24:24" x14ac:dyDescent="0.35">
      <c r="X1540" s="8"/>
    </row>
    <row r="1541" spans="24:24" x14ac:dyDescent="0.35">
      <c r="X1541" s="8"/>
    </row>
    <row r="1542" spans="24:24" x14ac:dyDescent="0.35">
      <c r="X1542" s="8"/>
    </row>
    <row r="1543" spans="24:24" x14ac:dyDescent="0.35">
      <c r="X1543" s="8"/>
    </row>
    <row r="1544" spans="24:24" x14ac:dyDescent="0.35">
      <c r="X1544" s="8"/>
    </row>
    <row r="1545" spans="24:24" x14ac:dyDescent="0.35">
      <c r="X1545" s="8"/>
    </row>
    <row r="1546" spans="24:24" x14ac:dyDescent="0.35">
      <c r="X1546" s="8"/>
    </row>
    <row r="1547" spans="24:24" x14ac:dyDescent="0.35">
      <c r="X1547" s="8"/>
    </row>
    <row r="1548" spans="24:24" x14ac:dyDescent="0.35">
      <c r="X1548" s="8"/>
    </row>
    <row r="1549" spans="24:24" x14ac:dyDescent="0.35">
      <c r="X1549" s="8"/>
    </row>
    <row r="1550" spans="24:24" x14ac:dyDescent="0.35">
      <c r="X1550" s="8"/>
    </row>
    <row r="1551" spans="24:24" x14ac:dyDescent="0.35">
      <c r="X1551" s="8"/>
    </row>
    <row r="1552" spans="24:24" x14ac:dyDescent="0.35">
      <c r="X1552" s="8"/>
    </row>
    <row r="1553" spans="24:24" x14ac:dyDescent="0.35">
      <c r="X1553" s="8"/>
    </row>
    <row r="1554" spans="24:24" x14ac:dyDescent="0.35">
      <c r="X1554" s="8"/>
    </row>
    <row r="1555" spans="24:24" x14ac:dyDescent="0.35">
      <c r="X1555" s="8"/>
    </row>
    <row r="1556" spans="24:24" x14ac:dyDescent="0.35">
      <c r="X1556" s="8"/>
    </row>
    <row r="1557" spans="24:24" x14ac:dyDescent="0.35">
      <c r="X1557" s="8"/>
    </row>
    <row r="1558" spans="24:24" x14ac:dyDescent="0.35">
      <c r="X1558" s="8"/>
    </row>
    <row r="1559" spans="24:24" x14ac:dyDescent="0.35">
      <c r="X1559" s="8"/>
    </row>
    <row r="1560" spans="24:24" x14ac:dyDescent="0.35">
      <c r="X1560" s="8"/>
    </row>
    <row r="1561" spans="24:24" x14ac:dyDescent="0.35">
      <c r="X1561" s="8"/>
    </row>
    <row r="1562" spans="24:24" x14ac:dyDescent="0.35">
      <c r="X1562" s="8"/>
    </row>
    <row r="1563" spans="24:24" x14ac:dyDescent="0.35">
      <c r="X1563" s="8"/>
    </row>
    <row r="1564" spans="24:24" x14ac:dyDescent="0.35">
      <c r="X1564" s="8"/>
    </row>
    <row r="1565" spans="24:24" x14ac:dyDescent="0.35">
      <c r="X1565" s="8"/>
    </row>
    <row r="1566" spans="24:24" x14ac:dyDescent="0.35">
      <c r="X1566" s="8"/>
    </row>
    <row r="1567" spans="24:24" x14ac:dyDescent="0.35">
      <c r="X1567" s="8"/>
    </row>
    <row r="1568" spans="24:24" x14ac:dyDescent="0.35">
      <c r="X1568" s="8"/>
    </row>
    <row r="1569" spans="24:24" x14ac:dyDescent="0.35">
      <c r="X1569" s="8"/>
    </row>
    <row r="1570" spans="24:24" x14ac:dyDescent="0.35">
      <c r="X1570" s="8"/>
    </row>
    <row r="1571" spans="24:24" x14ac:dyDescent="0.35">
      <c r="X1571" s="8"/>
    </row>
    <row r="1572" spans="24:24" x14ac:dyDescent="0.35">
      <c r="X1572" s="8"/>
    </row>
    <row r="1573" spans="24:24" x14ac:dyDescent="0.35">
      <c r="X1573" s="8"/>
    </row>
    <row r="1574" spans="24:24" x14ac:dyDescent="0.35">
      <c r="X1574" s="8"/>
    </row>
    <row r="1575" spans="24:24" x14ac:dyDescent="0.35">
      <c r="X1575" s="8"/>
    </row>
    <row r="1576" spans="24:24" x14ac:dyDescent="0.35">
      <c r="X1576" s="8"/>
    </row>
    <row r="1577" spans="24:24" x14ac:dyDescent="0.35">
      <c r="X1577" s="8"/>
    </row>
    <row r="1578" spans="24:24" x14ac:dyDescent="0.35">
      <c r="X1578" s="8"/>
    </row>
    <row r="1579" spans="24:24" x14ac:dyDescent="0.35">
      <c r="X1579" s="8"/>
    </row>
    <row r="1580" spans="24:24" x14ac:dyDescent="0.35">
      <c r="X1580" s="8"/>
    </row>
    <row r="1581" spans="24:24" x14ac:dyDescent="0.35">
      <c r="X1581" s="8"/>
    </row>
    <row r="1582" spans="24:24" x14ac:dyDescent="0.35">
      <c r="X1582" s="8"/>
    </row>
    <row r="1583" spans="24:24" x14ac:dyDescent="0.35">
      <c r="X1583" s="8"/>
    </row>
    <row r="1584" spans="24:24" x14ac:dyDescent="0.35">
      <c r="X1584" s="8"/>
    </row>
    <row r="1585" spans="24:24" x14ac:dyDescent="0.35">
      <c r="X1585" s="8"/>
    </row>
    <row r="1586" spans="24:24" x14ac:dyDescent="0.35">
      <c r="X1586" s="8"/>
    </row>
    <row r="1587" spans="24:24" x14ac:dyDescent="0.35">
      <c r="X1587" s="8"/>
    </row>
    <row r="1588" spans="24:24" x14ac:dyDescent="0.35">
      <c r="X1588" s="8"/>
    </row>
    <row r="1589" spans="24:24" x14ac:dyDescent="0.35">
      <c r="X1589" s="8"/>
    </row>
    <row r="1590" spans="24:24" x14ac:dyDescent="0.35">
      <c r="X1590" s="8"/>
    </row>
    <row r="1591" spans="24:24" x14ac:dyDescent="0.35">
      <c r="X1591" s="8"/>
    </row>
    <row r="1592" spans="24:24" x14ac:dyDescent="0.35">
      <c r="X1592" s="8"/>
    </row>
    <row r="1593" spans="24:24" x14ac:dyDescent="0.35">
      <c r="X1593" s="8"/>
    </row>
    <row r="1594" spans="24:24" x14ac:dyDescent="0.35">
      <c r="X1594" s="8"/>
    </row>
    <row r="1595" spans="24:24" x14ac:dyDescent="0.35">
      <c r="X1595" s="8"/>
    </row>
    <row r="1596" spans="24:24" x14ac:dyDescent="0.35">
      <c r="X1596" s="8"/>
    </row>
    <row r="1597" spans="24:24" x14ac:dyDescent="0.35">
      <c r="X1597" s="8"/>
    </row>
    <row r="1598" spans="24:24" x14ac:dyDescent="0.35">
      <c r="X1598" s="8"/>
    </row>
    <row r="1599" spans="24:24" x14ac:dyDescent="0.35">
      <c r="X1599" s="8"/>
    </row>
    <row r="1600" spans="24:24" x14ac:dyDescent="0.35">
      <c r="X1600" s="8"/>
    </row>
    <row r="1601" spans="24:24" x14ac:dyDescent="0.35">
      <c r="X1601" s="8"/>
    </row>
    <row r="1602" spans="24:24" x14ac:dyDescent="0.35">
      <c r="X1602" s="8"/>
    </row>
    <row r="1603" spans="24:24" x14ac:dyDescent="0.35">
      <c r="X1603" s="8"/>
    </row>
    <row r="1604" spans="24:24" x14ac:dyDescent="0.35">
      <c r="X1604" s="8"/>
    </row>
    <row r="1605" spans="24:24" x14ac:dyDescent="0.35">
      <c r="X1605" s="8"/>
    </row>
    <row r="1606" spans="24:24" x14ac:dyDescent="0.35">
      <c r="X1606" s="8"/>
    </row>
    <row r="1607" spans="24:24" x14ac:dyDescent="0.35">
      <c r="X1607" s="8"/>
    </row>
    <row r="1608" spans="24:24" x14ac:dyDescent="0.35">
      <c r="X1608" s="8"/>
    </row>
    <row r="1609" spans="24:24" x14ac:dyDescent="0.35">
      <c r="X1609" s="8"/>
    </row>
    <row r="1610" spans="24:24" x14ac:dyDescent="0.35">
      <c r="X1610" s="8"/>
    </row>
    <row r="1611" spans="24:24" x14ac:dyDescent="0.35">
      <c r="X1611" s="8"/>
    </row>
    <row r="1612" spans="24:24" x14ac:dyDescent="0.35">
      <c r="X1612" s="8"/>
    </row>
    <row r="1613" spans="24:24" x14ac:dyDescent="0.35">
      <c r="X1613" s="8"/>
    </row>
    <row r="1614" spans="24:24" x14ac:dyDescent="0.35">
      <c r="X1614" s="8"/>
    </row>
    <row r="1615" spans="24:24" x14ac:dyDescent="0.35">
      <c r="X1615" s="8"/>
    </row>
    <row r="1616" spans="24:24" x14ac:dyDescent="0.35">
      <c r="X1616" s="8"/>
    </row>
    <row r="1617" spans="24:24" x14ac:dyDescent="0.35">
      <c r="X1617" s="8"/>
    </row>
    <row r="1618" spans="24:24" x14ac:dyDescent="0.35">
      <c r="X1618" s="8"/>
    </row>
    <row r="1619" spans="24:24" x14ac:dyDescent="0.35">
      <c r="X1619" s="8"/>
    </row>
    <row r="1620" spans="24:24" x14ac:dyDescent="0.35">
      <c r="X1620" s="8"/>
    </row>
    <row r="1621" spans="24:24" x14ac:dyDescent="0.35">
      <c r="X1621" s="8"/>
    </row>
    <row r="1622" spans="24:24" x14ac:dyDescent="0.35">
      <c r="X1622" s="8"/>
    </row>
    <row r="1623" spans="24:24" x14ac:dyDescent="0.35">
      <c r="X1623" s="8"/>
    </row>
    <row r="1624" spans="24:24" x14ac:dyDescent="0.35">
      <c r="X1624" s="8"/>
    </row>
    <row r="1625" spans="24:24" x14ac:dyDescent="0.35">
      <c r="X1625" s="8"/>
    </row>
    <row r="1626" spans="24:24" x14ac:dyDescent="0.35">
      <c r="X1626" s="8"/>
    </row>
    <row r="1627" spans="24:24" x14ac:dyDescent="0.35">
      <c r="X1627" s="8"/>
    </row>
    <row r="1628" spans="24:24" x14ac:dyDescent="0.35">
      <c r="X1628" s="8"/>
    </row>
    <row r="1629" spans="24:24" x14ac:dyDescent="0.35">
      <c r="X1629" s="8"/>
    </row>
    <row r="1630" spans="24:24" x14ac:dyDescent="0.35">
      <c r="X1630" s="8"/>
    </row>
    <row r="1631" spans="24:24" x14ac:dyDescent="0.35">
      <c r="X1631" s="8"/>
    </row>
    <row r="1632" spans="24:24" x14ac:dyDescent="0.35">
      <c r="X1632" s="8"/>
    </row>
    <row r="1633" spans="24:24" x14ac:dyDescent="0.35">
      <c r="X1633" s="8"/>
    </row>
    <row r="1634" spans="24:24" x14ac:dyDescent="0.35">
      <c r="X1634" s="8"/>
    </row>
    <row r="1635" spans="24:24" x14ac:dyDescent="0.35">
      <c r="X1635" s="8"/>
    </row>
    <row r="1636" spans="24:24" x14ac:dyDescent="0.35">
      <c r="X1636" s="8"/>
    </row>
    <row r="1637" spans="24:24" x14ac:dyDescent="0.35">
      <c r="X1637" s="8"/>
    </row>
    <row r="1638" spans="24:24" x14ac:dyDescent="0.35">
      <c r="X1638" s="8"/>
    </row>
    <row r="1639" spans="24:24" x14ac:dyDescent="0.35">
      <c r="X1639" s="8"/>
    </row>
    <row r="1640" spans="24:24" x14ac:dyDescent="0.35">
      <c r="X1640" s="8"/>
    </row>
    <row r="1641" spans="24:24" x14ac:dyDescent="0.35">
      <c r="X1641" s="8"/>
    </row>
    <row r="1642" spans="24:24" x14ac:dyDescent="0.35">
      <c r="X1642" s="8"/>
    </row>
    <row r="1643" spans="24:24" x14ac:dyDescent="0.35">
      <c r="X1643" s="8"/>
    </row>
    <row r="1644" spans="24:24" x14ac:dyDescent="0.35">
      <c r="X1644" s="8"/>
    </row>
    <row r="1645" spans="24:24" x14ac:dyDescent="0.35">
      <c r="X1645" s="8"/>
    </row>
    <row r="1646" spans="24:24" x14ac:dyDescent="0.35">
      <c r="X1646" s="8"/>
    </row>
    <row r="1647" spans="24:24" x14ac:dyDescent="0.35">
      <c r="X1647" s="8"/>
    </row>
    <row r="1648" spans="24:24" x14ac:dyDescent="0.35">
      <c r="X1648" s="8"/>
    </row>
    <row r="1649" spans="24:24" x14ac:dyDescent="0.35">
      <c r="X1649" s="8"/>
    </row>
    <row r="1650" spans="24:24" x14ac:dyDescent="0.35">
      <c r="X1650" s="8"/>
    </row>
    <row r="1651" spans="24:24" x14ac:dyDescent="0.35">
      <c r="X1651" s="8"/>
    </row>
    <row r="1652" spans="24:24" x14ac:dyDescent="0.35">
      <c r="X1652" s="8"/>
    </row>
    <row r="1653" spans="24:24" x14ac:dyDescent="0.35">
      <c r="X1653" s="8"/>
    </row>
    <row r="1654" spans="24:24" x14ac:dyDescent="0.35">
      <c r="X1654" s="8"/>
    </row>
    <row r="1655" spans="24:24" x14ac:dyDescent="0.35">
      <c r="X1655" s="8"/>
    </row>
    <row r="1656" spans="24:24" x14ac:dyDescent="0.35">
      <c r="X1656" s="8"/>
    </row>
    <row r="1657" spans="24:24" x14ac:dyDescent="0.35">
      <c r="X1657" s="8"/>
    </row>
    <row r="1658" spans="24:24" x14ac:dyDescent="0.35">
      <c r="X1658" s="8"/>
    </row>
    <row r="1659" spans="24:24" x14ac:dyDescent="0.35">
      <c r="X1659" s="8"/>
    </row>
    <row r="1660" spans="24:24" x14ac:dyDescent="0.35">
      <c r="X1660" s="8"/>
    </row>
    <row r="1661" spans="24:24" x14ac:dyDescent="0.35">
      <c r="X1661" s="8"/>
    </row>
    <row r="1662" spans="24:24" x14ac:dyDescent="0.35">
      <c r="X1662" s="8"/>
    </row>
    <row r="1663" spans="24:24" x14ac:dyDescent="0.35">
      <c r="X1663" s="8"/>
    </row>
    <row r="1664" spans="24:24" x14ac:dyDescent="0.35">
      <c r="X1664" s="8"/>
    </row>
    <row r="1665" spans="24:24" x14ac:dyDescent="0.35">
      <c r="X1665" s="8"/>
    </row>
    <row r="1666" spans="24:24" x14ac:dyDescent="0.35">
      <c r="X1666" s="8"/>
    </row>
    <row r="1667" spans="24:24" x14ac:dyDescent="0.35">
      <c r="X1667" s="8"/>
    </row>
    <row r="1668" spans="24:24" x14ac:dyDescent="0.35">
      <c r="X1668" s="8"/>
    </row>
    <row r="1669" spans="24:24" x14ac:dyDescent="0.35">
      <c r="X1669" s="8"/>
    </row>
    <row r="1670" spans="24:24" x14ac:dyDescent="0.35">
      <c r="X1670" s="8"/>
    </row>
    <row r="1671" spans="24:24" x14ac:dyDescent="0.35">
      <c r="X1671" s="8"/>
    </row>
    <row r="1672" spans="24:24" x14ac:dyDescent="0.35">
      <c r="X1672" s="8"/>
    </row>
    <row r="1673" spans="24:24" x14ac:dyDescent="0.35">
      <c r="X1673" s="8"/>
    </row>
    <row r="1674" spans="24:24" x14ac:dyDescent="0.35">
      <c r="X1674" s="8"/>
    </row>
    <row r="1675" spans="24:24" x14ac:dyDescent="0.35">
      <c r="X1675" s="8"/>
    </row>
    <row r="1676" spans="24:24" x14ac:dyDescent="0.35">
      <c r="X1676" s="8"/>
    </row>
    <row r="1677" spans="24:24" x14ac:dyDescent="0.35">
      <c r="X1677" s="8"/>
    </row>
    <row r="1678" spans="24:24" x14ac:dyDescent="0.35">
      <c r="X1678" s="8"/>
    </row>
    <row r="1679" spans="24:24" x14ac:dyDescent="0.35">
      <c r="X1679" s="8"/>
    </row>
    <row r="1680" spans="24:24" x14ac:dyDescent="0.35">
      <c r="X1680" s="8"/>
    </row>
    <row r="1681" spans="24:24" x14ac:dyDescent="0.35">
      <c r="X1681" s="8"/>
    </row>
    <row r="1682" spans="24:24" x14ac:dyDescent="0.35">
      <c r="X1682" s="8"/>
    </row>
    <row r="1683" spans="24:24" x14ac:dyDescent="0.35">
      <c r="X1683" s="8"/>
    </row>
    <row r="1684" spans="24:24" x14ac:dyDescent="0.35">
      <c r="X1684" s="8"/>
    </row>
    <row r="1685" spans="24:24" x14ac:dyDescent="0.35">
      <c r="X1685" s="8"/>
    </row>
    <row r="1686" spans="24:24" x14ac:dyDescent="0.35">
      <c r="X1686" s="8"/>
    </row>
    <row r="1687" spans="24:24" x14ac:dyDescent="0.35">
      <c r="X1687" s="8"/>
    </row>
    <row r="1688" spans="24:24" x14ac:dyDescent="0.35">
      <c r="X1688" s="8"/>
    </row>
    <row r="1689" spans="24:24" x14ac:dyDescent="0.35">
      <c r="X1689" s="8"/>
    </row>
    <row r="1690" spans="24:24" x14ac:dyDescent="0.35">
      <c r="X1690" s="8"/>
    </row>
    <row r="1691" spans="24:24" x14ac:dyDescent="0.35">
      <c r="X1691" s="8"/>
    </row>
    <row r="1692" spans="24:24" x14ac:dyDescent="0.35">
      <c r="X1692" s="8"/>
    </row>
    <row r="1693" spans="24:24" x14ac:dyDescent="0.35">
      <c r="X1693" s="8"/>
    </row>
    <row r="1694" spans="24:24" x14ac:dyDescent="0.35">
      <c r="X1694" s="8"/>
    </row>
    <row r="1695" spans="24:24" x14ac:dyDescent="0.35">
      <c r="X1695" s="8"/>
    </row>
    <row r="1696" spans="24:24" x14ac:dyDescent="0.35">
      <c r="X1696" s="8"/>
    </row>
    <row r="1697" spans="24:24" x14ac:dyDescent="0.35">
      <c r="X1697" s="8"/>
    </row>
    <row r="1698" spans="24:24" x14ac:dyDescent="0.35">
      <c r="X1698" s="8"/>
    </row>
    <row r="1699" spans="24:24" x14ac:dyDescent="0.35">
      <c r="X1699" s="8"/>
    </row>
    <row r="1700" spans="24:24" x14ac:dyDescent="0.35">
      <c r="X1700" s="8"/>
    </row>
    <row r="1701" spans="24:24" x14ac:dyDescent="0.35">
      <c r="X1701" s="8"/>
    </row>
    <row r="1702" spans="24:24" x14ac:dyDescent="0.35">
      <c r="X1702" s="8"/>
    </row>
    <row r="1703" spans="24:24" x14ac:dyDescent="0.35">
      <c r="X1703" s="8"/>
    </row>
    <row r="1704" spans="24:24" x14ac:dyDescent="0.35">
      <c r="X1704" s="8"/>
    </row>
    <row r="1705" spans="24:24" x14ac:dyDescent="0.35">
      <c r="X1705" s="8"/>
    </row>
    <row r="1706" spans="24:24" x14ac:dyDescent="0.35">
      <c r="X1706" s="8"/>
    </row>
    <row r="1707" spans="24:24" x14ac:dyDescent="0.35">
      <c r="X1707" s="8"/>
    </row>
    <row r="1708" spans="24:24" x14ac:dyDescent="0.35">
      <c r="X1708" s="8"/>
    </row>
    <row r="1709" spans="24:24" x14ac:dyDescent="0.35">
      <c r="X1709" s="8"/>
    </row>
    <row r="1710" spans="24:24" x14ac:dyDescent="0.35">
      <c r="X1710" s="8"/>
    </row>
    <row r="1711" spans="24:24" x14ac:dyDescent="0.35">
      <c r="X1711" s="8"/>
    </row>
    <row r="1712" spans="24:24" x14ac:dyDescent="0.35">
      <c r="X1712" s="8"/>
    </row>
    <row r="1713" spans="24:24" x14ac:dyDescent="0.35">
      <c r="X1713" s="8"/>
    </row>
    <row r="1714" spans="24:24" x14ac:dyDescent="0.35">
      <c r="X1714" s="8"/>
    </row>
    <row r="1715" spans="24:24" x14ac:dyDescent="0.35">
      <c r="X1715" s="8"/>
    </row>
    <row r="1716" spans="24:24" x14ac:dyDescent="0.35">
      <c r="X1716" s="8"/>
    </row>
    <row r="1717" spans="24:24" x14ac:dyDescent="0.35">
      <c r="X1717" s="8"/>
    </row>
    <row r="1718" spans="24:24" x14ac:dyDescent="0.35">
      <c r="X1718" s="8"/>
    </row>
    <row r="1719" spans="24:24" x14ac:dyDescent="0.35">
      <c r="X1719" s="8"/>
    </row>
    <row r="1720" spans="24:24" x14ac:dyDescent="0.35">
      <c r="X1720" s="8"/>
    </row>
    <row r="1721" spans="24:24" x14ac:dyDescent="0.35">
      <c r="X1721" s="8"/>
    </row>
    <row r="1722" spans="24:24" x14ac:dyDescent="0.35">
      <c r="X1722" s="8"/>
    </row>
    <row r="1723" spans="24:24" x14ac:dyDescent="0.35">
      <c r="X1723" s="8"/>
    </row>
    <row r="1724" spans="24:24" x14ac:dyDescent="0.35">
      <c r="X1724" s="8"/>
    </row>
    <row r="1725" spans="24:24" x14ac:dyDescent="0.35">
      <c r="X1725" s="8"/>
    </row>
    <row r="1726" spans="24:24" x14ac:dyDescent="0.35">
      <c r="X1726" s="8"/>
    </row>
    <row r="1727" spans="24:24" x14ac:dyDescent="0.35">
      <c r="X1727" s="8"/>
    </row>
    <row r="1728" spans="24:24" x14ac:dyDescent="0.35">
      <c r="X1728" s="8"/>
    </row>
    <row r="1729" spans="24:24" x14ac:dyDescent="0.35">
      <c r="X1729" s="8"/>
    </row>
    <row r="1730" spans="24:24" x14ac:dyDescent="0.35">
      <c r="X1730" s="8"/>
    </row>
    <row r="1731" spans="24:24" x14ac:dyDescent="0.35">
      <c r="X1731" s="8"/>
    </row>
    <row r="1732" spans="24:24" x14ac:dyDescent="0.35">
      <c r="X1732" s="8"/>
    </row>
    <row r="1733" spans="24:24" x14ac:dyDescent="0.35">
      <c r="X1733" s="8"/>
    </row>
    <row r="1734" spans="24:24" x14ac:dyDescent="0.35">
      <c r="X1734" s="8"/>
    </row>
    <row r="1735" spans="24:24" x14ac:dyDescent="0.35">
      <c r="X1735" s="8"/>
    </row>
    <row r="1736" spans="24:24" x14ac:dyDescent="0.35">
      <c r="X1736" s="8"/>
    </row>
    <row r="1737" spans="24:24" x14ac:dyDescent="0.35">
      <c r="X1737" s="8"/>
    </row>
    <row r="1738" spans="24:24" x14ac:dyDescent="0.35">
      <c r="X1738" s="8"/>
    </row>
    <row r="1739" spans="24:24" x14ac:dyDescent="0.35">
      <c r="X1739" s="8"/>
    </row>
    <row r="1740" spans="24:24" x14ac:dyDescent="0.35">
      <c r="X1740" s="8"/>
    </row>
    <row r="1741" spans="24:24" x14ac:dyDescent="0.35">
      <c r="X1741" s="8"/>
    </row>
    <row r="1742" spans="24:24" x14ac:dyDescent="0.35">
      <c r="X1742" s="8"/>
    </row>
    <row r="1743" spans="24:24" x14ac:dyDescent="0.35">
      <c r="X1743" s="8"/>
    </row>
    <row r="1744" spans="24:24" x14ac:dyDescent="0.35">
      <c r="X1744" s="8"/>
    </row>
    <row r="1745" spans="24:24" x14ac:dyDescent="0.35">
      <c r="X1745" s="8"/>
    </row>
    <row r="1746" spans="24:24" x14ac:dyDescent="0.35">
      <c r="X1746" s="8"/>
    </row>
    <row r="1747" spans="24:24" x14ac:dyDescent="0.35">
      <c r="X1747" s="8"/>
    </row>
    <row r="1748" spans="24:24" x14ac:dyDescent="0.35">
      <c r="X1748" s="8"/>
    </row>
    <row r="1749" spans="24:24" x14ac:dyDescent="0.35">
      <c r="X1749" s="8"/>
    </row>
    <row r="1750" spans="24:24" x14ac:dyDescent="0.35">
      <c r="X1750" s="8"/>
    </row>
    <row r="1751" spans="24:24" x14ac:dyDescent="0.35">
      <c r="X1751" s="8"/>
    </row>
    <row r="1752" spans="24:24" x14ac:dyDescent="0.35">
      <c r="X1752" s="8"/>
    </row>
    <row r="1753" spans="24:24" x14ac:dyDescent="0.35">
      <c r="X1753" s="8"/>
    </row>
    <row r="1754" spans="24:24" x14ac:dyDescent="0.35">
      <c r="X1754" s="8"/>
    </row>
    <row r="1755" spans="24:24" x14ac:dyDescent="0.35">
      <c r="X1755" s="8"/>
    </row>
    <row r="1756" spans="24:24" x14ac:dyDescent="0.35">
      <c r="X1756" s="8"/>
    </row>
    <row r="1757" spans="24:24" x14ac:dyDescent="0.35">
      <c r="X1757" s="8"/>
    </row>
    <row r="1758" spans="24:24" x14ac:dyDescent="0.35">
      <c r="X1758" s="8"/>
    </row>
    <row r="1759" spans="24:24" x14ac:dyDescent="0.35">
      <c r="X1759" s="8"/>
    </row>
    <row r="1760" spans="24:24" x14ac:dyDescent="0.35">
      <c r="X1760" s="8"/>
    </row>
    <row r="1761" spans="24:24" x14ac:dyDescent="0.35">
      <c r="X1761" s="8"/>
    </row>
    <row r="1762" spans="24:24" x14ac:dyDescent="0.35">
      <c r="X1762" s="8"/>
    </row>
    <row r="1763" spans="24:24" x14ac:dyDescent="0.35">
      <c r="X1763" s="8"/>
    </row>
    <row r="1764" spans="24:24" x14ac:dyDescent="0.35">
      <c r="X1764" s="8"/>
    </row>
    <row r="1765" spans="24:24" x14ac:dyDescent="0.35">
      <c r="X1765" s="8"/>
    </row>
    <row r="1766" spans="24:24" x14ac:dyDescent="0.35">
      <c r="X1766" s="8"/>
    </row>
    <row r="1767" spans="24:24" x14ac:dyDescent="0.35">
      <c r="X1767" s="8"/>
    </row>
    <row r="1768" spans="24:24" x14ac:dyDescent="0.35">
      <c r="X1768" s="8"/>
    </row>
    <row r="1769" spans="24:24" x14ac:dyDescent="0.35">
      <c r="X1769" s="8"/>
    </row>
    <row r="1770" spans="24:24" x14ac:dyDescent="0.35">
      <c r="X1770" s="8"/>
    </row>
    <row r="1771" spans="24:24" x14ac:dyDescent="0.35">
      <c r="X1771" s="8"/>
    </row>
    <row r="1772" spans="24:24" x14ac:dyDescent="0.35">
      <c r="X1772" s="8"/>
    </row>
    <row r="1773" spans="24:24" x14ac:dyDescent="0.35">
      <c r="X1773" s="8"/>
    </row>
    <row r="1774" spans="24:24" x14ac:dyDescent="0.35">
      <c r="X1774" s="8"/>
    </row>
    <row r="1775" spans="24:24" x14ac:dyDescent="0.35">
      <c r="X1775" s="8"/>
    </row>
    <row r="1776" spans="24:24" x14ac:dyDescent="0.35">
      <c r="X1776" s="8"/>
    </row>
    <row r="1777" spans="24:24" x14ac:dyDescent="0.35">
      <c r="X1777" s="8"/>
    </row>
    <row r="1778" spans="24:24" x14ac:dyDescent="0.35">
      <c r="X1778" s="8"/>
    </row>
    <row r="1779" spans="24:24" x14ac:dyDescent="0.35">
      <c r="X1779" s="8"/>
    </row>
    <row r="1780" spans="24:24" x14ac:dyDescent="0.35">
      <c r="X1780" s="8"/>
    </row>
    <row r="1781" spans="24:24" x14ac:dyDescent="0.35">
      <c r="X1781" s="8"/>
    </row>
    <row r="1782" spans="24:24" x14ac:dyDescent="0.35">
      <c r="X1782" s="8"/>
    </row>
    <row r="1783" spans="24:24" x14ac:dyDescent="0.35">
      <c r="X1783" s="8"/>
    </row>
    <row r="1784" spans="24:24" x14ac:dyDescent="0.35">
      <c r="X1784" s="8"/>
    </row>
    <row r="1785" spans="24:24" x14ac:dyDescent="0.35">
      <c r="X1785" s="8"/>
    </row>
    <row r="1786" spans="24:24" x14ac:dyDescent="0.35">
      <c r="X1786" s="8"/>
    </row>
    <row r="1787" spans="24:24" x14ac:dyDescent="0.35">
      <c r="X1787" s="8"/>
    </row>
    <row r="1788" spans="24:24" x14ac:dyDescent="0.35">
      <c r="X1788" s="8"/>
    </row>
    <row r="1789" spans="24:24" x14ac:dyDescent="0.35">
      <c r="X1789" s="8"/>
    </row>
    <row r="1790" spans="24:24" x14ac:dyDescent="0.35">
      <c r="X1790" s="8"/>
    </row>
    <row r="1791" spans="24:24" x14ac:dyDescent="0.35">
      <c r="X1791" s="8"/>
    </row>
    <row r="1792" spans="24:24" x14ac:dyDescent="0.35">
      <c r="X1792" s="8"/>
    </row>
    <row r="1793" spans="24:24" x14ac:dyDescent="0.35">
      <c r="X1793" s="8"/>
    </row>
    <row r="1794" spans="24:24" x14ac:dyDescent="0.35">
      <c r="X1794" s="8"/>
    </row>
    <row r="1795" spans="24:24" x14ac:dyDescent="0.35">
      <c r="X1795" s="8"/>
    </row>
    <row r="1796" spans="24:24" x14ac:dyDescent="0.35">
      <c r="X1796" s="8"/>
    </row>
    <row r="1797" spans="24:24" x14ac:dyDescent="0.35">
      <c r="X1797" s="8"/>
    </row>
    <row r="1798" spans="24:24" x14ac:dyDescent="0.35">
      <c r="X1798" s="8"/>
    </row>
    <row r="1799" spans="24:24" x14ac:dyDescent="0.35">
      <c r="X1799" s="8"/>
    </row>
    <row r="1800" spans="24:24" x14ac:dyDescent="0.35">
      <c r="X1800" s="8"/>
    </row>
    <row r="1801" spans="24:24" x14ac:dyDescent="0.35">
      <c r="X1801" s="8"/>
    </row>
    <row r="1802" spans="24:24" x14ac:dyDescent="0.35">
      <c r="X1802" s="8"/>
    </row>
    <row r="1803" spans="24:24" x14ac:dyDescent="0.35">
      <c r="X1803" s="8"/>
    </row>
    <row r="1804" spans="24:24" x14ac:dyDescent="0.35">
      <c r="X1804" s="8"/>
    </row>
    <row r="1805" spans="24:24" x14ac:dyDescent="0.35">
      <c r="X1805" s="8"/>
    </row>
    <row r="1806" spans="24:24" x14ac:dyDescent="0.35">
      <c r="X1806" s="8"/>
    </row>
    <row r="1807" spans="24:24" x14ac:dyDescent="0.35">
      <c r="X1807" s="8"/>
    </row>
    <row r="1808" spans="24:24" x14ac:dyDescent="0.35">
      <c r="X1808" s="8"/>
    </row>
    <row r="1809" spans="24:24" x14ac:dyDescent="0.35">
      <c r="X1809" s="8"/>
    </row>
    <row r="1810" spans="24:24" x14ac:dyDescent="0.35">
      <c r="X1810" s="8"/>
    </row>
    <row r="1811" spans="24:24" x14ac:dyDescent="0.35">
      <c r="X1811" s="8"/>
    </row>
    <row r="1812" spans="24:24" x14ac:dyDescent="0.35">
      <c r="X1812" s="8"/>
    </row>
    <row r="1813" spans="24:24" x14ac:dyDescent="0.35">
      <c r="X1813" s="8"/>
    </row>
    <row r="1814" spans="24:24" x14ac:dyDescent="0.35">
      <c r="X1814" s="8"/>
    </row>
    <row r="1815" spans="24:24" x14ac:dyDescent="0.35">
      <c r="X1815" s="8"/>
    </row>
    <row r="1816" spans="24:24" x14ac:dyDescent="0.35">
      <c r="X1816" s="8"/>
    </row>
    <row r="1817" spans="24:24" x14ac:dyDescent="0.35">
      <c r="X1817" s="8"/>
    </row>
    <row r="1818" spans="24:24" x14ac:dyDescent="0.35">
      <c r="X1818" s="8"/>
    </row>
    <row r="1819" spans="24:24" x14ac:dyDescent="0.35">
      <c r="X1819" s="8"/>
    </row>
    <row r="1820" spans="24:24" x14ac:dyDescent="0.35">
      <c r="X1820" s="8"/>
    </row>
    <row r="1821" spans="24:24" x14ac:dyDescent="0.35">
      <c r="X1821" s="8"/>
    </row>
    <row r="1822" spans="24:24" x14ac:dyDescent="0.35">
      <c r="X1822" s="8"/>
    </row>
    <row r="1823" spans="24:24" x14ac:dyDescent="0.35">
      <c r="X1823" s="8"/>
    </row>
    <row r="1824" spans="24:24" x14ac:dyDescent="0.35">
      <c r="X1824" s="8"/>
    </row>
    <row r="1825" spans="24:24" x14ac:dyDescent="0.35">
      <c r="X1825" s="8"/>
    </row>
    <row r="1826" spans="24:24" x14ac:dyDescent="0.35">
      <c r="X1826" s="8"/>
    </row>
    <row r="1827" spans="24:24" x14ac:dyDescent="0.35">
      <c r="X1827" s="8"/>
    </row>
    <row r="1828" spans="24:24" x14ac:dyDescent="0.35">
      <c r="X1828" s="8"/>
    </row>
    <row r="1829" spans="24:24" x14ac:dyDescent="0.35">
      <c r="X1829" s="8"/>
    </row>
    <row r="1830" spans="24:24" x14ac:dyDescent="0.35">
      <c r="X1830" s="8"/>
    </row>
    <row r="1831" spans="24:24" x14ac:dyDescent="0.35">
      <c r="X1831" s="8"/>
    </row>
    <row r="1832" spans="24:24" x14ac:dyDescent="0.35">
      <c r="X1832" s="8"/>
    </row>
    <row r="1833" spans="24:24" x14ac:dyDescent="0.35">
      <c r="X1833" s="8"/>
    </row>
    <row r="1834" spans="24:24" x14ac:dyDescent="0.35">
      <c r="X1834" s="8"/>
    </row>
    <row r="1835" spans="24:24" x14ac:dyDescent="0.35">
      <c r="X1835" s="8"/>
    </row>
    <row r="1836" spans="24:24" x14ac:dyDescent="0.35">
      <c r="X1836" s="8"/>
    </row>
    <row r="1837" spans="24:24" x14ac:dyDescent="0.35">
      <c r="X1837" s="8"/>
    </row>
    <row r="1838" spans="24:24" x14ac:dyDescent="0.35">
      <c r="X1838" s="8"/>
    </row>
    <row r="1839" spans="24:24" x14ac:dyDescent="0.35">
      <c r="X1839" s="8"/>
    </row>
    <row r="1840" spans="24:24" x14ac:dyDescent="0.35">
      <c r="X1840" s="8"/>
    </row>
    <row r="1841" spans="24:24" x14ac:dyDescent="0.35">
      <c r="X1841" s="8"/>
    </row>
    <row r="1842" spans="24:24" x14ac:dyDescent="0.35">
      <c r="X1842" s="8"/>
    </row>
    <row r="1843" spans="24:24" x14ac:dyDescent="0.35">
      <c r="X1843" s="8"/>
    </row>
    <row r="1844" spans="24:24" x14ac:dyDescent="0.35">
      <c r="X1844" s="8"/>
    </row>
    <row r="1845" spans="24:24" x14ac:dyDescent="0.35">
      <c r="X1845" s="8"/>
    </row>
    <row r="1846" spans="24:24" x14ac:dyDescent="0.35">
      <c r="X1846" s="8"/>
    </row>
    <row r="1847" spans="24:24" x14ac:dyDescent="0.35">
      <c r="X1847" s="8"/>
    </row>
    <row r="1848" spans="24:24" x14ac:dyDescent="0.35">
      <c r="X1848" s="8"/>
    </row>
    <row r="1849" spans="24:24" x14ac:dyDescent="0.35">
      <c r="X1849" s="8"/>
    </row>
    <row r="1850" spans="24:24" x14ac:dyDescent="0.35">
      <c r="X1850" s="8"/>
    </row>
    <row r="1851" spans="24:24" x14ac:dyDescent="0.35">
      <c r="X1851" s="8"/>
    </row>
    <row r="1852" spans="24:24" x14ac:dyDescent="0.35">
      <c r="X1852" s="8"/>
    </row>
    <row r="1853" spans="24:24" x14ac:dyDescent="0.35">
      <c r="X1853" s="8"/>
    </row>
    <row r="1854" spans="24:24" x14ac:dyDescent="0.35">
      <c r="X1854" s="8"/>
    </row>
    <row r="1855" spans="24:24" x14ac:dyDescent="0.35">
      <c r="X1855" s="8"/>
    </row>
    <row r="1856" spans="24:24" x14ac:dyDescent="0.35">
      <c r="X1856" s="8"/>
    </row>
    <row r="1857" spans="24:24" x14ac:dyDescent="0.35">
      <c r="X1857" s="8"/>
    </row>
    <row r="1858" spans="24:24" x14ac:dyDescent="0.35">
      <c r="X1858" s="8"/>
    </row>
    <row r="1859" spans="24:24" x14ac:dyDescent="0.35">
      <c r="X1859" s="8"/>
    </row>
    <row r="1860" spans="24:24" x14ac:dyDescent="0.35">
      <c r="X1860" s="8"/>
    </row>
    <row r="1861" spans="24:24" x14ac:dyDescent="0.35">
      <c r="X1861" s="8"/>
    </row>
    <row r="1862" spans="24:24" x14ac:dyDescent="0.35">
      <c r="X1862" s="8"/>
    </row>
    <row r="1863" spans="24:24" x14ac:dyDescent="0.35">
      <c r="X1863" s="8"/>
    </row>
    <row r="1864" spans="24:24" x14ac:dyDescent="0.35">
      <c r="X1864" s="8"/>
    </row>
    <row r="1865" spans="24:24" x14ac:dyDescent="0.35">
      <c r="X1865" s="8"/>
    </row>
    <row r="1866" spans="24:24" x14ac:dyDescent="0.35">
      <c r="X1866" s="8"/>
    </row>
    <row r="1867" spans="24:24" x14ac:dyDescent="0.35">
      <c r="X1867" s="8"/>
    </row>
    <row r="1868" spans="24:24" x14ac:dyDescent="0.35">
      <c r="X1868" s="8"/>
    </row>
    <row r="1869" spans="24:24" x14ac:dyDescent="0.35">
      <c r="X1869" s="8"/>
    </row>
    <row r="1870" spans="24:24" x14ac:dyDescent="0.35">
      <c r="X1870" s="8"/>
    </row>
    <row r="1871" spans="24:24" x14ac:dyDescent="0.35">
      <c r="X1871" s="8"/>
    </row>
    <row r="1872" spans="24:24" x14ac:dyDescent="0.35">
      <c r="X1872" s="8"/>
    </row>
    <row r="1873" spans="24:24" x14ac:dyDescent="0.35">
      <c r="X1873" s="8"/>
    </row>
    <row r="1874" spans="24:24" x14ac:dyDescent="0.35">
      <c r="X1874" s="8"/>
    </row>
    <row r="1875" spans="24:24" x14ac:dyDescent="0.35">
      <c r="X1875" s="8"/>
    </row>
    <row r="1876" spans="24:24" x14ac:dyDescent="0.35">
      <c r="X1876" s="8"/>
    </row>
    <row r="1877" spans="24:24" x14ac:dyDescent="0.35">
      <c r="X1877" s="8"/>
    </row>
    <row r="1878" spans="24:24" x14ac:dyDescent="0.35">
      <c r="X1878" s="8"/>
    </row>
    <row r="1879" spans="24:24" x14ac:dyDescent="0.35">
      <c r="X1879" s="8"/>
    </row>
    <row r="1880" spans="24:24" x14ac:dyDescent="0.35">
      <c r="X1880" s="8"/>
    </row>
    <row r="1881" spans="24:24" x14ac:dyDescent="0.35">
      <c r="X1881" s="8"/>
    </row>
    <row r="1882" spans="24:24" x14ac:dyDescent="0.35">
      <c r="X1882" s="8"/>
    </row>
    <row r="1883" spans="24:24" x14ac:dyDescent="0.35">
      <c r="X1883" s="8"/>
    </row>
    <row r="1884" spans="24:24" x14ac:dyDescent="0.35">
      <c r="X1884" s="8"/>
    </row>
    <row r="1885" spans="24:24" x14ac:dyDescent="0.35">
      <c r="X1885" s="8"/>
    </row>
    <row r="1886" spans="24:24" x14ac:dyDescent="0.35">
      <c r="X1886" s="8"/>
    </row>
    <row r="1887" spans="24:24" x14ac:dyDescent="0.35">
      <c r="X1887" s="8"/>
    </row>
    <row r="1888" spans="24:24" x14ac:dyDescent="0.35">
      <c r="X1888" s="8"/>
    </row>
    <row r="1889" spans="24:24" x14ac:dyDescent="0.35">
      <c r="X1889" s="8"/>
    </row>
    <row r="1890" spans="24:24" x14ac:dyDescent="0.35">
      <c r="X1890" s="8"/>
    </row>
    <row r="1891" spans="24:24" x14ac:dyDescent="0.35">
      <c r="X1891" s="8"/>
    </row>
    <row r="1892" spans="24:24" x14ac:dyDescent="0.35">
      <c r="X1892" s="8"/>
    </row>
    <row r="1893" spans="24:24" x14ac:dyDescent="0.35">
      <c r="X1893" s="8"/>
    </row>
    <row r="1894" spans="24:24" x14ac:dyDescent="0.35">
      <c r="X1894" s="8"/>
    </row>
    <row r="1895" spans="24:24" x14ac:dyDescent="0.35">
      <c r="X1895" s="8"/>
    </row>
    <row r="1896" spans="24:24" x14ac:dyDescent="0.35">
      <c r="X1896" s="8"/>
    </row>
    <row r="1897" spans="24:24" x14ac:dyDescent="0.35">
      <c r="X1897" s="8"/>
    </row>
    <row r="1898" spans="24:24" x14ac:dyDescent="0.35">
      <c r="X1898" s="8"/>
    </row>
    <row r="1899" spans="24:24" x14ac:dyDescent="0.35">
      <c r="X1899" s="8"/>
    </row>
    <row r="1900" spans="24:24" x14ac:dyDescent="0.35">
      <c r="X1900" s="8"/>
    </row>
    <row r="1901" spans="24:24" x14ac:dyDescent="0.35">
      <c r="X1901" s="8"/>
    </row>
    <row r="1902" spans="24:24" x14ac:dyDescent="0.35">
      <c r="X1902" s="8"/>
    </row>
    <row r="1903" spans="24:24" x14ac:dyDescent="0.35">
      <c r="X1903" s="8"/>
    </row>
    <row r="1904" spans="24:24" x14ac:dyDescent="0.35">
      <c r="X1904" s="8"/>
    </row>
    <row r="1905" spans="24:24" x14ac:dyDescent="0.35">
      <c r="X1905" s="8"/>
    </row>
    <row r="1906" spans="24:24" x14ac:dyDescent="0.35">
      <c r="X1906" s="8"/>
    </row>
    <row r="1907" spans="24:24" x14ac:dyDescent="0.35">
      <c r="X1907" s="8"/>
    </row>
    <row r="1908" spans="24:24" x14ac:dyDescent="0.35">
      <c r="X1908" s="8"/>
    </row>
    <row r="1909" spans="24:24" x14ac:dyDescent="0.35">
      <c r="X1909" s="8"/>
    </row>
    <row r="1910" spans="24:24" x14ac:dyDescent="0.35">
      <c r="X1910" s="8"/>
    </row>
    <row r="1911" spans="24:24" x14ac:dyDescent="0.35">
      <c r="X1911" s="8"/>
    </row>
    <row r="1912" spans="24:24" x14ac:dyDescent="0.35">
      <c r="X1912" s="8"/>
    </row>
    <row r="1913" spans="24:24" x14ac:dyDescent="0.35">
      <c r="X1913" s="8"/>
    </row>
    <row r="1914" spans="24:24" x14ac:dyDescent="0.35">
      <c r="X1914" s="8"/>
    </row>
    <row r="1915" spans="24:24" x14ac:dyDescent="0.35">
      <c r="X1915" s="8"/>
    </row>
    <row r="1916" spans="24:24" x14ac:dyDescent="0.35">
      <c r="X1916" s="8"/>
    </row>
    <row r="1917" spans="24:24" x14ac:dyDescent="0.35">
      <c r="X1917" s="8"/>
    </row>
    <row r="1918" spans="24:24" x14ac:dyDescent="0.35">
      <c r="X1918" s="8"/>
    </row>
    <row r="1919" spans="24:24" x14ac:dyDescent="0.35">
      <c r="X1919" s="8"/>
    </row>
    <row r="1920" spans="24:24" x14ac:dyDescent="0.35">
      <c r="X1920" s="8"/>
    </row>
    <row r="1921" spans="24:24" x14ac:dyDescent="0.35">
      <c r="X1921" s="8"/>
    </row>
    <row r="1922" spans="24:24" x14ac:dyDescent="0.35">
      <c r="X1922" s="8"/>
    </row>
    <row r="1923" spans="24:24" x14ac:dyDescent="0.35">
      <c r="X1923" s="8"/>
    </row>
    <row r="1924" spans="24:24" x14ac:dyDescent="0.35">
      <c r="X1924" s="8"/>
    </row>
    <row r="1925" spans="24:24" x14ac:dyDescent="0.35">
      <c r="X1925" s="8"/>
    </row>
    <row r="1926" spans="24:24" x14ac:dyDescent="0.35">
      <c r="X1926" s="8"/>
    </row>
    <row r="1927" spans="24:24" x14ac:dyDescent="0.35">
      <c r="X1927" s="8"/>
    </row>
    <row r="1928" spans="24:24" x14ac:dyDescent="0.35">
      <c r="X1928" s="8"/>
    </row>
    <row r="1929" spans="24:24" x14ac:dyDescent="0.35">
      <c r="X1929" s="8"/>
    </row>
    <row r="1930" spans="24:24" x14ac:dyDescent="0.35">
      <c r="X1930" s="8"/>
    </row>
    <row r="1931" spans="24:24" x14ac:dyDescent="0.35">
      <c r="X1931" s="8"/>
    </row>
    <row r="1932" spans="24:24" x14ac:dyDescent="0.35">
      <c r="X1932" s="8"/>
    </row>
    <row r="1933" spans="24:24" x14ac:dyDescent="0.35">
      <c r="X1933" s="8"/>
    </row>
    <row r="1934" spans="24:24" x14ac:dyDescent="0.35">
      <c r="X1934" s="8"/>
    </row>
    <row r="1935" spans="24:24" x14ac:dyDescent="0.35">
      <c r="X1935" s="8"/>
    </row>
    <row r="1936" spans="24:24" x14ac:dyDescent="0.35">
      <c r="X1936" s="8"/>
    </row>
    <row r="1937" spans="24:24" x14ac:dyDescent="0.35">
      <c r="X1937" s="8"/>
    </row>
    <row r="1938" spans="24:24" x14ac:dyDescent="0.35">
      <c r="X1938" s="8"/>
    </row>
    <row r="1939" spans="24:24" x14ac:dyDescent="0.35">
      <c r="X1939" s="8"/>
    </row>
    <row r="1940" spans="24:24" x14ac:dyDescent="0.35">
      <c r="X1940" s="8"/>
    </row>
    <row r="1941" spans="24:24" x14ac:dyDescent="0.35">
      <c r="X1941" s="8"/>
    </row>
    <row r="1942" spans="24:24" x14ac:dyDescent="0.35">
      <c r="X1942" s="8"/>
    </row>
    <row r="1943" spans="24:24" x14ac:dyDescent="0.35">
      <c r="X1943" s="8"/>
    </row>
    <row r="1944" spans="24:24" x14ac:dyDescent="0.35">
      <c r="X1944" s="8"/>
    </row>
    <row r="1945" spans="24:24" x14ac:dyDescent="0.35">
      <c r="X1945" s="8"/>
    </row>
    <row r="1946" spans="24:24" x14ac:dyDescent="0.35">
      <c r="X1946" s="8"/>
    </row>
    <row r="1947" spans="24:24" x14ac:dyDescent="0.35">
      <c r="X1947" s="8"/>
    </row>
    <row r="1948" spans="24:24" x14ac:dyDescent="0.35">
      <c r="X1948" s="8"/>
    </row>
    <row r="1949" spans="24:24" x14ac:dyDescent="0.35">
      <c r="X1949" s="8"/>
    </row>
    <row r="1950" spans="24:24" x14ac:dyDescent="0.35">
      <c r="X1950" s="8"/>
    </row>
    <row r="1951" spans="24:24" x14ac:dyDescent="0.35">
      <c r="X1951" s="8"/>
    </row>
    <row r="1952" spans="24:24" x14ac:dyDescent="0.35">
      <c r="X1952" s="8"/>
    </row>
    <row r="1953" spans="24:24" x14ac:dyDescent="0.35">
      <c r="X1953" s="8"/>
    </row>
    <row r="1954" spans="24:24" x14ac:dyDescent="0.35">
      <c r="X1954" s="8"/>
    </row>
    <row r="1955" spans="24:24" x14ac:dyDescent="0.35">
      <c r="X1955" s="8"/>
    </row>
    <row r="1956" spans="24:24" x14ac:dyDescent="0.35">
      <c r="X1956" s="8"/>
    </row>
    <row r="1957" spans="24:24" x14ac:dyDescent="0.35">
      <c r="X1957" s="8"/>
    </row>
    <row r="1958" spans="24:24" x14ac:dyDescent="0.35">
      <c r="X1958" s="8"/>
    </row>
    <row r="1959" spans="24:24" x14ac:dyDescent="0.35">
      <c r="X1959" s="8"/>
    </row>
    <row r="1960" spans="24:24" x14ac:dyDescent="0.35">
      <c r="X1960" s="8"/>
    </row>
    <row r="1961" spans="24:24" x14ac:dyDescent="0.35">
      <c r="X1961" s="8"/>
    </row>
    <row r="1962" spans="24:24" x14ac:dyDescent="0.35">
      <c r="X1962" s="8"/>
    </row>
    <row r="1963" spans="24:24" x14ac:dyDescent="0.35">
      <c r="X1963" s="8"/>
    </row>
    <row r="1964" spans="24:24" x14ac:dyDescent="0.35">
      <c r="X1964" s="8"/>
    </row>
    <row r="1965" spans="24:24" x14ac:dyDescent="0.35">
      <c r="X1965" s="8"/>
    </row>
    <row r="1966" spans="24:24" x14ac:dyDescent="0.35">
      <c r="X1966" s="8"/>
    </row>
    <row r="1967" spans="24:24" x14ac:dyDescent="0.35">
      <c r="X1967" s="8"/>
    </row>
    <row r="1968" spans="24:24" x14ac:dyDescent="0.35">
      <c r="X1968" s="8"/>
    </row>
    <row r="1969" spans="24:24" x14ac:dyDescent="0.35">
      <c r="X1969" s="8"/>
    </row>
    <row r="1970" spans="24:24" x14ac:dyDescent="0.35">
      <c r="X1970" s="8"/>
    </row>
    <row r="1971" spans="24:24" x14ac:dyDescent="0.35">
      <c r="X1971" s="8"/>
    </row>
    <row r="1972" spans="24:24" x14ac:dyDescent="0.35">
      <c r="X1972" s="8"/>
    </row>
    <row r="1973" spans="24:24" x14ac:dyDescent="0.35">
      <c r="X1973" s="8"/>
    </row>
    <row r="1974" spans="24:24" x14ac:dyDescent="0.35">
      <c r="X1974" s="8"/>
    </row>
    <row r="1975" spans="24:24" x14ac:dyDescent="0.35">
      <c r="X1975" s="8"/>
    </row>
    <row r="1976" spans="24:24" x14ac:dyDescent="0.35">
      <c r="X1976" s="8"/>
    </row>
    <row r="1977" spans="24:24" x14ac:dyDescent="0.35">
      <c r="X1977" s="8"/>
    </row>
    <row r="1978" spans="24:24" x14ac:dyDescent="0.35">
      <c r="X1978" s="8"/>
    </row>
    <row r="1979" spans="24:24" x14ac:dyDescent="0.35">
      <c r="X1979" s="8"/>
    </row>
    <row r="1980" spans="24:24" x14ac:dyDescent="0.35">
      <c r="X1980" s="8"/>
    </row>
    <row r="1981" spans="24:24" x14ac:dyDescent="0.35">
      <c r="X1981" s="8"/>
    </row>
    <row r="1982" spans="24:24" x14ac:dyDescent="0.35">
      <c r="X1982" s="8"/>
    </row>
    <row r="1983" spans="24:24" x14ac:dyDescent="0.35">
      <c r="X1983" s="8"/>
    </row>
    <row r="1984" spans="24:24" x14ac:dyDescent="0.35">
      <c r="X1984" s="8"/>
    </row>
    <row r="1985" spans="24:24" x14ac:dyDescent="0.35">
      <c r="X1985" s="8"/>
    </row>
    <row r="1986" spans="24:24" x14ac:dyDescent="0.35">
      <c r="X1986" s="8"/>
    </row>
    <row r="1987" spans="24:24" x14ac:dyDescent="0.35">
      <c r="X1987" s="8"/>
    </row>
    <row r="1988" spans="24:24" x14ac:dyDescent="0.35">
      <c r="X1988" s="8"/>
    </row>
    <row r="1989" spans="24:24" x14ac:dyDescent="0.35">
      <c r="X1989" s="8"/>
    </row>
    <row r="1990" spans="24:24" x14ac:dyDescent="0.35">
      <c r="X1990" s="8"/>
    </row>
    <row r="1991" spans="24:24" x14ac:dyDescent="0.35">
      <c r="X1991" s="8"/>
    </row>
    <row r="1992" spans="24:24" x14ac:dyDescent="0.35">
      <c r="X1992" s="8"/>
    </row>
    <row r="1993" spans="24:24" x14ac:dyDescent="0.35">
      <c r="X1993" s="8"/>
    </row>
    <row r="1994" spans="24:24" x14ac:dyDescent="0.35">
      <c r="X1994" s="8"/>
    </row>
    <row r="1995" spans="24:24" x14ac:dyDescent="0.35">
      <c r="X1995" s="8"/>
    </row>
    <row r="1996" spans="24:24" x14ac:dyDescent="0.35">
      <c r="X1996" s="8"/>
    </row>
    <row r="1997" spans="24:24" x14ac:dyDescent="0.35">
      <c r="X1997" s="8"/>
    </row>
    <row r="1998" spans="24:24" x14ac:dyDescent="0.35">
      <c r="X1998" s="8"/>
    </row>
    <row r="1999" spans="24:24" x14ac:dyDescent="0.35">
      <c r="X1999" s="8"/>
    </row>
    <row r="2000" spans="24:24" x14ac:dyDescent="0.35">
      <c r="X2000" s="8"/>
    </row>
    <row r="2001" spans="24:24" x14ac:dyDescent="0.35">
      <c r="X2001" s="8"/>
    </row>
    <row r="2002" spans="24:24" x14ac:dyDescent="0.35">
      <c r="X2002" s="8"/>
    </row>
    <row r="2003" spans="24:24" x14ac:dyDescent="0.35">
      <c r="X2003" s="8"/>
    </row>
    <row r="2004" spans="24:24" x14ac:dyDescent="0.35">
      <c r="X2004" s="8"/>
    </row>
    <row r="2005" spans="24:24" x14ac:dyDescent="0.35">
      <c r="X2005" s="8"/>
    </row>
    <row r="2006" spans="24:24" x14ac:dyDescent="0.35">
      <c r="X2006" s="8"/>
    </row>
    <row r="2007" spans="24:24" x14ac:dyDescent="0.35">
      <c r="X2007" s="8"/>
    </row>
    <row r="2008" spans="24:24" x14ac:dyDescent="0.35">
      <c r="X2008" s="8"/>
    </row>
    <row r="2009" spans="24:24" x14ac:dyDescent="0.35">
      <c r="X2009" s="8"/>
    </row>
    <row r="2010" spans="24:24" x14ac:dyDescent="0.35">
      <c r="X2010" s="8"/>
    </row>
    <row r="2011" spans="24:24" x14ac:dyDescent="0.35">
      <c r="X2011" s="8"/>
    </row>
    <row r="2012" spans="24:24" x14ac:dyDescent="0.35">
      <c r="X2012" s="8"/>
    </row>
    <row r="2013" spans="24:24" x14ac:dyDescent="0.35">
      <c r="X2013" s="8"/>
    </row>
    <row r="2014" spans="24:24" x14ac:dyDescent="0.35">
      <c r="X2014" s="8"/>
    </row>
    <row r="2015" spans="24:24" x14ac:dyDescent="0.35">
      <c r="X2015" s="8"/>
    </row>
    <row r="2016" spans="24:24" x14ac:dyDescent="0.35">
      <c r="X2016" s="8"/>
    </row>
    <row r="2017" spans="24:24" x14ac:dyDescent="0.35">
      <c r="X2017" s="8"/>
    </row>
    <row r="2018" spans="24:24" x14ac:dyDescent="0.35">
      <c r="X2018" s="8"/>
    </row>
    <row r="2019" spans="24:24" x14ac:dyDescent="0.35">
      <c r="X2019" s="8"/>
    </row>
    <row r="2020" spans="24:24" x14ac:dyDescent="0.35">
      <c r="X2020" s="8"/>
    </row>
    <row r="2021" spans="24:24" x14ac:dyDescent="0.35">
      <c r="X2021" s="8"/>
    </row>
    <row r="2022" spans="24:24" x14ac:dyDescent="0.35">
      <c r="X2022" s="8"/>
    </row>
    <row r="2023" spans="24:24" x14ac:dyDescent="0.35">
      <c r="X2023" s="8"/>
    </row>
    <row r="2024" spans="24:24" x14ac:dyDescent="0.35">
      <c r="X2024" s="8"/>
    </row>
    <row r="2025" spans="24:24" x14ac:dyDescent="0.35">
      <c r="X2025" s="8"/>
    </row>
    <row r="2026" spans="24:24" x14ac:dyDescent="0.35">
      <c r="X2026" s="8"/>
    </row>
    <row r="2027" spans="24:24" x14ac:dyDescent="0.35">
      <c r="X2027" s="8"/>
    </row>
    <row r="2028" spans="24:24" x14ac:dyDescent="0.35">
      <c r="X2028" s="8"/>
    </row>
    <row r="2029" spans="24:24" x14ac:dyDescent="0.35">
      <c r="X2029" s="8"/>
    </row>
    <row r="2030" spans="24:24" x14ac:dyDescent="0.35">
      <c r="X2030" s="8"/>
    </row>
    <row r="2031" spans="24:24" x14ac:dyDescent="0.35">
      <c r="X2031" s="8"/>
    </row>
    <row r="2032" spans="24:24" x14ac:dyDescent="0.35">
      <c r="X2032" s="8"/>
    </row>
    <row r="2033" spans="24:24" x14ac:dyDescent="0.35">
      <c r="X2033" s="8"/>
    </row>
    <row r="2034" spans="24:24" x14ac:dyDescent="0.35">
      <c r="X2034" s="8"/>
    </row>
    <row r="2035" spans="24:24" x14ac:dyDescent="0.35">
      <c r="X2035" s="8"/>
    </row>
    <row r="2036" spans="24:24" x14ac:dyDescent="0.35">
      <c r="X2036" s="8"/>
    </row>
    <row r="2037" spans="24:24" x14ac:dyDescent="0.35">
      <c r="X2037" s="8"/>
    </row>
    <row r="2038" spans="24:24" x14ac:dyDescent="0.35">
      <c r="X2038" s="8"/>
    </row>
    <row r="2039" spans="24:24" x14ac:dyDescent="0.35">
      <c r="X2039" s="8"/>
    </row>
    <row r="2040" spans="24:24" x14ac:dyDescent="0.35">
      <c r="X2040" s="8"/>
    </row>
    <row r="2041" spans="24:24" x14ac:dyDescent="0.35">
      <c r="X2041" s="8"/>
    </row>
    <row r="2042" spans="24:24" x14ac:dyDescent="0.35">
      <c r="X2042" s="8"/>
    </row>
    <row r="2043" spans="24:24" x14ac:dyDescent="0.35">
      <c r="X2043" s="8"/>
    </row>
    <row r="2044" spans="24:24" x14ac:dyDescent="0.35">
      <c r="X2044" s="8"/>
    </row>
    <row r="2045" spans="24:24" x14ac:dyDescent="0.35">
      <c r="X2045" s="8"/>
    </row>
    <row r="2046" spans="24:24" x14ac:dyDescent="0.35">
      <c r="X2046" s="8"/>
    </row>
    <row r="2047" spans="24:24" x14ac:dyDescent="0.35">
      <c r="X2047" s="8"/>
    </row>
    <row r="2048" spans="24:24" x14ac:dyDescent="0.35">
      <c r="X2048" s="8"/>
    </row>
    <row r="2049" spans="24:24" x14ac:dyDescent="0.35">
      <c r="X2049" s="8"/>
    </row>
    <row r="2050" spans="24:24" x14ac:dyDescent="0.35">
      <c r="X2050" s="8"/>
    </row>
    <row r="2051" spans="24:24" x14ac:dyDescent="0.35">
      <c r="X2051" s="8"/>
    </row>
    <row r="2052" spans="24:24" x14ac:dyDescent="0.35">
      <c r="X2052" s="8"/>
    </row>
    <row r="2053" spans="24:24" x14ac:dyDescent="0.35">
      <c r="X2053" s="8"/>
    </row>
    <row r="2054" spans="24:24" x14ac:dyDescent="0.35">
      <c r="X2054" s="8"/>
    </row>
    <row r="2055" spans="24:24" x14ac:dyDescent="0.35">
      <c r="X2055" s="8"/>
    </row>
    <row r="2056" spans="24:24" x14ac:dyDescent="0.35">
      <c r="X2056" s="8"/>
    </row>
    <row r="2057" spans="24:24" x14ac:dyDescent="0.35">
      <c r="X2057" s="8"/>
    </row>
    <row r="2058" spans="24:24" x14ac:dyDescent="0.35">
      <c r="X2058" s="8"/>
    </row>
    <row r="2059" spans="24:24" x14ac:dyDescent="0.35">
      <c r="X2059" s="8"/>
    </row>
    <row r="2060" spans="24:24" x14ac:dyDescent="0.35">
      <c r="X2060" s="8"/>
    </row>
    <row r="2061" spans="24:24" x14ac:dyDescent="0.35">
      <c r="X2061" s="8"/>
    </row>
    <row r="2062" spans="24:24" x14ac:dyDescent="0.35">
      <c r="X2062" s="8"/>
    </row>
    <row r="2063" spans="24:24" x14ac:dyDescent="0.35">
      <c r="X2063" s="8"/>
    </row>
    <row r="2064" spans="24:24" x14ac:dyDescent="0.35">
      <c r="X2064" s="8"/>
    </row>
    <row r="2065" spans="24:24" x14ac:dyDescent="0.35">
      <c r="X2065" s="8"/>
    </row>
    <row r="2066" spans="24:24" x14ac:dyDescent="0.35">
      <c r="X2066" s="8"/>
    </row>
    <row r="2067" spans="24:24" x14ac:dyDescent="0.35">
      <c r="X2067" s="8"/>
    </row>
    <row r="2068" spans="24:24" x14ac:dyDescent="0.35">
      <c r="X2068" s="8"/>
    </row>
    <row r="2069" spans="24:24" x14ac:dyDescent="0.35">
      <c r="X2069" s="8"/>
    </row>
    <row r="2070" spans="24:24" x14ac:dyDescent="0.35">
      <c r="X2070" s="8"/>
    </row>
    <row r="2071" spans="24:24" x14ac:dyDescent="0.35">
      <c r="X2071" s="8"/>
    </row>
    <row r="2072" spans="24:24" x14ac:dyDescent="0.35">
      <c r="X2072" s="8"/>
    </row>
    <row r="2073" spans="24:24" x14ac:dyDescent="0.35">
      <c r="X2073" s="8"/>
    </row>
    <row r="2074" spans="24:24" x14ac:dyDescent="0.35">
      <c r="X2074" s="8"/>
    </row>
    <row r="2075" spans="24:24" x14ac:dyDescent="0.35">
      <c r="X2075" s="8"/>
    </row>
    <row r="2076" spans="24:24" x14ac:dyDescent="0.35">
      <c r="X2076" s="8"/>
    </row>
    <row r="2077" spans="24:24" x14ac:dyDescent="0.35">
      <c r="X2077" s="8"/>
    </row>
    <row r="2078" spans="24:24" x14ac:dyDescent="0.35">
      <c r="X2078" s="8"/>
    </row>
    <row r="2079" spans="24:24" x14ac:dyDescent="0.35">
      <c r="X2079" s="8"/>
    </row>
    <row r="2080" spans="24:24" x14ac:dyDescent="0.35">
      <c r="X2080" s="8"/>
    </row>
    <row r="2081" spans="24:24" x14ac:dyDescent="0.35">
      <c r="X2081" s="8"/>
    </row>
    <row r="2082" spans="24:24" x14ac:dyDescent="0.35">
      <c r="X2082" s="8"/>
    </row>
    <row r="2083" spans="24:24" x14ac:dyDescent="0.35">
      <c r="X2083" s="8"/>
    </row>
    <row r="2084" spans="24:24" x14ac:dyDescent="0.35">
      <c r="X2084" s="8"/>
    </row>
    <row r="2085" spans="24:24" x14ac:dyDescent="0.35">
      <c r="X2085" s="8"/>
    </row>
    <row r="2086" spans="24:24" x14ac:dyDescent="0.35">
      <c r="X2086" s="8"/>
    </row>
    <row r="2087" spans="24:24" x14ac:dyDescent="0.35">
      <c r="X2087" s="8"/>
    </row>
    <row r="2088" spans="24:24" x14ac:dyDescent="0.35">
      <c r="X2088" s="8"/>
    </row>
    <row r="2089" spans="24:24" x14ac:dyDescent="0.35">
      <c r="X2089" s="8"/>
    </row>
    <row r="2090" spans="24:24" x14ac:dyDescent="0.35">
      <c r="X2090" s="8"/>
    </row>
    <row r="2091" spans="24:24" x14ac:dyDescent="0.35">
      <c r="X2091" s="8"/>
    </row>
    <row r="2092" spans="24:24" x14ac:dyDescent="0.35">
      <c r="X2092" s="8"/>
    </row>
    <row r="2093" spans="24:24" x14ac:dyDescent="0.35">
      <c r="X2093" s="8"/>
    </row>
    <row r="2094" spans="24:24" x14ac:dyDescent="0.35">
      <c r="X2094" s="8"/>
    </row>
    <row r="2095" spans="24:24" x14ac:dyDescent="0.35">
      <c r="X2095" s="8"/>
    </row>
    <row r="2096" spans="24:24" x14ac:dyDescent="0.35">
      <c r="X2096" s="8"/>
    </row>
    <row r="2097" spans="24:24" x14ac:dyDescent="0.35">
      <c r="X2097" s="8"/>
    </row>
    <row r="2098" spans="24:24" x14ac:dyDescent="0.35">
      <c r="X2098" s="8"/>
    </row>
    <row r="2099" spans="24:24" x14ac:dyDescent="0.35">
      <c r="X2099" s="8"/>
    </row>
    <row r="2100" spans="24:24" x14ac:dyDescent="0.35">
      <c r="X2100" s="8"/>
    </row>
    <row r="2101" spans="24:24" x14ac:dyDescent="0.35">
      <c r="X2101" s="8"/>
    </row>
    <row r="2102" spans="24:24" x14ac:dyDescent="0.35">
      <c r="X2102" s="8"/>
    </row>
    <row r="2103" spans="24:24" x14ac:dyDescent="0.35">
      <c r="X2103" s="8"/>
    </row>
    <row r="2104" spans="24:24" x14ac:dyDescent="0.35">
      <c r="X2104" s="8"/>
    </row>
    <row r="2105" spans="24:24" x14ac:dyDescent="0.35">
      <c r="X2105" s="8"/>
    </row>
    <row r="2106" spans="24:24" x14ac:dyDescent="0.35">
      <c r="X2106" s="8"/>
    </row>
    <row r="2107" spans="24:24" x14ac:dyDescent="0.35">
      <c r="X2107" s="8"/>
    </row>
    <row r="2108" spans="24:24" x14ac:dyDescent="0.35">
      <c r="X2108" s="8"/>
    </row>
    <row r="2109" spans="24:24" x14ac:dyDescent="0.35">
      <c r="X2109" s="8"/>
    </row>
    <row r="2110" spans="24:24" x14ac:dyDescent="0.35">
      <c r="X2110" s="8"/>
    </row>
    <row r="2111" spans="24:24" x14ac:dyDescent="0.35">
      <c r="X2111" s="8"/>
    </row>
    <row r="2112" spans="24:24" x14ac:dyDescent="0.35">
      <c r="X2112" s="8"/>
    </row>
    <row r="2113" spans="24:24" x14ac:dyDescent="0.35">
      <c r="X2113" s="8"/>
    </row>
    <row r="2114" spans="24:24" x14ac:dyDescent="0.35">
      <c r="X2114" s="8"/>
    </row>
    <row r="2115" spans="24:24" x14ac:dyDescent="0.35">
      <c r="X2115" s="8"/>
    </row>
    <row r="2116" spans="24:24" x14ac:dyDescent="0.35">
      <c r="X2116" s="8"/>
    </row>
    <row r="2117" spans="24:24" x14ac:dyDescent="0.35">
      <c r="X2117" s="8"/>
    </row>
    <row r="2118" spans="24:24" x14ac:dyDescent="0.35">
      <c r="X2118" s="8"/>
    </row>
    <row r="2119" spans="24:24" x14ac:dyDescent="0.35">
      <c r="X2119" s="8"/>
    </row>
    <row r="2120" spans="24:24" x14ac:dyDescent="0.35">
      <c r="X2120" s="8"/>
    </row>
    <row r="2121" spans="24:24" x14ac:dyDescent="0.35">
      <c r="X2121" s="8"/>
    </row>
    <row r="2122" spans="24:24" x14ac:dyDescent="0.35">
      <c r="X2122" s="8"/>
    </row>
    <row r="2123" spans="24:24" x14ac:dyDescent="0.35">
      <c r="X2123" s="8"/>
    </row>
    <row r="2124" spans="24:24" x14ac:dyDescent="0.35">
      <c r="X2124" s="8"/>
    </row>
    <row r="2125" spans="24:24" x14ac:dyDescent="0.35">
      <c r="X2125" s="8"/>
    </row>
    <row r="2126" spans="24:24" x14ac:dyDescent="0.35">
      <c r="X2126" s="8"/>
    </row>
    <row r="2127" spans="24:24" x14ac:dyDescent="0.35">
      <c r="X2127" s="8"/>
    </row>
    <row r="2128" spans="24:24" x14ac:dyDescent="0.35">
      <c r="X2128" s="8"/>
    </row>
    <row r="2129" spans="24:24" x14ac:dyDescent="0.35">
      <c r="X2129" s="8"/>
    </row>
    <row r="2130" spans="24:24" x14ac:dyDescent="0.35">
      <c r="X2130" s="8"/>
    </row>
    <row r="2131" spans="24:24" x14ac:dyDescent="0.35">
      <c r="X2131" s="8"/>
    </row>
    <row r="2132" spans="24:24" x14ac:dyDescent="0.35">
      <c r="X2132" s="8"/>
    </row>
    <row r="2133" spans="24:24" x14ac:dyDescent="0.35">
      <c r="X2133" s="8"/>
    </row>
    <row r="2134" spans="24:24" x14ac:dyDescent="0.35">
      <c r="X2134" s="8"/>
    </row>
    <row r="2135" spans="24:24" x14ac:dyDescent="0.35">
      <c r="X2135" s="8"/>
    </row>
    <row r="2136" spans="24:24" x14ac:dyDescent="0.35">
      <c r="X2136" s="8"/>
    </row>
    <row r="2137" spans="24:24" x14ac:dyDescent="0.35">
      <c r="X2137" s="8"/>
    </row>
    <row r="2138" spans="24:24" x14ac:dyDescent="0.35">
      <c r="X2138" s="8"/>
    </row>
    <row r="2139" spans="24:24" x14ac:dyDescent="0.35">
      <c r="X2139" s="8"/>
    </row>
    <row r="2140" spans="24:24" x14ac:dyDescent="0.35">
      <c r="X2140" s="8"/>
    </row>
    <row r="2141" spans="24:24" x14ac:dyDescent="0.35">
      <c r="X2141" s="8"/>
    </row>
    <row r="2142" spans="24:24" x14ac:dyDescent="0.35">
      <c r="X2142" s="8"/>
    </row>
    <row r="2143" spans="24:24" x14ac:dyDescent="0.35">
      <c r="X2143" s="8"/>
    </row>
    <row r="2144" spans="24:24" x14ac:dyDescent="0.35">
      <c r="X2144" s="8"/>
    </row>
    <row r="2145" spans="24:24" x14ac:dyDescent="0.35">
      <c r="X2145" s="8"/>
    </row>
    <row r="2146" spans="24:24" x14ac:dyDescent="0.35">
      <c r="X2146" s="8"/>
    </row>
    <row r="2147" spans="24:24" x14ac:dyDescent="0.35">
      <c r="X2147" s="8"/>
    </row>
    <row r="2148" spans="24:24" x14ac:dyDescent="0.35">
      <c r="X2148" s="8"/>
    </row>
    <row r="2149" spans="24:24" x14ac:dyDescent="0.35">
      <c r="X2149" s="8"/>
    </row>
    <row r="2150" spans="24:24" x14ac:dyDescent="0.35">
      <c r="X2150" s="8"/>
    </row>
    <row r="2151" spans="24:24" x14ac:dyDescent="0.35">
      <c r="X2151" s="8"/>
    </row>
    <row r="2152" spans="24:24" x14ac:dyDescent="0.35">
      <c r="X2152" s="8"/>
    </row>
    <row r="2153" spans="24:24" x14ac:dyDescent="0.35">
      <c r="X2153" s="8"/>
    </row>
    <row r="2154" spans="24:24" x14ac:dyDescent="0.35">
      <c r="X2154" s="8"/>
    </row>
    <row r="2155" spans="24:24" x14ac:dyDescent="0.35">
      <c r="X2155" s="8"/>
    </row>
    <row r="2156" spans="24:24" x14ac:dyDescent="0.35">
      <c r="X2156" s="8"/>
    </row>
    <row r="2157" spans="24:24" x14ac:dyDescent="0.35">
      <c r="X2157" s="8"/>
    </row>
    <row r="2158" spans="24:24" x14ac:dyDescent="0.35">
      <c r="X2158" s="8"/>
    </row>
    <row r="2159" spans="24:24" x14ac:dyDescent="0.35">
      <c r="X2159" s="8"/>
    </row>
    <row r="2160" spans="24:24" x14ac:dyDescent="0.35">
      <c r="X2160" s="8"/>
    </row>
    <row r="2161" spans="24:24" x14ac:dyDescent="0.35">
      <c r="X2161" s="8"/>
    </row>
    <row r="2162" spans="24:24" x14ac:dyDescent="0.35">
      <c r="X2162" s="8"/>
    </row>
    <row r="2163" spans="24:24" x14ac:dyDescent="0.35">
      <c r="X2163" s="8"/>
    </row>
    <row r="2164" spans="24:24" x14ac:dyDescent="0.35">
      <c r="X2164" s="8"/>
    </row>
    <row r="2165" spans="24:24" x14ac:dyDescent="0.35">
      <c r="X2165" s="8"/>
    </row>
    <row r="2166" spans="24:24" x14ac:dyDescent="0.35">
      <c r="X2166" s="8"/>
    </row>
    <row r="2167" spans="24:24" x14ac:dyDescent="0.35">
      <c r="X2167" s="8"/>
    </row>
    <row r="2168" spans="24:24" x14ac:dyDescent="0.35">
      <c r="X2168" s="8"/>
    </row>
    <row r="2169" spans="24:24" x14ac:dyDescent="0.35">
      <c r="X2169" s="8"/>
    </row>
    <row r="2170" spans="24:24" x14ac:dyDescent="0.35">
      <c r="X2170" s="8"/>
    </row>
    <row r="2171" spans="24:24" x14ac:dyDescent="0.35">
      <c r="X2171" s="8"/>
    </row>
    <row r="2172" spans="24:24" x14ac:dyDescent="0.35">
      <c r="X2172" s="8"/>
    </row>
    <row r="2173" spans="24:24" x14ac:dyDescent="0.35">
      <c r="X2173" s="8"/>
    </row>
    <row r="2174" spans="24:24" x14ac:dyDescent="0.35">
      <c r="X2174" s="8"/>
    </row>
    <row r="2175" spans="24:24" x14ac:dyDescent="0.35">
      <c r="X2175" s="8"/>
    </row>
    <row r="2176" spans="24:24" x14ac:dyDescent="0.35">
      <c r="X2176" s="8"/>
    </row>
    <row r="2177" spans="24:24" x14ac:dyDescent="0.35">
      <c r="X2177" s="8"/>
    </row>
    <row r="2178" spans="24:24" x14ac:dyDescent="0.35">
      <c r="X2178" s="8"/>
    </row>
    <row r="2179" spans="24:24" x14ac:dyDescent="0.35">
      <c r="X2179" s="8"/>
    </row>
    <row r="2180" spans="24:24" x14ac:dyDescent="0.35">
      <c r="X2180" s="8"/>
    </row>
    <row r="2181" spans="24:24" x14ac:dyDescent="0.35">
      <c r="X2181" s="8"/>
    </row>
    <row r="2182" spans="24:24" x14ac:dyDescent="0.35">
      <c r="X2182" s="8"/>
    </row>
    <row r="2183" spans="24:24" x14ac:dyDescent="0.35">
      <c r="X2183" s="8"/>
    </row>
    <row r="2184" spans="24:24" x14ac:dyDescent="0.35">
      <c r="X2184" s="8"/>
    </row>
    <row r="2185" spans="24:24" x14ac:dyDescent="0.35">
      <c r="X2185" s="8"/>
    </row>
    <row r="2186" spans="24:24" x14ac:dyDescent="0.35">
      <c r="X2186" s="8"/>
    </row>
    <row r="2187" spans="24:24" x14ac:dyDescent="0.35">
      <c r="X2187" s="8"/>
    </row>
    <row r="2188" spans="24:24" x14ac:dyDescent="0.35">
      <c r="X2188" s="8"/>
    </row>
    <row r="2189" spans="24:24" x14ac:dyDescent="0.35">
      <c r="X2189" s="8"/>
    </row>
    <row r="2190" spans="24:24" x14ac:dyDescent="0.35">
      <c r="X2190" s="8"/>
    </row>
    <row r="2191" spans="24:24" x14ac:dyDescent="0.35">
      <c r="X2191" s="8"/>
    </row>
    <row r="2192" spans="24:24" x14ac:dyDescent="0.35">
      <c r="X2192" s="8"/>
    </row>
    <row r="2193" spans="24:24" x14ac:dyDescent="0.35">
      <c r="X2193" s="8"/>
    </row>
    <row r="2194" spans="24:24" x14ac:dyDescent="0.35">
      <c r="X2194" s="8"/>
    </row>
    <row r="2195" spans="24:24" x14ac:dyDescent="0.35">
      <c r="X2195" s="8"/>
    </row>
    <row r="2196" spans="24:24" x14ac:dyDescent="0.35">
      <c r="X2196" s="8"/>
    </row>
    <row r="2197" spans="24:24" x14ac:dyDescent="0.35">
      <c r="X2197" s="8"/>
    </row>
    <row r="2198" spans="24:24" x14ac:dyDescent="0.35">
      <c r="X2198" s="8"/>
    </row>
    <row r="2199" spans="24:24" x14ac:dyDescent="0.35">
      <c r="X2199" s="8"/>
    </row>
    <row r="2200" spans="24:24" x14ac:dyDescent="0.35">
      <c r="X2200" s="8"/>
    </row>
    <row r="2201" spans="24:24" x14ac:dyDescent="0.35">
      <c r="X2201" s="8"/>
    </row>
    <row r="2202" spans="24:24" x14ac:dyDescent="0.35">
      <c r="X2202" s="8"/>
    </row>
    <row r="2203" spans="24:24" x14ac:dyDescent="0.35">
      <c r="X2203" s="8"/>
    </row>
    <row r="2204" spans="24:24" x14ac:dyDescent="0.35">
      <c r="X2204" s="8"/>
    </row>
    <row r="2205" spans="24:24" x14ac:dyDescent="0.35">
      <c r="X2205" s="8"/>
    </row>
    <row r="2206" spans="24:24" x14ac:dyDescent="0.35">
      <c r="X2206" s="8"/>
    </row>
    <row r="2207" spans="24:24" x14ac:dyDescent="0.35">
      <c r="X2207" s="8"/>
    </row>
    <row r="2208" spans="24:24" x14ac:dyDescent="0.35">
      <c r="X2208" s="8"/>
    </row>
    <row r="2209" spans="24:24" x14ac:dyDescent="0.35">
      <c r="X2209" s="8"/>
    </row>
    <row r="2210" spans="24:24" x14ac:dyDescent="0.35">
      <c r="X2210" s="8"/>
    </row>
    <row r="2211" spans="24:24" x14ac:dyDescent="0.35">
      <c r="X2211" s="8"/>
    </row>
    <row r="2212" spans="24:24" x14ac:dyDescent="0.35">
      <c r="X2212" s="8"/>
    </row>
    <row r="2213" spans="24:24" x14ac:dyDescent="0.35">
      <c r="X2213" s="8"/>
    </row>
    <row r="2214" spans="24:24" x14ac:dyDescent="0.35">
      <c r="X2214" s="8"/>
    </row>
    <row r="2215" spans="24:24" x14ac:dyDescent="0.35">
      <c r="X2215" s="8"/>
    </row>
    <row r="2216" spans="24:24" x14ac:dyDescent="0.35">
      <c r="X2216" s="8"/>
    </row>
    <row r="2217" spans="24:24" x14ac:dyDescent="0.35">
      <c r="X2217" s="8"/>
    </row>
    <row r="2218" spans="24:24" x14ac:dyDescent="0.35">
      <c r="X2218" s="8"/>
    </row>
    <row r="2219" spans="24:24" x14ac:dyDescent="0.35">
      <c r="X2219" s="8"/>
    </row>
    <row r="2220" spans="24:24" x14ac:dyDescent="0.35">
      <c r="X2220" s="8"/>
    </row>
    <row r="2221" spans="24:24" x14ac:dyDescent="0.35">
      <c r="X2221" s="8"/>
    </row>
    <row r="2222" spans="24:24" x14ac:dyDescent="0.35">
      <c r="X2222" s="8"/>
    </row>
    <row r="2223" spans="24:24" x14ac:dyDescent="0.35">
      <c r="X2223" s="8"/>
    </row>
    <row r="2224" spans="24:24" x14ac:dyDescent="0.35">
      <c r="X2224" s="8"/>
    </row>
    <row r="2225" spans="24:24" x14ac:dyDescent="0.35">
      <c r="X2225" s="8"/>
    </row>
    <row r="2226" spans="24:24" x14ac:dyDescent="0.35">
      <c r="X2226" s="8"/>
    </row>
    <row r="2227" spans="24:24" x14ac:dyDescent="0.35">
      <c r="X2227" s="8"/>
    </row>
    <row r="2228" spans="24:24" x14ac:dyDescent="0.35">
      <c r="X2228" s="8"/>
    </row>
    <row r="2229" spans="24:24" x14ac:dyDescent="0.35">
      <c r="X2229" s="8"/>
    </row>
    <row r="2230" spans="24:24" x14ac:dyDescent="0.35">
      <c r="X2230" s="8"/>
    </row>
    <row r="2231" spans="24:24" x14ac:dyDescent="0.35">
      <c r="X2231" s="8"/>
    </row>
    <row r="2232" spans="24:24" x14ac:dyDescent="0.35">
      <c r="X2232" s="8"/>
    </row>
    <row r="2233" spans="24:24" x14ac:dyDescent="0.35">
      <c r="X2233" s="8"/>
    </row>
    <row r="2234" spans="24:24" x14ac:dyDescent="0.35">
      <c r="X2234" s="8"/>
    </row>
    <row r="2235" spans="24:24" x14ac:dyDescent="0.35">
      <c r="X2235" s="8"/>
    </row>
    <row r="2236" spans="24:24" x14ac:dyDescent="0.35">
      <c r="X2236" s="8"/>
    </row>
    <row r="2237" spans="24:24" x14ac:dyDescent="0.35">
      <c r="X2237" s="8"/>
    </row>
    <row r="2238" spans="24:24" x14ac:dyDescent="0.35">
      <c r="X2238" s="8"/>
    </row>
    <row r="2239" spans="24:24" x14ac:dyDescent="0.35">
      <c r="X2239" s="8"/>
    </row>
    <row r="2240" spans="24:24" x14ac:dyDescent="0.35">
      <c r="X2240" s="8"/>
    </row>
    <row r="2241" spans="24:24" x14ac:dyDescent="0.35">
      <c r="X2241" s="8"/>
    </row>
    <row r="2242" spans="24:24" x14ac:dyDescent="0.35">
      <c r="X2242" s="8"/>
    </row>
    <row r="2243" spans="24:24" x14ac:dyDescent="0.35">
      <c r="X2243" s="8"/>
    </row>
    <row r="2244" spans="24:24" x14ac:dyDescent="0.35">
      <c r="X2244" s="8"/>
    </row>
    <row r="2245" spans="24:24" x14ac:dyDescent="0.35">
      <c r="X2245" s="8"/>
    </row>
    <row r="2246" spans="24:24" x14ac:dyDescent="0.35">
      <c r="X2246" s="8"/>
    </row>
    <row r="2247" spans="24:24" x14ac:dyDescent="0.35">
      <c r="X2247" s="8"/>
    </row>
    <row r="2248" spans="24:24" x14ac:dyDescent="0.35">
      <c r="X2248" s="8"/>
    </row>
    <row r="2249" spans="24:24" x14ac:dyDescent="0.35">
      <c r="X2249" s="8"/>
    </row>
    <row r="2250" spans="24:24" x14ac:dyDescent="0.35">
      <c r="X2250" s="8"/>
    </row>
    <row r="2251" spans="24:24" x14ac:dyDescent="0.35">
      <c r="X2251" s="8"/>
    </row>
    <row r="2252" spans="24:24" x14ac:dyDescent="0.35">
      <c r="X2252" s="8"/>
    </row>
    <row r="2253" spans="24:24" x14ac:dyDescent="0.35">
      <c r="X2253" s="8"/>
    </row>
    <row r="2254" spans="24:24" x14ac:dyDescent="0.35">
      <c r="X2254" s="8"/>
    </row>
    <row r="2255" spans="24:24" x14ac:dyDescent="0.35">
      <c r="X2255" s="8"/>
    </row>
    <row r="2256" spans="24:24" x14ac:dyDescent="0.35">
      <c r="X2256" s="8"/>
    </row>
    <row r="2257" spans="24:24" x14ac:dyDescent="0.35">
      <c r="X2257" s="8"/>
    </row>
    <row r="2258" spans="24:24" x14ac:dyDescent="0.35">
      <c r="X2258" s="8"/>
    </row>
    <row r="2259" spans="24:24" x14ac:dyDescent="0.35">
      <c r="X2259" s="8"/>
    </row>
    <row r="2260" spans="24:24" x14ac:dyDescent="0.35">
      <c r="X2260" s="8"/>
    </row>
    <row r="2261" spans="24:24" x14ac:dyDescent="0.35">
      <c r="X2261" s="8"/>
    </row>
    <row r="2262" spans="24:24" x14ac:dyDescent="0.35">
      <c r="X2262" s="8"/>
    </row>
    <row r="2263" spans="24:24" x14ac:dyDescent="0.35">
      <c r="X2263" s="8"/>
    </row>
    <row r="2264" spans="24:24" x14ac:dyDescent="0.35">
      <c r="X2264" s="8"/>
    </row>
    <row r="2265" spans="24:24" x14ac:dyDescent="0.35">
      <c r="X2265" s="8"/>
    </row>
    <row r="2266" spans="24:24" x14ac:dyDescent="0.35">
      <c r="X2266" s="8"/>
    </row>
    <row r="2267" spans="24:24" x14ac:dyDescent="0.35">
      <c r="X2267" s="8"/>
    </row>
    <row r="2268" spans="24:24" x14ac:dyDescent="0.35">
      <c r="X2268" s="8"/>
    </row>
    <row r="2269" spans="24:24" x14ac:dyDescent="0.35">
      <c r="X2269" s="8"/>
    </row>
    <row r="2270" spans="24:24" x14ac:dyDescent="0.35">
      <c r="X2270" s="8"/>
    </row>
    <row r="2271" spans="24:24" x14ac:dyDescent="0.35">
      <c r="X2271" s="8"/>
    </row>
    <row r="2272" spans="24:24" x14ac:dyDescent="0.35">
      <c r="X2272" s="8"/>
    </row>
    <row r="2273" spans="24:24" x14ac:dyDescent="0.35">
      <c r="X2273" s="8"/>
    </row>
    <row r="2274" spans="24:24" x14ac:dyDescent="0.35">
      <c r="X2274" s="8"/>
    </row>
    <row r="2275" spans="24:24" x14ac:dyDescent="0.35">
      <c r="X2275" s="8"/>
    </row>
    <row r="2276" spans="24:24" x14ac:dyDescent="0.35">
      <c r="X2276" s="8"/>
    </row>
    <row r="2277" spans="24:24" x14ac:dyDescent="0.35">
      <c r="X2277" s="8"/>
    </row>
    <row r="2278" spans="24:24" x14ac:dyDescent="0.35">
      <c r="X2278" s="8"/>
    </row>
    <row r="2279" spans="24:24" x14ac:dyDescent="0.35">
      <c r="X2279" s="8"/>
    </row>
    <row r="2280" spans="24:24" x14ac:dyDescent="0.35">
      <c r="X2280" s="8"/>
    </row>
    <row r="2281" spans="24:24" x14ac:dyDescent="0.35">
      <c r="X2281" s="8"/>
    </row>
    <row r="2282" spans="24:24" x14ac:dyDescent="0.35">
      <c r="X2282" s="8"/>
    </row>
    <row r="2283" spans="24:24" x14ac:dyDescent="0.35">
      <c r="X2283" s="8"/>
    </row>
    <row r="2284" spans="24:24" x14ac:dyDescent="0.35">
      <c r="X2284" s="8"/>
    </row>
    <row r="2285" spans="24:24" x14ac:dyDescent="0.35">
      <c r="X2285" s="8"/>
    </row>
    <row r="2286" spans="24:24" x14ac:dyDescent="0.35">
      <c r="X2286" s="8"/>
    </row>
    <row r="2287" spans="24:24" x14ac:dyDescent="0.35">
      <c r="X2287" s="8"/>
    </row>
    <row r="2288" spans="24:24" x14ac:dyDescent="0.35">
      <c r="X2288" s="8"/>
    </row>
    <row r="2289" spans="24:24" x14ac:dyDescent="0.35">
      <c r="X2289" s="8"/>
    </row>
    <row r="2290" spans="24:24" x14ac:dyDescent="0.35">
      <c r="X2290" s="8"/>
    </row>
    <row r="2291" spans="24:24" x14ac:dyDescent="0.35">
      <c r="X2291" s="8"/>
    </row>
    <row r="2292" spans="24:24" x14ac:dyDescent="0.35">
      <c r="X2292" s="8"/>
    </row>
    <row r="2293" spans="24:24" x14ac:dyDescent="0.35">
      <c r="X2293" s="8"/>
    </row>
    <row r="2294" spans="24:24" x14ac:dyDescent="0.35">
      <c r="X2294" s="8"/>
    </row>
    <row r="2295" spans="24:24" x14ac:dyDescent="0.35">
      <c r="X2295" s="8"/>
    </row>
    <row r="2296" spans="24:24" x14ac:dyDescent="0.35">
      <c r="X2296" s="8"/>
    </row>
    <row r="2297" spans="24:24" x14ac:dyDescent="0.35">
      <c r="X2297" s="8"/>
    </row>
    <row r="2298" spans="24:24" x14ac:dyDescent="0.35">
      <c r="X2298" s="8"/>
    </row>
    <row r="2299" spans="24:24" x14ac:dyDescent="0.35">
      <c r="X2299" s="8"/>
    </row>
    <row r="2300" spans="24:24" x14ac:dyDescent="0.35">
      <c r="X2300" s="8"/>
    </row>
    <row r="2301" spans="24:24" x14ac:dyDescent="0.35">
      <c r="X2301" s="8"/>
    </row>
    <row r="2302" spans="24:24" x14ac:dyDescent="0.35">
      <c r="X2302" s="8"/>
    </row>
    <row r="2303" spans="24:24" x14ac:dyDescent="0.35">
      <c r="X2303" s="8"/>
    </row>
    <row r="2304" spans="24:24" x14ac:dyDescent="0.35">
      <c r="X2304" s="8"/>
    </row>
    <row r="2305" spans="24:24" x14ac:dyDescent="0.35">
      <c r="X2305" s="8"/>
    </row>
    <row r="2306" spans="24:24" x14ac:dyDescent="0.35">
      <c r="X2306" s="8"/>
    </row>
    <row r="2307" spans="24:24" x14ac:dyDescent="0.35">
      <c r="X2307" s="8"/>
    </row>
    <row r="2308" spans="24:24" x14ac:dyDescent="0.35">
      <c r="X2308" s="8"/>
    </row>
    <row r="2309" spans="24:24" x14ac:dyDescent="0.35">
      <c r="X2309" s="8"/>
    </row>
    <row r="2310" spans="24:24" x14ac:dyDescent="0.35">
      <c r="X2310" s="8"/>
    </row>
    <row r="2311" spans="24:24" x14ac:dyDescent="0.35">
      <c r="X2311" s="8"/>
    </row>
    <row r="2312" spans="24:24" x14ac:dyDescent="0.35">
      <c r="X2312" s="8"/>
    </row>
    <row r="2313" spans="24:24" x14ac:dyDescent="0.35">
      <c r="X2313" s="8"/>
    </row>
    <row r="2314" spans="24:24" x14ac:dyDescent="0.35">
      <c r="X2314" s="8"/>
    </row>
    <row r="2315" spans="24:24" x14ac:dyDescent="0.35">
      <c r="X2315" s="8"/>
    </row>
    <row r="2316" spans="24:24" x14ac:dyDescent="0.35">
      <c r="X2316" s="8"/>
    </row>
    <row r="2317" spans="24:24" x14ac:dyDescent="0.35">
      <c r="X2317" s="8"/>
    </row>
    <row r="2318" spans="24:24" x14ac:dyDescent="0.35">
      <c r="X2318" s="8"/>
    </row>
    <row r="2319" spans="24:24" x14ac:dyDescent="0.35">
      <c r="X2319" s="8"/>
    </row>
    <row r="2320" spans="24:24" x14ac:dyDescent="0.35">
      <c r="X2320" s="8"/>
    </row>
    <row r="2321" spans="24:24" x14ac:dyDescent="0.35">
      <c r="X2321" s="8"/>
    </row>
    <row r="2322" spans="24:24" x14ac:dyDescent="0.35">
      <c r="X2322" s="8"/>
    </row>
    <row r="2323" spans="24:24" x14ac:dyDescent="0.35">
      <c r="X2323" s="8"/>
    </row>
    <row r="2324" spans="24:24" x14ac:dyDescent="0.35">
      <c r="X2324" s="8"/>
    </row>
    <row r="2325" spans="24:24" x14ac:dyDescent="0.35">
      <c r="X2325" s="8"/>
    </row>
    <row r="2326" spans="24:24" x14ac:dyDescent="0.35">
      <c r="X2326" s="8"/>
    </row>
    <row r="2327" spans="24:24" x14ac:dyDescent="0.35">
      <c r="X2327" s="8"/>
    </row>
    <row r="2328" spans="24:24" x14ac:dyDescent="0.35">
      <c r="X2328" s="8"/>
    </row>
    <row r="2329" spans="24:24" x14ac:dyDescent="0.35">
      <c r="X2329" s="8"/>
    </row>
    <row r="2330" spans="24:24" x14ac:dyDescent="0.35">
      <c r="X2330" s="8"/>
    </row>
    <row r="2331" spans="24:24" x14ac:dyDescent="0.35">
      <c r="X2331" s="8"/>
    </row>
    <row r="2332" spans="24:24" x14ac:dyDescent="0.35">
      <c r="X2332" s="8"/>
    </row>
    <row r="2333" spans="24:24" x14ac:dyDescent="0.35">
      <c r="X2333" s="8"/>
    </row>
    <row r="2334" spans="24:24" x14ac:dyDescent="0.35">
      <c r="X2334" s="8"/>
    </row>
    <row r="2335" spans="24:24" x14ac:dyDescent="0.35">
      <c r="X2335" s="8"/>
    </row>
    <row r="2336" spans="24:24" x14ac:dyDescent="0.35">
      <c r="X2336" s="8"/>
    </row>
    <row r="2337" spans="24:24" x14ac:dyDescent="0.35">
      <c r="X2337" s="8"/>
    </row>
    <row r="2338" spans="24:24" x14ac:dyDescent="0.35">
      <c r="X2338" s="8"/>
    </row>
    <row r="2339" spans="24:24" x14ac:dyDescent="0.35">
      <c r="X2339" s="8"/>
    </row>
    <row r="2340" spans="24:24" x14ac:dyDescent="0.35">
      <c r="X2340" s="8"/>
    </row>
    <row r="2341" spans="24:24" x14ac:dyDescent="0.35">
      <c r="X2341" s="8"/>
    </row>
    <row r="2342" spans="24:24" x14ac:dyDescent="0.35">
      <c r="X2342" s="8"/>
    </row>
    <row r="2343" spans="24:24" x14ac:dyDescent="0.35">
      <c r="X2343" s="8"/>
    </row>
    <row r="2344" spans="24:24" x14ac:dyDescent="0.35">
      <c r="X2344" s="8"/>
    </row>
    <row r="2345" spans="24:24" x14ac:dyDescent="0.35">
      <c r="X2345" s="8"/>
    </row>
    <row r="2346" spans="24:24" x14ac:dyDescent="0.35">
      <c r="X2346" s="8"/>
    </row>
    <row r="2347" spans="24:24" x14ac:dyDescent="0.35">
      <c r="X2347" s="8"/>
    </row>
    <row r="2348" spans="24:24" x14ac:dyDescent="0.35">
      <c r="X2348" s="8"/>
    </row>
    <row r="2349" spans="24:24" x14ac:dyDescent="0.35">
      <c r="X2349" s="8"/>
    </row>
    <row r="2350" spans="24:24" x14ac:dyDescent="0.35">
      <c r="X2350" s="8"/>
    </row>
    <row r="2351" spans="24:24" x14ac:dyDescent="0.35">
      <c r="X2351" s="8"/>
    </row>
    <row r="2352" spans="24:24" x14ac:dyDescent="0.35">
      <c r="X2352" s="8"/>
    </row>
    <row r="2353" spans="24:24" x14ac:dyDescent="0.35">
      <c r="X2353" s="8"/>
    </row>
    <row r="2354" spans="24:24" x14ac:dyDescent="0.35">
      <c r="X2354" s="8"/>
    </row>
    <row r="2355" spans="24:24" x14ac:dyDescent="0.35">
      <c r="X2355" s="8"/>
    </row>
    <row r="2356" spans="24:24" x14ac:dyDescent="0.35">
      <c r="X2356" s="8"/>
    </row>
    <row r="2357" spans="24:24" x14ac:dyDescent="0.35">
      <c r="X2357" s="8"/>
    </row>
    <row r="2358" spans="24:24" x14ac:dyDescent="0.35">
      <c r="X2358" s="8"/>
    </row>
    <row r="2359" spans="24:24" x14ac:dyDescent="0.35">
      <c r="X2359" s="8"/>
    </row>
    <row r="2360" spans="24:24" x14ac:dyDescent="0.35">
      <c r="X2360" s="8"/>
    </row>
    <row r="2361" spans="24:24" x14ac:dyDescent="0.35">
      <c r="X2361" s="8"/>
    </row>
    <row r="2362" spans="24:24" x14ac:dyDescent="0.35">
      <c r="X2362" s="8"/>
    </row>
    <row r="2363" spans="24:24" x14ac:dyDescent="0.35">
      <c r="X2363" s="8"/>
    </row>
    <row r="2364" spans="24:24" x14ac:dyDescent="0.35">
      <c r="X2364" s="8"/>
    </row>
    <row r="2365" spans="24:24" x14ac:dyDescent="0.35">
      <c r="X2365" s="8"/>
    </row>
    <row r="2366" spans="24:24" x14ac:dyDescent="0.35">
      <c r="X2366" s="8"/>
    </row>
    <row r="2367" spans="24:24" x14ac:dyDescent="0.35">
      <c r="X2367" s="8"/>
    </row>
    <row r="2368" spans="24:24" x14ac:dyDescent="0.35">
      <c r="X2368" s="8"/>
    </row>
    <row r="2369" spans="24:24" x14ac:dyDescent="0.35">
      <c r="X2369" s="8"/>
    </row>
    <row r="2370" spans="24:24" x14ac:dyDescent="0.35">
      <c r="X2370" s="8"/>
    </row>
    <row r="2371" spans="24:24" x14ac:dyDescent="0.35">
      <c r="X2371" s="8"/>
    </row>
    <row r="2372" spans="24:24" x14ac:dyDescent="0.35">
      <c r="X2372" s="8"/>
    </row>
    <row r="2373" spans="24:24" x14ac:dyDescent="0.35">
      <c r="X2373" s="8"/>
    </row>
    <row r="2374" spans="24:24" x14ac:dyDescent="0.35">
      <c r="X2374" s="8"/>
    </row>
    <row r="2375" spans="24:24" x14ac:dyDescent="0.35">
      <c r="X2375" s="8"/>
    </row>
    <row r="2376" spans="24:24" x14ac:dyDescent="0.35">
      <c r="X2376" s="8"/>
    </row>
    <row r="2377" spans="24:24" x14ac:dyDescent="0.35">
      <c r="X2377" s="8"/>
    </row>
    <row r="2378" spans="24:24" x14ac:dyDescent="0.35">
      <c r="X2378" s="8"/>
    </row>
    <row r="2379" spans="24:24" x14ac:dyDescent="0.35">
      <c r="X2379" s="8"/>
    </row>
    <row r="2380" spans="24:24" x14ac:dyDescent="0.35">
      <c r="X2380" s="8"/>
    </row>
    <row r="2381" spans="24:24" x14ac:dyDescent="0.35">
      <c r="X2381" s="8"/>
    </row>
    <row r="2382" spans="24:24" x14ac:dyDescent="0.35">
      <c r="X2382" s="8"/>
    </row>
    <row r="2383" spans="24:24" x14ac:dyDescent="0.35">
      <c r="X2383" s="8"/>
    </row>
    <row r="2384" spans="24:24" x14ac:dyDescent="0.35">
      <c r="X2384" s="8"/>
    </row>
    <row r="2385" spans="24:24" x14ac:dyDescent="0.35">
      <c r="X2385" s="8"/>
    </row>
    <row r="2386" spans="24:24" x14ac:dyDescent="0.35">
      <c r="X2386" s="8"/>
    </row>
    <row r="2387" spans="24:24" x14ac:dyDescent="0.35">
      <c r="X2387" s="8"/>
    </row>
    <row r="2388" spans="24:24" x14ac:dyDescent="0.35">
      <c r="X2388" s="8"/>
    </row>
    <row r="2389" spans="24:24" x14ac:dyDescent="0.35">
      <c r="X2389" s="8"/>
    </row>
    <row r="2390" spans="24:24" x14ac:dyDescent="0.35">
      <c r="X2390" s="8"/>
    </row>
    <row r="2391" spans="24:24" x14ac:dyDescent="0.35">
      <c r="X2391" s="8"/>
    </row>
    <row r="2392" spans="24:24" x14ac:dyDescent="0.35">
      <c r="X2392" s="8"/>
    </row>
    <row r="2393" spans="24:24" x14ac:dyDescent="0.35">
      <c r="X2393" s="8"/>
    </row>
    <row r="2394" spans="24:24" x14ac:dyDescent="0.35">
      <c r="X2394" s="8"/>
    </row>
    <row r="2395" spans="24:24" x14ac:dyDescent="0.35">
      <c r="X2395" s="8"/>
    </row>
    <row r="2396" spans="24:24" x14ac:dyDescent="0.35">
      <c r="X2396" s="8"/>
    </row>
    <row r="2397" spans="24:24" x14ac:dyDescent="0.35">
      <c r="X2397" s="8"/>
    </row>
    <row r="2398" spans="24:24" x14ac:dyDescent="0.35">
      <c r="X2398" s="8"/>
    </row>
    <row r="2399" spans="24:24" x14ac:dyDescent="0.35">
      <c r="X2399" s="8"/>
    </row>
    <row r="2400" spans="24:24" x14ac:dyDescent="0.35">
      <c r="X2400" s="8"/>
    </row>
    <row r="2401" spans="24:24" x14ac:dyDescent="0.35">
      <c r="X2401" s="8"/>
    </row>
    <row r="2402" spans="24:24" x14ac:dyDescent="0.35">
      <c r="X2402" s="8"/>
    </row>
    <row r="2403" spans="24:24" x14ac:dyDescent="0.35">
      <c r="X2403" s="8"/>
    </row>
    <row r="2404" spans="24:24" x14ac:dyDescent="0.35">
      <c r="X2404" s="8"/>
    </row>
    <row r="2405" spans="24:24" x14ac:dyDescent="0.35">
      <c r="X2405" s="8"/>
    </row>
    <row r="2406" spans="24:24" x14ac:dyDescent="0.35">
      <c r="X2406" s="8"/>
    </row>
    <row r="2407" spans="24:24" x14ac:dyDescent="0.35">
      <c r="X2407" s="8"/>
    </row>
    <row r="2408" spans="24:24" x14ac:dyDescent="0.35">
      <c r="X2408" s="8"/>
    </row>
    <row r="2409" spans="24:24" x14ac:dyDescent="0.35">
      <c r="X2409" s="8"/>
    </row>
    <row r="2410" spans="24:24" x14ac:dyDescent="0.35">
      <c r="X2410" s="8"/>
    </row>
    <row r="2411" spans="24:24" x14ac:dyDescent="0.35">
      <c r="X2411" s="8"/>
    </row>
    <row r="2412" spans="24:24" x14ac:dyDescent="0.35">
      <c r="X2412" s="8"/>
    </row>
    <row r="2413" spans="24:24" x14ac:dyDescent="0.35">
      <c r="X2413" s="8"/>
    </row>
    <row r="2414" spans="24:24" x14ac:dyDescent="0.35">
      <c r="X2414" s="8"/>
    </row>
    <row r="2415" spans="24:24" x14ac:dyDescent="0.35">
      <c r="X2415" s="8"/>
    </row>
    <row r="2416" spans="24:24" x14ac:dyDescent="0.35">
      <c r="X2416" s="8"/>
    </row>
    <row r="2417" spans="24:24" x14ac:dyDescent="0.35">
      <c r="X2417" s="8"/>
    </row>
    <row r="2418" spans="24:24" x14ac:dyDescent="0.35">
      <c r="X2418" s="8"/>
    </row>
    <row r="2419" spans="24:24" x14ac:dyDescent="0.35">
      <c r="X2419" s="8"/>
    </row>
    <row r="2420" spans="24:24" x14ac:dyDescent="0.35">
      <c r="X2420" s="8"/>
    </row>
    <row r="2421" spans="24:24" x14ac:dyDescent="0.35">
      <c r="X2421" s="8"/>
    </row>
    <row r="2422" spans="24:24" x14ac:dyDescent="0.35">
      <c r="X2422" s="8"/>
    </row>
    <row r="2423" spans="24:24" x14ac:dyDescent="0.35">
      <c r="X2423" s="8"/>
    </row>
    <row r="2424" spans="24:24" x14ac:dyDescent="0.35">
      <c r="X2424" s="8"/>
    </row>
    <row r="2425" spans="24:24" x14ac:dyDescent="0.35">
      <c r="X2425" s="8"/>
    </row>
    <row r="2426" spans="24:24" x14ac:dyDescent="0.35">
      <c r="X2426" s="8"/>
    </row>
    <row r="2427" spans="24:24" x14ac:dyDescent="0.35">
      <c r="X2427" s="8"/>
    </row>
    <row r="2428" spans="24:24" x14ac:dyDescent="0.35">
      <c r="X2428" s="8"/>
    </row>
    <row r="2429" spans="24:24" x14ac:dyDescent="0.35">
      <c r="X2429" s="8"/>
    </row>
    <row r="2430" spans="24:24" x14ac:dyDescent="0.35">
      <c r="X2430" s="8"/>
    </row>
    <row r="2431" spans="24:24" x14ac:dyDescent="0.35">
      <c r="X2431" s="8"/>
    </row>
    <row r="2432" spans="24:24" x14ac:dyDescent="0.35">
      <c r="X2432" s="8"/>
    </row>
    <row r="2433" spans="24:24" x14ac:dyDescent="0.35">
      <c r="X2433" s="8"/>
    </row>
    <row r="2434" spans="24:24" x14ac:dyDescent="0.35">
      <c r="X2434" s="8"/>
    </row>
    <row r="2435" spans="24:24" x14ac:dyDescent="0.35">
      <c r="X2435" s="8"/>
    </row>
    <row r="2436" spans="24:24" x14ac:dyDescent="0.35">
      <c r="X2436" s="8"/>
    </row>
    <row r="2437" spans="24:24" x14ac:dyDescent="0.35">
      <c r="X2437" s="8"/>
    </row>
    <row r="2438" spans="24:24" x14ac:dyDescent="0.35">
      <c r="X2438" s="8"/>
    </row>
    <row r="2439" spans="24:24" x14ac:dyDescent="0.35">
      <c r="X2439" s="8"/>
    </row>
    <row r="2440" spans="24:24" x14ac:dyDescent="0.35">
      <c r="X2440" s="8"/>
    </row>
    <row r="2441" spans="24:24" x14ac:dyDescent="0.35">
      <c r="X2441" s="8"/>
    </row>
    <row r="2442" spans="24:24" x14ac:dyDescent="0.35">
      <c r="X2442" s="8"/>
    </row>
    <row r="2443" spans="24:24" x14ac:dyDescent="0.35">
      <c r="X2443" s="8"/>
    </row>
    <row r="2444" spans="24:24" x14ac:dyDescent="0.35">
      <c r="X2444" s="8"/>
    </row>
    <row r="2445" spans="24:24" x14ac:dyDescent="0.35">
      <c r="X2445" s="8"/>
    </row>
    <row r="2446" spans="24:24" x14ac:dyDescent="0.35">
      <c r="X2446" s="8"/>
    </row>
    <row r="2447" spans="24:24" x14ac:dyDescent="0.35">
      <c r="X2447" s="8"/>
    </row>
    <row r="2448" spans="24:24" x14ac:dyDescent="0.35">
      <c r="X2448" s="8"/>
    </row>
    <row r="2449" spans="24:24" x14ac:dyDescent="0.35">
      <c r="X2449" s="8"/>
    </row>
    <row r="2450" spans="24:24" x14ac:dyDescent="0.35">
      <c r="X2450" s="8"/>
    </row>
    <row r="2451" spans="24:24" x14ac:dyDescent="0.35">
      <c r="X2451" s="8"/>
    </row>
    <row r="2452" spans="24:24" x14ac:dyDescent="0.35">
      <c r="X2452" s="8"/>
    </row>
    <row r="2453" spans="24:24" x14ac:dyDescent="0.35">
      <c r="X2453" s="8"/>
    </row>
    <row r="2454" spans="24:24" x14ac:dyDescent="0.35">
      <c r="X2454" s="8"/>
    </row>
    <row r="2455" spans="24:24" x14ac:dyDescent="0.35">
      <c r="X2455" s="8"/>
    </row>
    <row r="2456" spans="24:24" x14ac:dyDescent="0.35">
      <c r="X2456" s="8"/>
    </row>
    <row r="2457" spans="24:24" x14ac:dyDescent="0.35">
      <c r="X2457" s="8"/>
    </row>
    <row r="2458" spans="24:24" x14ac:dyDescent="0.35">
      <c r="X2458" s="8"/>
    </row>
    <row r="2459" spans="24:24" x14ac:dyDescent="0.35">
      <c r="X2459" s="8"/>
    </row>
    <row r="2460" spans="24:24" x14ac:dyDescent="0.35">
      <c r="X2460" s="8"/>
    </row>
    <row r="2461" spans="24:24" x14ac:dyDescent="0.35">
      <c r="X2461" s="8"/>
    </row>
    <row r="2462" spans="24:24" x14ac:dyDescent="0.35">
      <c r="X2462" s="8"/>
    </row>
    <row r="2463" spans="24:24" x14ac:dyDescent="0.35">
      <c r="X2463" s="8"/>
    </row>
    <row r="2464" spans="24:24" x14ac:dyDescent="0.35">
      <c r="X2464" s="8"/>
    </row>
    <row r="2465" spans="24:24" x14ac:dyDescent="0.35">
      <c r="X2465" s="8"/>
    </row>
    <row r="2466" spans="24:24" x14ac:dyDescent="0.35">
      <c r="X2466" s="8"/>
    </row>
    <row r="2467" spans="24:24" x14ac:dyDescent="0.35">
      <c r="X2467" s="8"/>
    </row>
    <row r="2468" spans="24:24" x14ac:dyDescent="0.35">
      <c r="X2468" s="8"/>
    </row>
    <row r="2469" spans="24:24" x14ac:dyDescent="0.35">
      <c r="X2469" s="8"/>
    </row>
    <row r="2470" spans="24:24" x14ac:dyDescent="0.35">
      <c r="X2470" s="8"/>
    </row>
    <row r="2471" spans="24:24" x14ac:dyDescent="0.35">
      <c r="X2471" s="8"/>
    </row>
    <row r="2472" spans="24:24" x14ac:dyDescent="0.35">
      <c r="X2472" s="8"/>
    </row>
    <row r="2473" spans="24:24" x14ac:dyDescent="0.35">
      <c r="X2473" s="8"/>
    </row>
    <row r="2474" spans="24:24" x14ac:dyDescent="0.35">
      <c r="X2474" s="8"/>
    </row>
    <row r="2475" spans="24:24" x14ac:dyDescent="0.35">
      <c r="X2475" s="8"/>
    </row>
    <row r="2476" spans="24:24" x14ac:dyDescent="0.35">
      <c r="X2476" s="8"/>
    </row>
    <row r="2477" spans="24:24" x14ac:dyDescent="0.35">
      <c r="X2477" s="8"/>
    </row>
    <row r="2478" spans="24:24" x14ac:dyDescent="0.35">
      <c r="X2478" s="8"/>
    </row>
    <row r="2479" spans="24:24" x14ac:dyDescent="0.35">
      <c r="X2479" s="8"/>
    </row>
    <row r="2480" spans="24:24" x14ac:dyDescent="0.35">
      <c r="X2480" s="8"/>
    </row>
    <row r="2481" spans="24:24" x14ac:dyDescent="0.35">
      <c r="X2481" s="8"/>
    </row>
    <row r="2482" spans="24:24" x14ac:dyDescent="0.35">
      <c r="X2482" s="8"/>
    </row>
    <row r="2483" spans="24:24" x14ac:dyDescent="0.35">
      <c r="X2483" s="8"/>
    </row>
    <row r="2484" spans="24:24" x14ac:dyDescent="0.35">
      <c r="X2484" s="8"/>
    </row>
    <row r="2485" spans="24:24" x14ac:dyDescent="0.35">
      <c r="X2485" s="8"/>
    </row>
    <row r="2486" spans="24:24" x14ac:dyDescent="0.35">
      <c r="X2486" s="8"/>
    </row>
    <row r="2487" spans="24:24" x14ac:dyDescent="0.35">
      <c r="X2487" s="8"/>
    </row>
    <row r="2488" spans="24:24" x14ac:dyDescent="0.35">
      <c r="X2488" s="8"/>
    </row>
    <row r="2489" spans="24:24" x14ac:dyDescent="0.35">
      <c r="X2489" s="8"/>
    </row>
    <row r="2490" spans="24:24" x14ac:dyDescent="0.35">
      <c r="X2490" s="8"/>
    </row>
    <row r="2491" spans="24:24" x14ac:dyDescent="0.35">
      <c r="X2491" s="8"/>
    </row>
    <row r="2492" spans="24:24" x14ac:dyDescent="0.35">
      <c r="X2492" s="8"/>
    </row>
    <row r="2493" spans="24:24" x14ac:dyDescent="0.35">
      <c r="X2493" s="8"/>
    </row>
    <row r="2494" spans="24:24" x14ac:dyDescent="0.35">
      <c r="X2494" s="8"/>
    </row>
    <row r="2495" spans="24:24" x14ac:dyDescent="0.35">
      <c r="X2495" s="8"/>
    </row>
    <row r="2496" spans="24:24" x14ac:dyDescent="0.35">
      <c r="X2496" s="8"/>
    </row>
    <row r="2497" spans="24:24" x14ac:dyDescent="0.35">
      <c r="X2497" s="8"/>
    </row>
    <row r="2498" spans="24:24" x14ac:dyDescent="0.35">
      <c r="X2498" s="8"/>
    </row>
    <row r="2499" spans="24:24" x14ac:dyDescent="0.35">
      <c r="X2499" s="8"/>
    </row>
    <row r="2500" spans="24:24" x14ac:dyDescent="0.35">
      <c r="X2500" s="8"/>
    </row>
    <row r="2501" spans="24:24" x14ac:dyDescent="0.35">
      <c r="X2501" s="8"/>
    </row>
    <row r="2502" spans="24:24" x14ac:dyDescent="0.35">
      <c r="X2502" s="8"/>
    </row>
    <row r="2503" spans="24:24" x14ac:dyDescent="0.35">
      <c r="X2503" s="8"/>
    </row>
    <row r="2504" spans="24:24" x14ac:dyDescent="0.35">
      <c r="X2504" s="8"/>
    </row>
    <row r="2505" spans="24:24" x14ac:dyDescent="0.35">
      <c r="X2505" s="8"/>
    </row>
    <row r="2506" spans="24:24" x14ac:dyDescent="0.35">
      <c r="X2506" s="8"/>
    </row>
    <row r="2507" spans="24:24" x14ac:dyDescent="0.35">
      <c r="X2507" s="8"/>
    </row>
    <row r="2508" spans="24:24" x14ac:dyDescent="0.35">
      <c r="X2508" s="8"/>
    </row>
    <row r="2509" spans="24:24" x14ac:dyDescent="0.35">
      <c r="X2509" s="8"/>
    </row>
    <row r="2510" spans="24:24" x14ac:dyDescent="0.35">
      <c r="X2510" s="8"/>
    </row>
    <row r="2511" spans="24:24" x14ac:dyDescent="0.35">
      <c r="X2511" s="8"/>
    </row>
    <row r="2512" spans="24:24" x14ac:dyDescent="0.35">
      <c r="X2512" s="8"/>
    </row>
    <row r="2513" spans="24:24" x14ac:dyDescent="0.35">
      <c r="X2513" s="8"/>
    </row>
    <row r="2514" spans="24:24" x14ac:dyDescent="0.35">
      <c r="X2514" s="8"/>
    </row>
    <row r="2515" spans="24:24" x14ac:dyDescent="0.35">
      <c r="X2515" s="8"/>
    </row>
    <row r="2516" spans="24:24" x14ac:dyDescent="0.35">
      <c r="X2516" s="8"/>
    </row>
    <row r="2517" spans="24:24" x14ac:dyDescent="0.35">
      <c r="X2517" s="8"/>
    </row>
    <row r="2518" spans="24:24" x14ac:dyDescent="0.35">
      <c r="X2518" s="8"/>
    </row>
    <row r="2519" spans="24:24" x14ac:dyDescent="0.35">
      <c r="X2519" s="8"/>
    </row>
    <row r="2520" spans="24:24" x14ac:dyDescent="0.35">
      <c r="X2520" s="8"/>
    </row>
    <row r="2521" spans="24:24" x14ac:dyDescent="0.35">
      <c r="X2521" s="8"/>
    </row>
    <row r="2522" spans="24:24" x14ac:dyDescent="0.35">
      <c r="X2522" s="8"/>
    </row>
    <row r="2523" spans="24:24" x14ac:dyDescent="0.35">
      <c r="X2523" s="8"/>
    </row>
    <row r="2524" spans="24:24" x14ac:dyDescent="0.35">
      <c r="X2524" s="8"/>
    </row>
    <row r="2525" spans="24:24" x14ac:dyDescent="0.35">
      <c r="X2525" s="8"/>
    </row>
    <row r="2526" spans="24:24" x14ac:dyDescent="0.35">
      <c r="X2526" s="8"/>
    </row>
    <row r="2527" spans="24:24" x14ac:dyDescent="0.35">
      <c r="X2527" s="8"/>
    </row>
    <row r="2528" spans="24:24" x14ac:dyDescent="0.35">
      <c r="X2528" s="8"/>
    </row>
    <row r="2529" spans="24:24" x14ac:dyDescent="0.35">
      <c r="X2529" s="8"/>
    </row>
    <row r="2530" spans="24:24" x14ac:dyDescent="0.35">
      <c r="X2530" s="8"/>
    </row>
    <row r="2531" spans="24:24" x14ac:dyDescent="0.35">
      <c r="X2531" s="8"/>
    </row>
    <row r="2532" spans="24:24" x14ac:dyDescent="0.35">
      <c r="X2532" s="8"/>
    </row>
    <row r="2533" spans="24:24" x14ac:dyDescent="0.35">
      <c r="X2533" s="8"/>
    </row>
    <row r="2534" spans="24:24" x14ac:dyDescent="0.35">
      <c r="X2534" s="8"/>
    </row>
    <row r="2535" spans="24:24" x14ac:dyDescent="0.35">
      <c r="X2535" s="8"/>
    </row>
    <row r="2536" spans="24:24" x14ac:dyDescent="0.35">
      <c r="X2536" s="8"/>
    </row>
    <row r="2537" spans="24:24" x14ac:dyDescent="0.35">
      <c r="X2537" s="8"/>
    </row>
    <row r="2538" spans="24:24" x14ac:dyDescent="0.35">
      <c r="X2538" s="8"/>
    </row>
    <row r="2539" spans="24:24" x14ac:dyDescent="0.35">
      <c r="X2539" s="8"/>
    </row>
    <row r="2540" spans="24:24" x14ac:dyDescent="0.35">
      <c r="X2540" s="8"/>
    </row>
    <row r="2541" spans="24:24" x14ac:dyDescent="0.35">
      <c r="X2541" s="8"/>
    </row>
    <row r="2542" spans="24:24" x14ac:dyDescent="0.35">
      <c r="X2542" s="8"/>
    </row>
    <row r="2543" spans="24:24" x14ac:dyDescent="0.35">
      <c r="X2543" s="8"/>
    </row>
    <row r="2544" spans="24:24" x14ac:dyDescent="0.35">
      <c r="X2544" s="8"/>
    </row>
    <row r="2545" spans="24:24" x14ac:dyDescent="0.35">
      <c r="X2545" s="8"/>
    </row>
    <row r="2546" spans="24:24" x14ac:dyDescent="0.35">
      <c r="X2546" s="8"/>
    </row>
    <row r="2547" spans="24:24" x14ac:dyDescent="0.35">
      <c r="X2547" s="8"/>
    </row>
    <row r="2548" spans="24:24" x14ac:dyDescent="0.35">
      <c r="X2548" s="8"/>
    </row>
    <row r="2549" spans="24:24" x14ac:dyDescent="0.35">
      <c r="X2549" s="8"/>
    </row>
    <row r="2550" spans="24:24" x14ac:dyDescent="0.35">
      <c r="X2550" s="8"/>
    </row>
    <row r="2551" spans="24:24" x14ac:dyDescent="0.35">
      <c r="X2551" s="8"/>
    </row>
    <row r="2552" spans="24:24" x14ac:dyDescent="0.35">
      <c r="X2552" s="8"/>
    </row>
    <row r="2553" spans="24:24" x14ac:dyDescent="0.35">
      <c r="X2553" s="8"/>
    </row>
    <row r="2554" spans="24:24" x14ac:dyDescent="0.35">
      <c r="X2554" s="8"/>
    </row>
    <row r="2555" spans="24:24" x14ac:dyDescent="0.35">
      <c r="X2555" s="8"/>
    </row>
    <row r="2556" spans="24:24" x14ac:dyDescent="0.35">
      <c r="X2556" s="8"/>
    </row>
    <row r="2557" spans="24:24" x14ac:dyDescent="0.35">
      <c r="X2557" s="8"/>
    </row>
    <row r="2558" spans="24:24" x14ac:dyDescent="0.35">
      <c r="X2558" s="8"/>
    </row>
    <row r="2559" spans="24:24" x14ac:dyDescent="0.35">
      <c r="X2559" s="8"/>
    </row>
    <row r="2560" spans="24:24" x14ac:dyDescent="0.35">
      <c r="X2560" s="8"/>
    </row>
    <row r="2561" spans="24:24" x14ac:dyDescent="0.35">
      <c r="X2561" s="8"/>
    </row>
    <row r="2562" spans="24:24" x14ac:dyDescent="0.35">
      <c r="X2562" s="8"/>
    </row>
    <row r="2563" spans="24:24" x14ac:dyDescent="0.35">
      <c r="X2563" s="8"/>
    </row>
    <row r="2564" spans="24:24" x14ac:dyDescent="0.35">
      <c r="X2564" s="8"/>
    </row>
    <row r="2565" spans="24:24" x14ac:dyDescent="0.35">
      <c r="X2565" s="8"/>
    </row>
    <row r="2566" spans="24:24" x14ac:dyDescent="0.35">
      <c r="X2566" s="8"/>
    </row>
    <row r="2567" spans="24:24" x14ac:dyDescent="0.35">
      <c r="X2567" s="8"/>
    </row>
    <row r="2568" spans="24:24" x14ac:dyDescent="0.35">
      <c r="X2568" s="8"/>
    </row>
    <row r="2569" spans="24:24" x14ac:dyDescent="0.35">
      <c r="X2569" s="8"/>
    </row>
    <row r="2570" spans="24:24" x14ac:dyDescent="0.35">
      <c r="X2570" s="8"/>
    </row>
    <row r="2571" spans="24:24" x14ac:dyDescent="0.35">
      <c r="X2571" s="8"/>
    </row>
    <row r="2572" spans="24:24" x14ac:dyDescent="0.35">
      <c r="X2572" s="8"/>
    </row>
    <row r="2573" spans="24:24" x14ac:dyDescent="0.35">
      <c r="X2573" s="8"/>
    </row>
    <row r="2574" spans="24:24" x14ac:dyDescent="0.35">
      <c r="X2574" s="8"/>
    </row>
    <row r="2575" spans="24:24" x14ac:dyDescent="0.35">
      <c r="X2575" s="8"/>
    </row>
    <row r="2576" spans="24:24" x14ac:dyDescent="0.35">
      <c r="X2576" s="8"/>
    </row>
    <row r="2577" spans="24:24" x14ac:dyDescent="0.35">
      <c r="X2577" s="8"/>
    </row>
    <row r="2578" spans="24:24" x14ac:dyDescent="0.35">
      <c r="X2578" s="8"/>
    </row>
    <row r="2579" spans="24:24" x14ac:dyDescent="0.35">
      <c r="X2579" s="8"/>
    </row>
    <row r="2580" spans="24:24" x14ac:dyDescent="0.35">
      <c r="X2580" s="8"/>
    </row>
    <row r="2581" spans="24:24" x14ac:dyDescent="0.35">
      <c r="X2581" s="8"/>
    </row>
    <row r="2582" spans="24:24" x14ac:dyDescent="0.35">
      <c r="X2582" s="8"/>
    </row>
    <row r="2583" spans="24:24" x14ac:dyDescent="0.35">
      <c r="X2583" s="8"/>
    </row>
    <row r="2584" spans="24:24" x14ac:dyDescent="0.35">
      <c r="X2584" s="8"/>
    </row>
    <row r="2585" spans="24:24" x14ac:dyDescent="0.35">
      <c r="X2585" s="8"/>
    </row>
    <row r="2586" spans="24:24" x14ac:dyDescent="0.35">
      <c r="X2586" s="8"/>
    </row>
    <row r="2587" spans="24:24" x14ac:dyDescent="0.35">
      <c r="X2587" s="8"/>
    </row>
    <row r="2588" spans="24:24" x14ac:dyDescent="0.35">
      <c r="X2588" s="8"/>
    </row>
    <row r="2589" spans="24:24" x14ac:dyDescent="0.35">
      <c r="X2589" s="8"/>
    </row>
    <row r="2590" spans="24:24" x14ac:dyDescent="0.35">
      <c r="X2590" s="8"/>
    </row>
    <row r="2591" spans="24:24" x14ac:dyDescent="0.35">
      <c r="X2591" s="8"/>
    </row>
    <row r="2592" spans="24:24" x14ac:dyDescent="0.35">
      <c r="X2592" s="8"/>
    </row>
    <row r="2593" spans="24:24" x14ac:dyDescent="0.35">
      <c r="X2593" s="8"/>
    </row>
    <row r="2594" spans="24:24" x14ac:dyDescent="0.35">
      <c r="X2594" s="8"/>
    </row>
    <row r="2595" spans="24:24" x14ac:dyDescent="0.35">
      <c r="X2595" s="8"/>
    </row>
    <row r="2596" spans="24:24" x14ac:dyDescent="0.35">
      <c r="X2596" s="8"/>
    </row>
    <row r="2597" spans="24:24" x14ac:dyDescent="0.35">
      <c r="X2597" s="8"/>
    </row>
    <row r="2598" spans="24:24" x14ac:dyDescent="0.35">
      <c r="X2598" s="8"/>
    </row>
    <row r="2599" spans="24:24" x14ac:dyDescent="0.35">
      <c r="X2599" s="8"/>
    </row>
    <row r="2600" spans="24:24" x14ac:dyDescent="0.35">
      <c r="X2600" s="8"/>
    </row>
    <row r="2601" spans="24:24" x14ac:dyDescent="0.35">
      <c r="X2601" s="8"/>
    </row>
    <row r="2602" spans="24:24" x14ac:dyDescent="0.35">
      <c r="X2602" s="8"/>
    </row>
    <row r="2603" spans="24:24" x14ac:dyDescent="0.35">
      <c r="X2603" s="8"/>
    </row>
    <row r="2604" spans="24:24" x14ac:dyDescent="0.35">
      <c r="X2604" s="8"/>
    </row>
    <row r="2605" spans="24:24" x14ac:dyDescent="0.35">
      <c r="X2605" s="8"/>
    </row>
    <row r="2606" spans="24:24" x14ac:dyDescent="0.35">
      <c r="X2606" s="8"/>
    </row>
    <row r="2607" spans="24:24" x14ac:dyDescent="0.35">
      <c r="X2607" s="8"/>
    </row>
    <row r="2608" spans="24:24" x14ac:dyDescent="0.35">
      <c r="X2608" s="8"/>
    </row>
    <row r="2609" spans="24:24" x14ac:dyDescent="0.35">
      <c r="X2609" s="8"/>
    </row>
    <row r="2610" spans="24:24" x14ac:dyDescent="0.35">
      <c r="X2610" s="8"/>
    </row>
    <row r="2611" spans="24:24" x14ac:dyDescent="0.35">
      <c r="X2611" s="8"/>
    </row>
    <row r="2612" spans="24:24" x14ac:dyDescent="0.35">
      <c r="X2612" s="8"/>
    </row>
    <row r="2613" spans="24:24" x14ac:dyDescent="0.35">
      <c r="X2613" s="8"/>
    </row>
    <row r="2614" spans="24:24" x14ac:dyDescent="0.35">
      <c r="X2614" s="8"/>
    </row>
    <row r="2615" spans="24:24" x14ac:dyDescent="0.35">
      <c r="X2615" s="8"/>
    </row>
    <row r="2616" spans="24:24" x14ac:dyDescent="0.35">
      <c r="X2616" s="8"/>
    </row>
    <row r="2617" spans="24:24" x14ac:dyDescent="0.35">
      <c r="X2617" s="8"/>
    </row>
    <row r="2618" spans="24:24" x14ac:dyDescent="0.35">
      <c r="X2618" s="8"/>
    </row>
    <row r="2619" spans="24:24" x14ac:dyDescent="0.35">
      <c r="X2619" s="8"/>
    </row>
    <row r="2620" spans="24:24" x14ac:dyDescent="0.35">
      <c r="X2620" s="8"/>
    </row>
    <row r="2621" spans="24:24" x14ac:dyDescent="0.35">
      <c r="X2621" s="8"/>
    </row>
    <row r="2622" spans="24:24" x14ac:dyDescent="0.35">
      <c r="X2622" s="8"/>
    </row>
    <row r="2623" spans="24:24" x14ac:dyDescent="0.35">
      <c r="X2623" s="8"/>
    </row>
    <row r="2624" spans="24:24" x14ac:dyDescent="0.35">
      <c r="X2624" s="8"/>
    </row>
    <row r="2625" spans="24:24" x14ac:dyDescent="0.35">
      <c r="X2625" s="8"/>
    </row>
    <row r="2626" spans="24:24" x14ac:dyDescent="0.35">
      <c r="X2626" s="8"/>
    </row>
    <row r="2627" spans="24:24" x14ac:dyDescent="0.35">
      <c r="X2627" s="8"/>
    </row>
    <row r="2628" spans="24:24" x14ac:dyDescent="0.35">
      <c r="X2628" s="8"/>
    </row>
    <row r="2629" spans="24:24" x14ac:dyDescent="0.35">
      <c r="X2629" s="8"/>
    </row>
    <row r="2630" spans="24:24" x14ac:dyDescent="0.35">
      <c r="X2630" s="8"/>
    </row>
    <row r="2631" spans="24:24" x14ac:dyDescent="0.35">
      <c r="X2631" s="8"/>
    </row>
    <row r="2632" spans="24:24" x14ac:dyDescent="0.35">
      <c r="X2632" s="8"/>
    </row>
    <row r="2633" spans="24:24" x14ac:dyDescent="0.35">
      <c r="X2633" s="8"/>
    </row>
    <row r="2634" spans="24:24" x14ac:dyDescent="0.35">
      <c r="X2634" s="8"/>
    </row>
    <row r="2635" spans="24:24" x14ac:dyDescent="0.35">
      <c r="X2635" s="8"/>
    </row>
    <row r="2636" spans="24:24" x14ac:dyDescent="0.35">
      <c r="X2636" s="8"/>
    </row>
    <row r="2637" spans="24:24" x14ac:dyDescent="0.35">
      <c r="X2637" s="8"/>
    </row>
    <row r="2638" spans="24:24" x14ac:dyDescent="0.35">
      <c r="X2638" s="8"/>
    </row>
    <row r="2639" spans="24:24" x14ac:dyDescent="0.35">
      <c r="X2639" s="8"/>
    </row>
    <row r="2640" spans="24:24" x14ac:dyDescent="0.35">
      <c r="X2640" s="8"/>
    </row>
    <row r="2641" spans="24:24" x14ac:dyDescent="0.35">
      <c r="X2641" s="8"/>
    </row>
    <row r="2642" spans="24:24" x14ac:dyDescent="0.35">
      <c r="X2642" s="8"/>
    </row>
    <row r="2643" spans="24:24" x14ac:dyDescent="0.35">
      <c r="X2643" s="8"/>
    </row>
    <row r="2644" spans="24:24" x14ac:dyDescent="0.35">
      <c r="X2644" s="8"/>
    </row>
    <row r="2645" spans="24:24" x14ac:dyDescent="0.35">
      <c r="X2645" s="8"/>
    </row>
    <row r="2646" spans="24:24" x14ac:dyDescent="0.35">
      <c r="X2646" s="8"/>
    </row>
    <row r="2647" spans="24:24" x14ac:dyDescent="0.35">
      <c r="X2647" s="8"/>
    </row>
    <row r="2648" spans="24:24" x14ac:dyDescent="0.35">
      <c r="X2648" s="8"/>
    </row>
    <row r="2649" spans="24:24" x14ac:dyDescent="0.35">
      <c r="X2649" s="8"/>
    </row>
    <row r="2650" spans="24:24" x14ac:dyDescent="0.35">
      <c r="X2650" s="8"/>
    </row>
    <row r="2651" spans="24:24" x14ac:dyDescent="0.35">
      <c r="X2651" s="8"/>
    </row>
    <row r="2652" spans="24:24" x14ac:dyDescent="0.35">
      <c r="X2652" s="8"/>
    </row>
    <row r="2653" spans="24:24" x14ac:dyDescent="0.35">
      <c r="X2653" s="8"/>
    </row>
    <row r="2654" spans="24:24" x14ac:dyDescent="0.35">
      <c r="X2654" s="8"/>
    </row>
    <row r="2655" spans="24:24" x14ac:dyDescent="0.35">
      <c r="X2655" s="8"/>
    </row>
    <row r="2656" spans="24:24" x14ac:dyDescent="0.35">
      <c r="X2656" s="8"/>
    </row>
    <row r="2657" spans="24:24" x14ac:dyDescent="0.35">
      <c r="X2657" s="8"/>
    </row>
    <row r="2658" spans="24:24" x14ac:dyDescent="0.35">
      <c r="X2658" s="8"/>
    </row>
    <row r="2659" spans="24:24" x14ac:dyDescent="0.35">
      <c r="X2659" s="8"/>
    </row>
    <row r="2660" spans="24:24" x14ac:dyDescent="0.35">
      <c r="X2660" s="8"/>
    </row>
    <row r="2661" spans="24:24" x14ac:dyDescent="0.35">
      <c r="X2661" s="8"/>
    </row>
    <row r="2662" spans="24:24" x14ac:dyDescent="0.35">
      <c r="X2662" s="8"/>
    </row>
    <row r="2663" spans="24:24" x14ac:dyDescent="0.35">
      <c r="X2663" s="8"/>
    </row>
    <row r="2664" spans="24:24" x14ac:dyDescent="0.35">
      <c r="X2664" s="8"/>
    </row>
    <row r="2665" spans="24:24" x14ac:dyDescent="0.35">
      <c r="X2665" s="8"/>
    </row>
    <row r="2666" spans="24:24" x14ac:dyDescent="0.35">
      <c r="X2666" s="8"/>
    </row>
    <row r="2667" spans="24:24" x14ac:dyDescent="0.35">
      <c r="X2667" s="8"/>
    </row>
    <row r="2668" spans="24:24" x14ac:dyDescent="0.35">
      <c r="X2668" s="8"/>
    </row>
    <row r="2669" spans="24:24" x14ac:dyDescent="0.35">
      <c r="X2669" s="8"/>
    </row>
    <row r="2670" spans="24:24" x14ac:dyDescent="0.35">
      <c r="X2670" s="8"/>
    </row>
    <row r="2671" spans="24:24" x14ac:dyDescent="0.35">
      <c r="X2671" s="8"/>
    </row>
    <row r="2672" spans="24:24" x14ac:dyDescent="0.35">
      <c r="X2672" s="8"/>
    </row>
    <row r="2673" spans="24:24" x14ac:dyDescent="0.35">
      <c r="X2673" s="8"/>
    </row>
    <row r="2674" spans="24:24" x14ac:dyDescent="0.35">
      <c r="X2674" s="8"/>
    </row>
    <row r="2675" spans="24:24" x14ac:dyDescent="0.35">
      <c r="X2675" s="8"/>
    </row>
    <row r="2676" spans="24:24" x14ac:dyDescent="0.35">
      <c r="X2676" s="8"/>
    </row>
    <row r="2677" spans="24:24" x14ac:dyDescent="0.35">
      <c r="X2677" s="8"/>
    </row>
    <row r="2678" spans="24:24" x14ac:dyDescent="0.35">
      <c r="X2678" s="8"/>
    </row>
    <row r="2679" spans="24:24" x14ac:dyDescent="0.35">
      <c r="X2679" s="8"/>
    </row>
    <row r="2680" spans="24:24" x14ac:dyDescent="0.35">
      <c r="X2680" s="8"/>
    </row>
    <row r="2681" spans="24:24" x14ac:dyDescent="0.35">
      <c r="X2681" s="8"/>
    </row>
    <row r="2682" spans="24:24" x14ac:dyDescent="0.35">
      <c r="X2682" s="8"/>
    </row>
    <row r="2683" spans="24:24" x14ac:dyDescent="0.35">
      <c r="X2683" s="8"/>
    </row>
    <row r="2684" spans="24:24" x14ac:dyDescent="0.35">
      <c r="X2684" s="8"/>
    </row>
    <row r="2685" spans="24:24" x14ac:dyDescent="0.35">
      <c r="X2685" s="8"/>
    </row>
    <row r="2686" spans="24:24" x14ac:dyDescent="0.35">
      <c r="X2686" s="8"/>
    </row>
    <row r="2687" spans="24:24" x14ac:dyDescent="0.35">
      <c r="X2687" s="8"/>
    </row>
    <row r="2688" spans="24:24" x14ac:dyDescent="0.35">
      <c r="X2688" s="8"/>
    </row>
    <row r="2689" spans="24:24" x14ac:dyDescent="0.35">
      <c r="X2689" s="8"/>
    </row>
    <row r="2690" spans="24:24" x14ac:dyDescent="0.35">
      <c r="X2690" s="8"/>
    </row>
    <row r="2691" spans="24:24" x14ac:dyDescent="0.35">
      <c r="X2691" s="8"/>
    </row>
    <row r="2692" spans="24:24" x14ac:dyDescent="0.35">
      <c r="X2692" s="8"/>
    </row>
    <row r="2693" spans="24:24" x14ac:dyDescent="0.35">
      <c r="X2693" s="8"/>
    </row>
    <row r="2694" spans="24:24" x14ac:dyDescent="0.35">
      <c r="X2694" s="8"/>
    </row>
    <row r="2695" spans="24:24" x14ac:dyDescent="0.35">
      <c r="X2695" s="8"/>
    </row>
    <row r="2696" spans="24:24" x14ac:dyDescent="0.35">
      <c r="X2696" s="8"/>
    </row>
    <row r="2697" spans="24:24" x14ac:dyDescent="0.35">
      <c r="X2697" s="8"/>
    </row>
    <row r="2698" spans="24:24" x14ac:dyDescent="0.35">
      <c r="X2698" s="8"/>
    </row>
    <row r="2699" spans="24:24" x14ac:dyDescent="0.35">
      <c r="X2699" s="8"/>
    </row>
    <row r="2700" spans="24:24" x14ac:dyDescent="0.35">
      <c r="X2700" s="8"/>
    </row>
    <row r="2701" spans="24:24" x14ac:dyDescent="0.35">
      <c r="X2701" s="8"/>
    </row>
    <row r="2702" spans="24:24" x14ac:dyDescent="0.35">
      <c r="X2702" s="8"/>
    </row>
    <row r="2703" spans="24:24" x14ac:dyDescent="0.35">
      <c r="X2703" s="8"/>
    </row>
    <row r="2704" spans="24:24" x14ac:dyDescent="0.35">
      <c r="X2704" s="8"/>
    </row>
    <row r="2705" spans="24:24" x14ac:dyDescent="0.35">
      <c r="X2705" s="8"/>
    </row>
    <row r="2706" spans="24:24" x14ac:dyDescent="0.35">
      <c r="X2706" s="8"/>
    </row>
    <row r="2707" spans="24:24" x14ac:dyDescent="0.35">
      <c r="X2707" s="8"/>
    </row>
    <row r="2708" spans="24:24" x14ac:dyDescent="0.35">
      <c r="X2708" s="8"/>
    </row>
    <row r="2709" spans="24:24" x14ac:dyDescent="0.35">
      <c r="X2709" s="8"/>
    </row>
    <row r="2710" spans="24:24" x14ac:dyDescent="0.35">
      <c r="X2710" s="8"/>
    </row>
    <row r="2711" spans="24:24" x14ac:dyDescent="0.35">
      <c r="X2711" s="8"/>
    </row>
    <row r="2712" spans="24:24" x14ac:dyDescent="0.35">
      <c r="X2712" s="8"/>
    </row>
    <row r="2713" spans="24:24" x14ac:dyDescent="0.35">
      <c r="X2713" s="8"/>
    </row>
    <row r="2714" spans="24:24" x14ac:dyDescent="0.35">
      <c r="X2714" s="8"/>
    </row>
    <row r="2715" spans="24:24" x14ac:dyDescent="0.35">
      <c r="X2715" s="8"/>
    </row>
    <row r="2716" spans="24:24" x14ac:dyDescent="0.35">
      <c r="X2716" s="8"/>
    </row>
    <row r="2717" spans="24:24" x14ac:dyDescent="0.35">
      <c r="X2717" s="8"/>
    </row>
    <row r="2718" spans="24:24" x14ac:dyDescent="0.35">
      <c r="X2718" s="8"/>
    </row>
    <row r="2719" spans="24:24" x14ac:dyDescent="0.35">
      <c r="X2719" s="8"/>
    </row>
    <row r="2720" spans="24:24" x14ac:dyDescent="0.35">
      <c r="X2720" s="8"/>
    </row>
    <row r="2721" spans="24:24" x14ac:dyDescent="0.35">
      <c r="X2721" s="8"/>
    </row>
    <row r="2722" spans="24:24" x14ac:dyDescent="0.35">
      <c r="X2722" s="8"/>
    </row>
    <row r="2723" spans="24:24" x14ac:dyDescent="0.35">
      <c r="X2723" s="8"/>
    </row>
    <row r="2724" spans="24:24" x14ac:dyDescent="0.35">
      <c r="X2724" s="8"/>
    </row>
    <row r="2725" spans="24:24" x14ac:dyDescent="0.35">
      <c r="X2725" s="8"/>
    </row>
    <row r="2726" spans="24:24" x14ac:dyDescent="0.35">
      <c r="X2726" s="8"/>
    </row>
    <row r="2727" spans="24:24" x14ac:dyDescent="0.35">
      <c r="X2727" s="8"/>
    </row>
    <row r="2728" spans="24:24" x14ac:dyDescent="0.35">
      <c r="X2728" s="8"/>
    </row>
    <row r="2729" spans="24:24" x14ac:dyDescent="0.35">
      <c r="X2729" s="8"/>
    </row>
    <row r="2730" spans="24:24" x14ac:dyDescent="0.35">
      <c r="X2730" s="8"/>
    </row>
    <row r="2731" spans="24:24" x14ac:dyDescent="0.35">
      <c r="X2731" s="8"/>
    </row>
    <row r="2732" spans="24:24" x14ac:dyDescent="0.35">
      <c r="X2732" s="8"/>
    </row>
    <row r="2733" spans="24:24" x14ac:dyDescent="0.35">
      <c r="X2733" s="8"/>
    </row>
    <row r="2734" spans="24:24" x14ac:dyDescent="0.35">
      <c r="X2734" s="8"/>
    </row>
    <row r="2735" spans="24:24" x14ac:dyDescent="0.35">
      <c r="X2735" s="8"/>
    </row>
    <row r="2736" spans="24:24" x14ac:dyDescent="0.35">
      <c r="X2736" s="8"/>
    </row>
    <row r="2737" spans="24:24" x14ac:dyDescent="0.35">
      <c r="X2737" s="8"/>
    </row>
    <row r="2738" spans="24:24" x14ac:dyDescent="0.35">
      <c r="X2738" s="8"/>
    </row>
    <row r="2739" spans="24:24" x14ac:dyDescent="0.35">
      <c r="X2739" s="8"/>
    </row>
    <row r="2740" spans="24:24" x14ac:dyDescent="0.35">
      <c r="X2740" s="8"/>
    </row>
    <row r="2741" spans="24:24" x14ac:dyDescent="0.35">
      <c r="X2741" s="8"/>
    </row>
    <row r="2742" spans="24:24" x14ac:dyDescent="0.35">
      <c r="X2742" s="8"/>
    </row>
    <row r="2743" spans="24:24" x14ac:dyDescent="0.35">
      <c r="X2743" s="8"/>
    </row>
    <row r="2744" spans="24:24" x14ac:dyDescent="0.35">
      <c r="X2744" s="8"/>
    </row>
    <row r="2745" spans="24:24" x14ac:dyDescent="0.35">
      <c r="X2745" s="8"/>
    </row>
    <row r="2746" spans="24:24" x14ac:dyDescent="0.35">
      <c r="X2746" s="8"/>
    </row>
    <row r="2747" spans="24:24" x14ac:dyDescent="0.35">
      <c r="X2747" s="8"/>
    </row>
    <row r="2748" spans="24:24" x14ac:dyDescent="0.35">
      <c r="X2748" s="8"/>
    </row>
    <row r="2749" spans="24:24" x14ac:dyDescent="0.35">
      <c r="X2749" s="8"/>
    </row>
    <row r="2750" spans="24:24" x14ac:dyDescent="0.35">
      <c r="X2750" s="8"/>
    </row>
    <row r="2751" spans="24:24" x14ac:dyDescent="0.35">
      <c r="X2751" s="8"/>
    </row>
    <row r="2752" spans="24:24" x14ac:dyDescent="0.35">
      <c r="X2752" s="8"/>
    </row>
    <row r="2753" spans="24:24" x14ac:dyDescent="0.35">
      <c r="X2753" s="8"/>
    </row>
    <row r="2754" spans="24:24" x14ac:dyDescent="0.35">
      <c r="X2754" s="8"/>
    </row>
    <row r="2755" spans="24:24" x14ac:dyDescent="0.35">
      <c r="X2755" s="8"/>
    </row>
    <row r="2756" spans="24:24" x14ac:dyDescent="0.35">
      <c r="X2756" s="8"/>
    </row>
    <row r="2757" spans="24:24" x14ac:dyDescent="0.35">
      <c r="X2757" s="8"/>
    </row>
    <row r="2758" spans="24:24" x14ac:dyDescent="0.35">
      <c r="X2758" s="8"/>
    </row>
    <row r="2759" spans="24:24" x14ac:dyDescent="0.35">
      <c r="X2759" s="8"/>
    </row>
    <row r="2760" spans="24:24" x14ac:dyDescent="0.35">
      <c r="X2760" s="8"/>
    </row>
    <row r="2761" spans="24:24" x14ac:dyDescent="0.35">
      <c r="X2761" s="8"/>
    </row>
    <row r="2762" spans="24:24" x14ac:dyDescent="0.35">
      <c r="X2762" s="8"/>
    </row>
    <row r="2763" spans="24:24" x14ac:dyDescent="0.35">
      <c r="X2763" s="8"/>
    </row>
    <row r="2764" spans="24:24" x14ac:dyDescent="0.35">
      <c r="X2764" s="8"/>
    </row>
    <row r="2765" spans="24:24" x14ac:dyDescent="0.35">
      <c r="X2765" s="8"/>
    </row>
    <row r="2766" spans="24:24" x14ac:dyDescent="0.35">
      <c r="X2766" s="8"/>
    </row>
    <row r="2767" spans="24:24" x14ac:dyDescent="0.35">
      <c r="X2767" s="8"/>
    </row>
    <row r="2768" spans="24:24" x14ac:dyDescent="0.35">
      <c r="X2768" s="8"/>
    </row>
    <row r="2769" spans="24:24" x14ac:dyDescent="0.35">
      <c r="X2769" s="8"/>
    </row>
    <row r="2770" spans="24:24" x14ac:dyDescent="0.35">
      <c r="X2770" s="8"/>
    </row>
    <row r="2771" spans="24:24" x14ac:dyDescent="0.35">
      <c r="X2771" s="8"/>
    </row>
    <row r="2772" spans="24:24" x14ac:dyDescent="0.35">
      <c r="X2772" s="8"/>
    </row>
    <row r="2773" spans="24:24" x14ac:dyDescent="0.35">
      <c r="X2773" s="8"/>
    </row>
    <row r="2774" spans="24:24" x14ac:dyDescent="0.35">
      <c r="X2774" s="8"/>
    </row>
    <row r="2775" spans="24:24" x14ac:dyDescent="0.35">
      <c r="X2775" s="8"/>
    </row>
    <row r="2776" spans="24:24" x14ac:dyDescent="0.35">
      <c r="X2776" s="8"/>
    </row>
    <row r="2777" spans="24:24" x14ac:dyDescent="0.35">
      <c r="X2777" s="8"/>
    </row>
    <row r="2778" spans="24:24" x14ac:dyDescent="0.35">
      <c r="X2778" s="8"/>
    </row>
    <row r="2779" spans="24:24" x14ac:dyDescent="0.35">
      <c r="X2779" s="8"/>
    </row>
    <row r="2780" spans="24:24" x14ac:dyDescent="0.35">
      <c r="X2780" s="8"/>
    </row>
    <row r="2781" spans="24:24" x14ac:dyDescent="0.35">
      <c r="X2781" s="8"/>
    </row>
    <row r="2782" spans="24:24" x14ac:dyDescent="0.35">
      <c r="X2782" s="8"/>
    </row>
    <row r="2783" spans="24:24" x14ac:dyDescent="0.35">
      <c r="X2783" s="8"/>
    </row>
    <row r="2784" spans="24:24" x14ac:dyDescent="0.35">
      <c r="X2784" s="8"/>
    </row>
    <row r="2785" spans="24:24" x14ac:dyDescent="0.35">
      <c r="X2785" s="8"/>
    </row>
    <row r="2786" spans="24:24" x14ac:dyDescent="0.35">
      <c r="X2786" s="8"/>
    </row>
    <row r="2787" spans="24:24" x14ac:dyDescent="0.35">
      <c r="X2787" s="8"/>
    </row>
    <row r="2788" spans="24:24" x14ac:dyDescent="0.35">
      <c r="X2788" s="8"/>
    </row>
    <row r="2789" spans="24:24" x14ac:dyDescent="0.35">
      <c r="X2789" s="8"/>
    </row>
    <row r="2790" spans="24:24" x14ac:dyDescent="0.35">
      <c r="X2790" s="8"/>
    </row>
    <row r="2791" spans="24:24" x14ac:dyDescent="0.35">
      <c r="X2791" s="8"/>
    </row>
    <row r="2792" spans="24:24" x14ac:dyDescent="0.35">
      <c r="X2792" s="8"/>
    </row>
    <row r="2793" spans="24:24" x14ac:dyDescent="0.35">
      <c r="X2793" s="8"/>
    </row>
    <row r="2794" spans="24:24" x14ac:dyDescent="0.35">
      <c r="X2794" s="8"/>
    </row>
    <row r="2795" spans="24:24" x14ac:dyDescent="0.35">
      <c r="X2795" s="8"/>
    </row>
    <row r="2796" spans="24:24" x14ac:dyDescent="0.35">
      <c r="X2796" s="8"/>
    </row>
    <row r="2797" spans="24:24" x14ac:dyDescent="0.35">
      <c r="X2797" s="8"/>
    </row>
    <row r="2798" spans="24:24" x14ac:dyDescent="0.35">
      <c r="X2798" s="8"/>
    </row>
    <row r="2799" spans="24:24" x14ac:dyDescent="0.35">
      <c r="X2799" s="8"/>
    </row>
    <row r="2800" spans="24:24" x14ac:dyDescent="0.35">
      <c r="X2800" s="8"/>
    </row>
    <row r="2801" spans="24:24" x14ac:dyDescent="0.35">
      <c r="X2801" s="8"/>
    </row>
    <row r="2802" spans="24:24" x14ac:dyDescent="0.35">
      <c r="X2802" s="8"/>
    </row>
    <row r="2803" spans="24:24" x14ac:dyDescent="0.35">
      <c r="X2803" s="8"/>
    </row>
    <row r="2804" spans="24:24" x14ac:dyDescent="0.35">
      <c r="X2804" s="8"/>
    </row>
    <row r="2805" spans="24:24" x14ac:dyDescent="0.35">
      <c r="X2805" s="8"/>
    </row>
    <row r="2806" spans="24:24" x14ac:dyDescent="0.35">
      <c r="X2806" s="8"/>
    </row>
    <row r="2807" spans="24:24" x14ac:dyDescent="0.35">
      <c r="X2807" s="8"/>
    </row>
    <row r="2808" spans="24:24" x14ac:dyDescent="0.35">
      <c r="X2808" s="8"/>
    </row>
    <row r="2809" spans="24:24" x14ac:dyDescent="0.35">
      <c r="X2809" s="8"/>
    </row>
    <row r="2810" spans="24:24" x14ac:dyDescent="0.35">
      <c r="X2810" s="8"/>
    </row>
    <row r="2811" spans="24:24" x14ac:dyDescent="0.35">
      <c r="X2811" s="8"/>
    </row>
    <row r="2812" spans="24:24" x14ac:dyDescent="0.35">
      <c r="X2812" s="8"/>
    </row>
    <row r="2813" spans="24:24" x14ac:dyDescent="0.35">
      <c r="X2813" s="8"/>
    </row>
    <row r="2814" spans="24:24" x14ac:dyDescent="0.35">
      <c r="X2814" s="8"/>
    </row>
    <row r="2815" spans="24:24" x14ac:dyDescent="0.35">
      <c r="X2815" s="8"/>
    </row>
    <row r="2816" spans="24:24" x14ac:dyDescent="0.35">
      <c r="X2816" s="8"/>
    </row>
    <row r="2817" spans="24:24" x14ac:dyDescent="0.35">
      <c r="X2817" s="8"/>
    </row>
    <row r="2818" spans="24:24" x14ac:dyDescent="0.35">
      <c r="X2818" s="8"/>
    </row>
    <row r="2819" spans="24:24" x14ac:dyDescent="0.35">
      <c r="X2819" s="8"/>
    </row>
    <row r="2820" spans="24:24" x14ac:dyDescent="0.35">
      <c r="X2820" s="8"/>
    </row>
    <row r="2821" spans="24:24" x14ac:dyDescent="0.35">
      <c r="X2821" s="8"/>
    </row>
    <row r="2822" spans="24:24" x14ac:dyDescent="0.35">
      <c r="X2822" s="8"/>
    </row>
    <row r="2823" spans="24:24" x14ac:dyDescent="0.35">
      <c r="X2823" s="8"/>
    </row>
    <row r="2824" spans="24:24" x14ac:dyDescent="0.35">
      <c r="X2824" s="8"/>
    </row>
    <row r="2825" spans="24:24" x14ac:dyDescent="0.35">
      <c r="X2825" s="8"/>
    </row>
    <row r="2826" spans="24:24" x14ac:dyDescent="0.35">
      <c r="X2826" s="8"/>
    </row>
    <row r="2827" spans="24:24" x14ac:dyDescent="0.35">
      <c r="X2827" s="8"/>
    </row>
    <row r="2828" spans="24:24" x14ac:dyDescent="0.35">
      <c r="X2828" s="8"/>
    </row>
    <row r="2829" spans="24:24" x14ac:dyDescent="0.35">
      <c r="X2829" s="8"/>
    </row>
    <row r="2830" spans="24:24" x14ac:dyDescent="0.35">
      <c r="X2830" s="8"/>
    </row>
    <row r="2831" spans="24:24" x14ac:dyDescent="0.35">
      <c r="X2831" s="8"/>
    </row>
    <row r="2832" spans="24:24" x14ac:dyDescent="0.35">
      <c r="X2832" s="8"/>
    </row>
    <row r="2833" spans="24:24" x14ac:dyDescent="0.35">
      <c r="X2833" s="8"/>
    </row>
    <row r="2834" spans="24:24" x14ac:dyDescent="0.35">
      <c r="X2834" s="8"/>
    </row>
    <row r="2835" spans="24:24" x14ac:dyDescent="0.35">
      <c r="X2835" s="8"/>
    </row>
    <row r="2836" spans="24:24" x14ac:dyDescent="0.35">
      <c r="X2836" s="8"/>
    </row>
    <row r="2837" spans="24:24" x14ac:dyDescent="0.35">
      <c r="X2837" s="8"/>
    </row>
    <row r="2838" spans="24:24" x14ac:dyDescent="0.35">
      <c r="X2838" s="8"/>
    </row>
    <row r="2839" spans="24:24" x14ac:dyDescent="0.35">
      <c r="X2839" s="8"/>
    </row>
    <row r="2840" spans="24:24" x14ac:dyDescent="0.35">
      <c r="X2840" s="8"/>
    </row>
    <row r="2841" spans="24:24" x14ac:dyDescent="0.35">
      <c r="X2841" s="8"/>
    </row>
    <row r="2842" spans="24:24" x14ac:dyDescent="0.35">
      <c r="X2842" s="8"/>
    </row>
    <row r="2843" spans="24:24" x14ac:dyDescent="0.35">
      <c r="X2843" s="8"/>
    </row>
    <row r="2844" spans="24:24" x14ac:dyDescent="0.35">
      <c r="X2844" s="8"/>
    </row>
    <row r="2845" spans="24:24" x14ac:dyDescent="0.35">
      <c r="X2845" s="8"/>
    </row>
    <row r="2846" spans="24:24" x14ac:dyDescent="0.35">
      <c r="X2846" s="8"/>
    </row>
    <row r="2847" spans="24:24" x14ac:dyDescent="0.35">
      <c r="X2847" s="8"/>
    </row>
    <row r="2848" spans="24:24" x14ac:dyDescent="0.35">
      <c r="X2848" s="8"/>
    </row>
    <row r="2849" spans="24:24" x14ac:dyDescent="0.35">
      <c r="X2849" s="8"/>
    </row>
    <row r="2850" spans="24:24" x14ac:dyDescent="0.35">
      <c r="X2850" s="8"/>
    </row>
    <row r="2851" spans="24:24" x14ac:dyDescent="0.35">
      <c r="X2851" s="8"/>
    </row>
    <row r="2852" spans="24:24" x14ac:dyDescent="0.35">
      <c r="X2852" s="8"/>
    </row>
    <row r="2853" spans="24:24" x14ac:dyDescent="0.35">
      <c r="X2853" s="8"/>
    </row>
    <row r="2854" spans="24:24" x14ac:dyDescent="0.35">
      <c r="X2854" s="8"/>
    </row>
    <row r="2855" spans="24:24" x14ac:dyDescent="0.35">
      <c r="X2855" s="8"/>
    </row>
    <row r="2856" spans="24:24" x14ac:dyDescent="0.35">
      <c r="X2856" s="8"/>
    </row>
    <row r="2857" spans="24:24" x14ac:dyDescent="0.35">
      <c r="X2857" s="8"/>
    </row>
    <row r="2858" spans="24:24" x14ac:dyDescent="0.35">
      <c r="X2858" s="8"/>
    </row>
    <row r="2859" spans="24:24" x14ac:dyDescent="0.35">
      <c r="X2859" s="8"/>
    </row>
    <row r="2860" spans="24:24" x14ac:dyDescent="0.35">
      <c r="X2860" s="8"/>
    </row>
    <row r="2861" spans="24:24" x14ac:dyDescent="0.35">
      <c r="X2861" s="8"/>
    </row>
    <row r="2862" spans="24:24" x14ac:dyDescent="0.35">
      <c r="X2862" s="8"/>
    </row>
    <row r="2863" spans="24:24" x14ac:dyDescent="0.35">
      <c r="X2863" s="8"/>
    </row>
    <row r="2864" spans="24:24" x14ac:dyDescent="0.35">
      <c r="X2864" s="8"/>
    </row>
    <row r="2865" spans="24:24" x14ac:dyDescent="0.35">
      <c r="X2865" s="8"/>
    </row>
    <row r="2866" spans="24:24" x14ac:dyDescent="0.35">
      <c r="X2866" s="8"/>
    </row>
    <row r="2867" spans="24:24" x14ac:dyDescent="0.35">
      <c r="X2867" s="8"/>
    </row>
    <row r="2868" spans="24:24" x14ac:dyDescent="0.35">
      <c r="X2868" s="8"/>
    </row>
    <row r="2869" spans="24:24" x14ac:dyDescent="0.35">
      <c r="X2869" s="8"/>
    </row>
    <row r="2870" spans="24:24" x14ac:dyDescent="0.35">
      <c r="X2870" s="8"/>
    </row>
    <row r="2871" spans="24:24" x14ac:dyDescent="0.35">
      <c r="X2871" s="8"/>
    </row>
    <row r="2872" spans="24:24" x14ac:dyDescent="0.35">
      <c r="X2872" s="8"/>
    </row>
    <row r="2873" spans="24:24" x14ac:dyDescent="0.35">
      <c r="X2873" s="8"/>
    </row>
    <row r="2874" spans="24:24" x14ac:dyDescent="0.35">
      <c r="X2874" s="8"/>
    </row>
    <row r="2875" spans="24:24" x14ac:dyDescent="0.35">
      <c r="X2875" s="8"/>
    </row>
    <row r="2876" spans="24:24" x14ac:dyDescent="0.35">
      <c r="X2876" s="8"/>
    </row>
    <row r="2877" spans="24:24" x14ac:dyDescent="0.35">
      <c r="X2877" s="8"/>
    </row>
    <row r="2878" spans="24:24" x14ac:dyDescent="0.35">
      <c r="X2878" s="8"/>
    </row>
    <row r="2879" spans="24:24" x14ac:dyDescent="0.35">
      <c r="X2879" s="8"/>
    </row>
    <row r="2880" spans="24:24" x14ac:dyDescent="0.35">
      <c r="X2880" s="8"/>
    </row>
    <row r="2881" spans="24:24" x14ac:dyDescent="0.35">
      <c r="X2881" s="8"/>
    </row>
    <row r="2882" spans="24:24" x14ac:dyDescent="0.35">
      <c r="X2882" s="8"/>
    </row>
    <row r="2883" spans="24:24" x14ac:dyDescent="0.35">
      <c r="X2883" s="8"/>
    </row>
    <row r="2884" spans="24:24" x14ac:dyDescent="0.35">
      <c r="X2884" s="8"/>
    </row>
    <row r="2885" spans="24:24" x14ac:dyDescent="0.35">
      <c r="X2885" s="8"/>
    </row>
    <row r="2886" spans="24:24" x14ac:dyDescent="0.35">
      <c r="X2886" s="8"/>
    </row>
    <row r="2887" spans="24:24" x14ac:dyDescent="0.35">
      <c r="X2887" s="8"/>
    </row>
    <row r="2888" spans="24:24" x14ac:dyDescent="0.35">
      <c r="X2888" s="8"/>
    </row>
    <row r="2889" spans="24:24" x14ac:dyDescent="0.35">
      <c r="X2889" s="8"/>
    </row>
    <row r="2890" spans="24:24" x14ac:dyDescent="0.35">
      <c r="X2890" s="8"/>
    </row>
    <row r="2891" spans="24:24" x14ac:dyDescent="0.35">
      <c r="X2891" s="8"/>
    </row>
    <row r="2892" spans="24:24" x14ac:dyDescent="0.35">
      <c r="X2892" s="8"/>
    </row>
    <row r="2893" spans="24:24" x14ac:dyDescent="0.35">
      <c r="X2893" s="8"/>
    </row>
    <row r="2894" spans="24:24" x14ac:dyDescent="0.35">
      <c r="X2894" s="8"/>
    </row>
    <row r="2895" spans="24:24" x14ac:dyDescent="0.35">
      <c r="X2895" s="8"/>
    </row>
    <row r="2896" spans="24:24" x14ac:dyDescent="0.35">
      <c r="X2896" s="8"/>
    </row>
    <row r="2897" spans="24:24" x14ac:dyDescent="0.35">
      <c r="X2897" s="8"/>
    </row>
    <row r="2898" spans="24:24" x14ac:dyDescent="0.35">
      <c r="X2898" s="8"/>
    </row>
    <row r="2899" spans="24:24" x14ac:dyDescent="0.35">
      <c r="X2899" s="8"/>
    </row>
    <row r="2900" spans="24:24" x14ac:dyDescent="0.35">
      <c r="X2900" s="8"/>
    </row>
    <row r="2901" spans="24:24" x14ac:dyDescent="0.35">
      <c r="X2901" s="8"/>
    </row>
    <row r="2902" spans="24:24" x14ac:dyDescent="0.35">
      <c r="X2902" s="8"/>
    </row>
    <row r="2903" spans="24:24" x14ac:dyDescent="0.35">
      <c r="X2903" s="8"/>
    </row>
    <row r="2904" spans="24:24" x14ac:dyDescent="0.35">
      <c r="X2904" s="8"/>
    </row>
    <row r="2905" spans="24:24" x14ac:dyDescent="0.35">
      <c r="X2905" s="8"/>
    </row>
    <row r="2906" spans="24:24" x14ac:dyDescent="0.35">
      <c r="X2906" s="8"/>
    </row>
    <row r="2907" spans="24:24" x14ac:dyDescent="0.35">
      <c r="X2907" s="8"/>
    </row>
    <row r="2908" spans="24:24" x14ac:dyDescent="0.35">
      <c r="X2908" s="8"/>
    </row>
    <row r="2909" spans="24:24" x14ac:dyDescent="0.35">
      <c r="X2909" s="8"/>
    </row>
    <row r="2910" spans="24:24" x14ac:dyDescent="0.35">
      <c r="X2910" s="8"/>
    </row>
    <row r="2911" spans="24:24" x14ac:dyDescent="0.35">
      <c r="X2911" s="8"/>
    </row>
    <row r="2912" spans="24:24" x14ac:dyDescent="0.35">
      <c r="X2912" s="8"/>
    </row>
    <row r="2913" spans="24:24" x14ac:dyDescent="0.35">
      <c r="X2913" s="8"/>
    </row>
    <row r="2914" spans="24:24" x14ac:dyDescent="0.35">
      <c r="X2914" s="8"/>
    </row>
    <row r="2915" spans="24:24" x14ac:dyDescent="0.35">
      <c r="X2915" s="8"/>
    </row>
    <row r="2916" spans="24:24" x14ac:dyDescent="0.35">
      <c r="X2916" s="8"/>
    </row>
    <row r="2917" spans="24:24" x14ac:dyDescent="0.35">
      <c r="X2917" s="8"/>
    </row>
    <row r="2918" spans="24:24" x14ac:dyDescent="0.35">
      <c r="X2918" s="8"/>
    </row>
    <row r="2919" spans="24:24" x14ac:dyDescent="0.35">
      <c r="X2919" s="8"/>
    </row>
    <row r="2920" spans="24:24" x14ac:dyDescent="0.35">
      <c r="X2920" s="8"/>
    </row>
    <row r="2921" spans="24:24" x14ac:dyDescent="0.35">
      <c r="X2921" s="8"/>
    </row>
    <row r="2922" spans="24:24" x14ac:dyDescent="0.35">
      <c r="X2922" s="8"/>
    </row>
    <row r="2923" spans="24:24" x14ac:dyDescent="0.35">
      <c r="X2923" s="8"/>
    </row>
    <row r="2924" spans="24:24" x14ac:dyDescent="0.35">
      <c r="X2924" s="8"/>
    </row>
    <row r="2925" spans="24:24" x14ac:dyDescent="0.35">
      <c r="X2925" s="8"/>
    </row>
    <row r="2926" spans="24:24" x14ac:dyDescent="0.35">
      <c r="X2926" s="8"/>
    </row>
    <row r="2927" spans="24:24" x14ac:dyDescent="0.35">
      <c r="X2927" s="8"/>
    </row>
    <row r="2928" spans="24:24" x14ac:dyDescent="0.35">
      <c r="X2928" s="8"/>
    </row>
    <row r="2929" spans="24:24" x14ac:dyDescent="0.35">
      <c r="X2929" s="8"/>
    </row>
    <row r="2930" spans="24:24" x14ac:dyDescent="0.35">
      <c r="X2930" s="8"/>
    </row>
    <row r="2931" spans="24:24" x14ac:dyDescent="0.35">
      <c r="X2931" s="8"/>
    </row>
    <row r="2932" spans="24:24" x14ac:dyDescent="0.35">
      <c r="X2932" s="8"/>
    </row>
    <row r="2933" spans="24:24" x14ac:dyDescent="0.35">
      <c r="X2933" s="8"/>
    </row>
    <row r="2934" spans="24:24" x14ac:dyDescent="0.35">
      <c r="X2934" s="8"/>
    </row>
    <row r="2935" spans="24:24" x14ac:dyDescent="0.35">
      <c r="X2935" s="8"/>
    </row>
    <row r="2936" spans="24:24" x14ac:dyDescent="0.35">
      <c r="X2936" s="8"/>
    </row>
    <row r="2937" spans="24:24" x14ac:dyDescent="0.35">
      <c r="X2937" s="8"/>
    </row>
    <row r="2938" spans="24:24" x14ac:dyDescent="0.35">
      <c r="X2938" s="8"/>
    </row>
    <row r="2939" spans="24:24" x14ac:dyDescent="0.35">
      <c r="X2939" s="8"/>
    </row>
    <row r="2940" spans="24:24" x14ac:dyDescent="0.35">
      <c r="X2940" s="8"/>
    </row>
    <row r="2941" spans="24:24" x14ac:dyDescent="0.35">
      <c r="X2941" s="8"/>
    </row>
    <row r="2942" spans="24:24" x14ac:dyDescent="0.35">
      <c r="X2942" s="8"/>
    </row>
    <row r="2943" spans="24:24" x14ac:dyDescent="0.35">
      <c r="X2943" s="8"/>
    </row>
    <row r="2944" spans="24:24" x14ac:dyDescent="0.35">
      <c r="X2944" s="8"/>
    </row>
    <row r="2945" spans="24:24" x14ac:dyDescent="0.35">
      <c r="X2945" s="8"/>
    </row>
    <row r="2946" spans="24:24" x14ac:dyDescent="0.35">
      <c r="X2946" s="8"/>
    </row>
    <row r="2947" spans="24:24" x14ac:dyDescent="0.35">
      <c r="X2947" s="8"/>
    </row>
    <row r="2948" spans="24:24" x14ac:dyDescent="0.35">
      <c r="X2948" s="8"/>
    </row>
    <row r="2949" spans="24:24" x14ac:dyDescent="0.35">
      <c r="X2949" s="8"/>
    </row>
    <row r="2950" spans="24:24" x14ac:dyDescent="0.35">
      <c r="X2950" s="8"/>
    </row>
    <row r="2951" spans="24:24" x14ac:dyDescent="0.35">
      <c r="X2951" s="8"/>
    </row>
    <row r="2952" spans="24:24" x14ac:dyDescent="0.35">
      <c r="X2952" s="8"/>
    </row>
    <row r="2953" spans="24:24" x14ac:dyDescent="0.35">
      <c r="X2953" s="8"/>
    </row>
    <row r="2954" spans="24:24" x14ac:dyDescent="0.35">
      <c r="X2954" s="8"/>
    </row>
    <row r="2955" spans="24:24" x14ac:dyDescent="0.35">
      <c r="X2955" s="8"/>
    </row>
    <row r="2956" spans="24:24" x14ac:dyDescent="0.35">
      <c r="X2956" s="8"/>
    </row>
    <row r="2957" spans="24:24" x14ac:dyDescent="0.35">
      <c r="X2957" s="8"/>
    </row>
    <row r="2958" spans="24:24" x14ac:dyDescent="0.35">
      <c r="X2958" s="8"/>
    </row>
    <row r="2959" spans="24:24" x14ac:dyDescent="0.35">
      <c r="X2959" s="8"/>
    </row>
    <row r="2960" spans="24:24" x14ac:dyDescent="0.35">
      <c r="X2960" s="8"/>
    </row>
    <row r="2961" spans="24:24" x14ac:dyDescent="0.35">
      <c r="X2961" s="8"/>
    </row>
    <row r="2962" spans="24:24" x14ac:dyDescent="0.35">
      <c r="X2962" s="8"/>
    </row>
    <row r="2963" spans="24:24" x14ac:dyDescent="0.35">
      <c r="X2963" s="8"/>
    </row>
    <row r="2964" spans="24:24" x14ac:dyDescent="0.35">
      <c r="X2964" s="8"/>
    </row>
    <row r="2965" spans="24:24" x14ac:dyDescent="0.35">
      <c r="X2965" s="8"/>
    </row>
    <row r="2966" spans="24:24" x14ac:dyDescent="0.35">
      <c r="X2966" s="8"/>
    </row>
    <row r="2967" spans="24:24" x14ac:dyDescent="0.35">
      <c r="X2967" s="8"/>
    </row>
    <row r="2968" spans="24:24" x14ac:dyDescent="0.35">
      <c r="X2968" s="8"/>
    </row>
    <row r="2969" spans="24:24" x14ac:dyDescent="0.35">
      <c r="X2969" s="8"/>
    </row>
    <row r="2970" spans="24:24" x14ac:dyDescent="0.35">
      <c r="X2970" s="8"/>
    </row>
    <row r="2971" spans="24:24" x14ac:dyDescent="0.35">
      <c r="X2971" s="8"/>
    </row>
    <row r="2972" spans="24:24" x14ac:dyDescent="0.35">
      <c r="X2972" s="8"/>
    </row>
    <row r="2973" spans="24:24" x14ac:dyDescent="0.35">
      <c r="X2973" s="8"/>
    </row>
    <row r="2974" spans="24:24" x14ac:dyDescent="0.35">
      <c r="X2974" s="8"/>
    </row>
    <row r="2975" spans="24:24" x14ac:dyDescent="0.35">
      <c r="X2975" s="8"/>
    </row>
    <row r="2976" spans="24:24" x14ac:dyDescent="0.35">
      <c r="X2976" s="8"/>
    </row>
    <row r="2977" spans="24:24" x14ac:dyDescent="0.35">
      <c r="X2977" s="8"/>
    </row>
    <row r="2978" spans="24:24" x14ac:dyDescent="0.35">
      <c r="X2978" s="8"/>
    </row>
    <row r="2979" spans="24:24" x14ac:dyDescent="0.35">
      <c r="X2979" s="8"/>
    </row>
    <row r="2980" spans="24:24" x14ac:dyDescent="0.35">
      <c r="X2980" s="8"/>
    </row>
    <row r="2981" spans="24:24" x14ac:dyDescent="0.35">
      <c r="X2981" s="8"/>
    </row>
    <row r="2982" spans="24:24" x14ac:dyDescent="0.35">
      <c r="X2982" s="8"/>
    </row>
    <row r="2983" spans="24:24" x14ac:dyDescent="0.35">
      <c r="X2983" s="8"/>
    </row>
    <row r="2984" spans="24:24" x14ac:dyDescent="0.35">
      <c r="X2984" s="8"/>
    </row>
    <row r="2985" spans="24:24" x14ac:dyDescent="0.35">
      <c r="X2985" s="8"/>
    </row>
    <row r="2986" spans="24:24" x14ac:dyDescent="0.35">
      <c r="X2986" s="8"/>
    </row>
    <row r="2987" spans="24:24" x14ac:dyDescent="0.35">
      <c r="X2987" s="8"/>
    </row>
    <row r="2988" spans="24:24" x14ac:dyDescent="0.35">
      <c r="X2988" s="8"/>
    </row>
    <row r="2989" spans="24:24" x14ac:dyDescent="0.35">
      <c r="X2989" s="8"/>
    </row>
    <row r="2990" spans="24:24" x14ac:dyDescent="0.35">
      <c r="X2990" s="8"/>
    </row>
    <row r="2991" spans="24:24" x14ac:dyDescent="0.35">
      <c r="X2991" s="8"/>
    </row>
    <row r="2992" spans="24:24" x14ac:dyDescent="0.35">
      <c r="X2992" s="8"/>
    </row>
    <row r="2993" spans="24:24" x14ac:dyDescent="0.35">
      <c r="X2993" s="8"/>
    </row>
    <row r="2994" spans="24:24" x14ac:dyDescent="0.35">
      <c r="X2994" s="8"/>
    </row>
    <row r="2995" spans="24:24" x14ac:dyDescent="0.35">
      <c r="X2995" s="8"/>
    </row>
    <row r="2996" spans="24:24" x14ac:dyDescent="0.35">
      <c r="X2996" s="8"/>
    </row>
    <row r="2997" spans="24:24" x14ac:dyDescent="0.35">
      <c r="X2997" s="8"/>
    </row>
    <row r="2998" spans="24:24" x14ac:dyDescent="0.35">
      <c r="X2998" s="8"/>
    </row>
    <row r="2999" spans="24:24" x14ac:dyDescent="0.35">
      <c r="X2999" s="8"/>
    </row>
    <row r="3000" spans="24:24" x14ac:dyDescent="0.35">
      <c r="X3000" s="8"/>
    </row>
    <row r="3001" spans="24:24" x14ac:dyDescent="0.35">
      <c r="X3001" s="8"/>
    </row>
    <row r="3002" spans="24:24" x14ac:dyDescent="0.35">
      <c r="X3002" s="8"/>
    </row>
    <row r="3003" spans="24:24" x14ac:dyDescent="0.35">
      <c r="X3003" s="8"/>
    </row>
    <row r="3004" spans="24:24" x14ac:dyDescent="0.35">
      <c r="X3004" s="8"/>
    </row>
    <row r="3005" spans="24:24" x14ac:dyDescent="0.35">
      <c r="X3005" s="8"/>
    </row>
    <row r="3006" spans="24:24" x14ac:dyDescent="0.35">
      <c r="X3006" s="8"/>
    </row>
    <row r="3007" spans="24:24" x14ac:dyDescent="0.35">
      <c r="X3007" s="8"/>
    </row>
    <row r="3008" spans="24:24" x14ac:dyDescent="0.35">
      <c r="X3008" s="8"/>
    </row>
    <row r="3009" spans="24:24" x14ac:dyDescent="0.35">
      <c r="X3009" s="8"/>
    </row>
    <row r="3010" spans="24:24" x14ac:dyDescent="0.35">
      <c r="X3010" s="8"/>
    </row>
    <row r="3011" spans="24:24" x14ac:dyDescent="0.35">
      <c r="X3011" s="8"/>
    </row>
    <row r="3012" spans="24:24" x14ac:dyDescent="0.35">
      <c r="X3012" s="8"/>
    </row>
    <row r="3013" spans="24:24" x14ac:dyDescent="0.35">
      <c r="X3013" s="8"/>
    </row>
    <row r="3014" spans="24:24" x14ac:dyDescent="0.35">
      <c r="X3014" s="8"/>
    </row>
    <row r="3015" spans="24:24" x14ac:dyDescent="0.35">
      <c r="X3015" s="8"/>
    </row>
    <row r="3016" spans="24:24" x14ac:dyDescent="0.35">
      <c r="X3016" s="8"/>
    </row>
    <row r="3017" spans="24:24" x14ac:dyDescent="0.35">
      <c r="X3017" s="8"/>
    </row>
    <row r="3018" spans="24:24" x14ac:dyDescent="0.35">
      <c r="X3018" s="8"/>
    </row>
    <row r="3019" spans="24:24" x14ac:dyDescent="0.35">
      <c r="X3019" s="8"/>
    </row>
    <row r="3020" spans="24:24" x14ac:dyDescent="0.35">
      <c r="X3020" s="8"/>
    </row>
    <row r="3021" spans="24:24" x14ac:dyDescent="0.35">
      <c r="X3021" s="8"/>
    </row>
    <row r="3022" spans="24:24" x14ac:dyDescent="0.35">
      <c r="X3022" s="8"/>
    </row>
    <row r="3023" spans="24:24" x14ac:dyDescent="0.35">
      <c r="X3023" s="8"/>
    </row>
    <row r="3024" spans="24:24" x14ac:dyDescent="0.35">
      <c r="X3024" s="8"/>
    </row>
    <row r="3025" spans="24:24" x14ac:dyDescent="0.35">
      <c r="X3025" s="8"/>
    </row>
    <row r="3026" spans="24:24" x14ac:dyDescent="0.35">
      <c r="X3026" s="8"/>
    </row>
    <row r="3027" spans="24:24" x14ac:dyDescent="0.35">
      <c r="X3027" s="8"/>
    </row>
    <row r="3028" spans="24:24" x14ac:dyDescent="0.35">
      <c r="X3028" s="8"/>
    </row>
    <row r="3029" spans="24:24" x14ac:dyDescent="0.35">
      <c r="X3029" s="8"/>
    </row>
    <row r="3030" spans="24:24" x14ac:dyDescent="0.35">
      <c r="X3030" s="8"/>
    </row>
    <row r="3031" spans="24:24" x14ac:dyDescent="0.35">
      <c r="X3031" s="8"/>
    </row>
    <row r="3032" spans="24:24" x14ac:dyDescent="0.35">
      <c r="X3032" s="8"/>
    </row>
    <row r="3033" spans="24:24" x14ac:dyDescent="0.35">
      <c r="X3033" s="8"/>
    </row>
    <row r="3034" spans="24:24" x14ac:dyDescent="0.35">
      <c r="X3034" s="8"/>
    </row>
    <row r="3035" spans="24:24" x14ac:dyDescent="0.35">
      <c r="X3035" s="8"/>
    </row>
    <row r="3036" spans="24:24" x14ac:dyDescent="0.35">
      <c r="X3036" s="8"/>
    </row>
    <row r="3037" spans="24:24" x14ac:dyDescent="0.35">
      <c r="X3037" s="8"/>
    </row>
    <row r="3038" spans="24:24" x14ac:dyDescent="0.35">
      <c r="X3038" s="8"/>
    </row>
    <row r="3039" spans="24:24" x14ac:dyDescent="0.35">
      <c r="X3039" s="8"/>
    </row>
    <row r="3040" spans="24:24" x14ac:dyDescent="0.35">
      <c r="X3040" s="8"/>
    </row>
    <row r="3041" spans="24:24" x14ac:dyDescent="0.35">
      <c r="X3041" s="8"/>
    </row>
    <row r="3042" spans="24:24" x14ac:dyDescent="0.35">
      <c r="X3042" s="8"/>
    </row>
    <row r="3043" spans="24:24" x14ac:dyDescent="0.35">
      <c r="X3043" s="8"/>
    </row>
    <row r="3044" spans="24:24" x14ac:dyDescent="0.35">
      <c r="X3044" s="8"/>
    </row>
    <row r="3045" spans="24:24" x14ac:dyDescent="0.35">
      <c r="X3045" s="8"/>
    </row>
    <row r="3046" spans="24:24" x14ac:dyDescent="0.35">
      <c r="X3046" s="8"/>
    </row>
    <row r="3047" spans="24:24" x14ac:dyDescent="0.35">
      <c r="X3047" s="8"/>
    </row>
    <row r="3048" spans="24:24" x14ac:dyDescent="0.35">
      <c r="X3048" s="8"/>
    </row>
    <row r="3049" spans="24:24" x14ac:dyDescent="0.35">
      <c r="X3049" s="8"/>
    </row>
    <row r="3050" spans="24:24" x14ac:dyDescent="0.35">
      <c r="X3050" s="8"/>
    </row>
    <row r="3051" spans="24:24" x14ac:dyDescent="0.35">
      <c r="X3051" s="8"/>
    </row>
    <row r="3052" spans="24:24" x14ac:dyDescent="0.35">
      <c r="X3052" s="8"/>
    </row>
    <row r="3053" spans="24:24" x14ac:dyDescent="0.35">
      <c r="X3053" s="8"/>
    </row>
    <row r="3054" spans="24:24" x14ac:dyDescent="0.35">
      <c r="X3054" s="8"/>
    </row>
    <row r="3055" spans="24:24" x14ac:dyDescent="0.35">
      <c r="X3055" s="8"/>
    </row>
    <row r="3056" spans="24:24" x14ac:dyDescent="0.35">
      <c r="X3056" s="8"/>
    </row>
    <row r="3057" spans="24:24" x14ac:dyDescent="0.35">
      <c r="X3057" s="8"/>
    </row>
    <row r="3058" spans="24:24" x14ac:dyDescent="0.35">
      <c r="X3058" s="8"/>
    </row>
    <row r="3059" spans="24:24" x14ac:dyDescent="0.35">
      <c r="X3059" s="8"/>
    </row>
    <row r="3060" spans="24:24" x14ac:dyDescent="0.35">
      <c r="X3060" s="8"/>
    </row>
    <row r="3061" spans="24:24" x14ac:dyDescent="0.35">
      <c r="X3061" s="8"/>
    </row>
    <row r="3062" spans="24:24" x14ac:dyDescent="0.35">
      <c r="X3062" s="8"/>
    </row>
    <row r="3063" spans="24:24" x14ac:dyDescent="0.35">
      <c r="X3063" s="8"/>
    </row>
    <row r="3064" spans="24:24" x14ac:dyDescent="0.35">
      <c r="X3064" s="8"/>
    </row>
    <row r="3065" spans="24:24" x14ac:dyDescent="0.35">
      <c r="X3065" s="8"/>
    </row>
    <row r="3066" spans="24:24" x14ac:dyDescent="0.35">
      <c r="X3066" s="8"/>
    </row>
    <row r="3067" spans="24:24" x14ac:dyDescent="0.35">
      <c r="X3067" s="8"/>
    </row>
    <row r="3068" spans="24:24" x14ac:dyDescent="0.35">
      <c r="X3068" s="8"/>
    </row>
    <row r="3069" spans="24:24" x14ac:dyDescent="0.35">
      <c r="X3069" s="8"/>
    </row>
    <row r="3070" spans="24:24" x14ac:dyDescent="0.35">
      <c r="X3070" s="8"/>
    </row>
    <row r="3071" spans="24:24" x14ac:dyDescent="0.35">
      <c r="X3071" s="8"/>
    </row>
    <row r="3072" spans="24:24" x14ac:dyDescent="0.35">
      <c r="X3072" s="8"/>
    </row>
    <row r="3073" spans="24:24" x14ac:dyDescent="0.35">
      <c r="X3073" s="8"/>
    </row>
    <row r="3074" spans="24:24" x14ac:dyDescent="0.35">
      <c r="X3074" s="8"/>
    </row>
    <row r="3075" spans="24:24" x14ac:dyDescent="0.35">
      <c r="X3075" s="8"/>
    </row>
    <row r="3076" spans="24:24" x14ac:dyDescent="0.35">
      <c r="X3076" s="8"/>
    </row>
    <row r="3077" spans="24:24" x14ac:dyDescent="0.35">
      <c r="X3077" s="8"/>
    </row>
    <row r="3078" spans="24:24" x14ac:dyDescent="0.35">
      <c r="X3078" s="8"/>
    </row>
    <row r="3079" spans="24:24" x14ac:dyDescent="0.35">
      <c r="X3079" s="8"/>
    </row>
    <row r="3080" spans="24:24" x14ac:dyDescent="0.35">
      <c r="X3080" s="8"/>
    </row>
    <row r="3081" spans="24:24" x14ac:dyDescent="0.35">
      <c r="X3081" s="8"/>
    </row>
    <row r="3082" spans="24:24" x14ac:dyDescent="0.35">
      <c r="X3082" s="8"/>
    </row>
    <row r="3083" spans="24:24" x14ac:dyDescent="0.35">
      <c r="X3083" s="8"/>
    </row>
    <row r="3084" spans="24:24" x14ac:dyDescent="0.35">
      <c r="X3084" s="8"/>
    </row>
    <row r="3085" spans="24:24" x14ac:dyDescent="0.35">
      <c r="X3085" s="8"/>
    </row>
    <row r="3086" spans="24:24" x14ac:dyDescent="0.35">
      <c r="X3086" s="8"/>
    </row>
    <row r="3087" spans="24:24" x14ac:dyDescent="0.35">
      <c r="X3087" s="8"/>
    </row>
    <row r="3088" spans="24:24" x14ac:dyDescent="0.35">
      <c r="X3088" s="8"/>
    </row>
    <row r="3089" spans="24:24" x14ac:dyDescent="0.35">
      <c r="X3089" s="8"/>
    </row>
    <row r="3090" spans="24:24" x14ac:dyDescent="0.35">
      <c r="X3090" s="8"/>
    </row>
    <row r="3091" spans="24:24" x14ac:dyDescent="0.35">
      <c r="X3091" s="8"/>
    </row>
    <row r="3092" spans="24:24" x14ac:dyDescent="0.35">
      <c r="X3092" s="8"/>
    </row>
    <row r="3093" spans="24:24" x14ac:dyDescent="0.35">
      <c r="X3093" s="8"/>
    </row>
    <row r="3094" spans="24:24" x14ac:dyDescent="0.35">
      <c r="X3094" s="8"/>
    </row>
    <row r="3095" spans="24:24" x14ac:dyDescent="0.35">
      <c r="X3095" s="8"/>
    </row>
    <row r="3096" spans="24:24" x14ac:dyDescent="0.35">
      <c r="X3096" s="8"/>
    </row>
    <row r="3097" spans="24:24" x14ac:dyDescent="0.35">
      <c r="X3097" s="8"/>
    </row>
    <row r="3098" spans="24:24" x14ac:dyDescent="0.35">
      <c r="X3098" s="8"/>
    </row>
    <row r="3099" spans="24:24" x14ac:dyDescent="0.35">
      <c r="X3099" s="8"/>
    </row>
    <row r="3100" spans="24:24" x14ac:dyDescent="0.35">
      <c r="X3100" s="8"/>
    </row>
    <row r="3101" spans="24:24" x14ac:dyDescent="0.35">
      <c r="X3101" s="8"/>
    </row>
    <row r="3102" spans="24:24" x14ac:dyDescent="0.35">
      <c r="X3102" s="8"/>
    </row>
    <row r="3103" spans="24:24" x14ac:dyDescent="0.35">
      <c r="X3103" s="8"/>
    </row>
    <row r="3104" spans="24:24" x14ac:dyDescent="0.35">
      <c r="X3104" s="8"/>
    </row>
    <row r="3105" spans="24:24" x14ac:dyDescent="0.35">
      <c r="X3105" s="8"/>
    </row>
    <row r="3106" spans="24:24" x14ac:dyDescent="0.35">
      <c r="X3106" s="8"/>
    </row>
    <row r="3107" spans="24:24" x14ac:dyDescent="0.35">
      <c r="X3107" s="8"/>
    </row>
    <row r="3108" spans="24:24" x14ac:dyDescent="0.35">
      <c r="X3108" s="8"/>
    </row>
    <row r="3109" spans="24:24" x14ac:dyDescent="0.35">
      <c r="X3109" s="8"/>
    </row>
    <row r="3110" spans="24:24" x14ac:dyDescent="0.35">
      <c r="X3110" s="8"/>
    </row>
    <row r="3111" spans="24:24" x14ac:dyDescent="0.35">
      <c r="X3111" s="8"/>
    </row>
    <row r="3112" spans="24:24" x14ac:dyDescent="0.35">
      <c r="X3112" s="8"/>
    </row>
    <row r="3113" spans="24:24" x14ac:dyDescent="0.35">
      <c r="X3113" s="8"/>
    </row>
    <row r="3114" spans="24:24" x14ac:dyDescent="0.35">
      <c r="X3114" s="8"/>
    </row>
    <row r="3115" spans="24:24" x14ac:dyDescent="0.35">
      <c r="X3115" s="8"/>
    </row>
    <row r="3116" spans="24:24" x14ac:dyDescent="0.35">
      <c r="X3116" s="8"/>
    </row>
    <row r="3117" spans="24:24" x14ac:dyDescent="0.35">
      <c r="X3117" s="8"/>
    </row>
    <row r="3118" spans="24:24" x14ac:dyDescent="0.35">
      <c r="X3118" s="8"/>
    </row>
    <row r="3119" spans="24:24" x14ac:dyDescent="0.35">
      <c r="X3119" s="8"/>
    </row>
    <row r="3120" spans="24:24" x14ac:dyDescent="0.35">
      <c r="X3120" s="8"/>
    </row>
    <row r="3121" spans="24:24" x14ac:dyDescent="0.35">
      <c r="X3121" s="8"/>
    </row>
    <row r="3122" spans="24:24" x14ac:dyDescent="0.35">
      <c r="X3122" s="8"/>
    </row>
    <row r="3123" spans="24:24" x14ac:dyDescent="0.35">
      <c r="X3123" s="8"/>
    </row>
    <row r="3124" spans="24:24" x14ac:dyDescent="0.35">
      <c r="X3124" s="8"/>
    </row>
    <row r="3125" spans="24:24" x14ac:dyDescent="0.35">
      <c r="X3125" s="8"/>
    </row>
    <row r="3126" spans="24:24" x14ac:dyDescent="0.35">
      <c r="X3126" s="8"/>
    </row>
    <row r="3127" spans="24:24" x14ac:dyDescent="0.35">
      <c r="X3127" s="8"/>
    </row>
    <row r="3128" spans="24:24" x14ac:dyDescent="0.35">
      <c r="X3128" s="8"/>
    </row>
    <row r="3129" spans="24:24" x14ac:dyDescent="0.35">
      <c r="X3129" s="8"/>
    </row>
    <row r="3130" spans="24:24" x14ac:dyDescent="0.35">
      <c r="X3130" s="8"/>
    </row>
    <row r="3131" spans="24:24" x14ac:dyDescent="0.35">
      <c r="X3131" s="8"/>
    </row>
    <row r="3132" spans="24:24" x14ac:dyDescent="0.35">
      <c r="X3132" s="8"/>
    </row>
    <row r="3133" spans="24:24" x14ac:dyDescent="0.35">
      <c r="X3133" s="8"/>
    </row>
    <row r="3134" spans="24:24" x14ac:dyDescent="0.35">
      <c r="X3134" s="8"/>
    </row>
    <row r="3135" spans="24:24" x14ac:dyDescent="0.35">
      <c r="X3135" s="8"/>
    </row>
    <row r="3136" spans="24:24" x14ac:dyDescent="0.35">
      <c r="X3136" s="8"/>
    </row>
    <row r="3137" spans="24:24" x14ac:dyDescent="0.35">
      <c r="X3137" s="8"/>
    </row>
    <row r="3138" spans="24:24" x14ac:dyDescent="0.35">
      <c r="X3138" s="8"/>
    </row>
    <row r="3139" spans="24:24" x14ac:dyDescent="0.35">
      <c r="X3139" s="8"/>
    </row>
    <row r="3140" spans="24:24" x14ac:dyDescent="0.35">
      <c r="X3140" s="8"/>
    </row>
    <row r="3141" spans="24:24" x14ac:dyDescent="0.35">
      <c r="X3141" s="8"/>
    </row>
    <row r="3142" spans="24:24" x14ac:dyDescent="0.35">
      <c r="X3142" s="8"/>
    </row>
    <row r="3143" spans="24:24" x14ac:dyDescent="0.35">
      <c r="X3143" s="8"/>
    </row>
    <row r="3144" spans="24:24" x14ac:dyDescent="0.35">
      <c r="X3144" s="8"/>
    </row>
    <row r="3145" spans="24:24" x14ac:dyDescent="0.35">
      <c r="X3145" s="8"/>
    </row>
    <row r="3146" spans="24:24" x14ac:dyDescent="0.35">
      <c r="X3146" s="8"/>
    </row>
    <row r="3147" spans="24:24" x14ac:dyDescent="0.35">
      <c r="X3147" s="8"/>
    </row>
    <row r="3148" spans="24:24" x14ac:dyDescent="0.35">
      <c r="X3148" s="8"/>
    </row>
    <row r="3149" spans="24:24" x14ac:dyDescent="0.35">
      <c r="X3149" s="8"/>
    </row>
    <row r="3150" spans="24:24" x14ac:dyDescent="0.35">
      <c r="X3150" s="8"/>
    </row>
    <row r="3151" spans="24:24" x14ac:dyDescent="0.35">
      <c r="X3151" s="8"/>
    </row>
    <row r="3152" spans="24:24" x14ac:dyDescent="0.35">
      <c r="X3152" s="8"/>
    </row>
    <row r="3153" spans="24:24" x14ac:dyDescent="0.35">
      <c r="X3153" s="8"/>
    </row>
    <row r="3154" spans="24:24" x14ac:dyDescent="0.35">
      <c r="X3154" s="8"/>
    </row>
    <row r="3155" spans="24:24" x14ac:dyDescent="0.35">
      <c r="X3155" s="8"/>
    </row>
    <row r="3156" spans="24:24" x14ac:dyDescent="0.35">
      <c r="X3156" s="8"/>
    </row>
    <row r="3157" spans="24:24" x14ac:dyDescent="0.35">
      <c r="X3157" s="8"/>
    </row>
    <row r="3158" spans="24:24" x14ac:dyDescent="0.35">
      <c r="X3158" s="8"/>
    </row>
    <row r="3159" spans="24:24" x14ac:dyDescent="0.35">
      <c r="X3159" s="8"/>
    </row>
    <row r="3160" spans="24:24" x14ac:dyDescent="0.35">
      <c r="X3160" s="8"/>
    </row>
    <row r="3161" spans="24:24" x14ac:dyDescent="0.35">
      <c r="X3161" s="8"/>
    </row>
    <row r="3162" spans="24:24" x14ac:dyDescent="0.35">
      <c r="X3162" s="8"/>
    </row>
    <row r="3163" spans="24:24" x14ac:dyDescent="0.35">
      <c r="X3163" s="8"/>
    </row>
    <row r="3164" spans="24:24" x14ac:dyDescent="0.35">
      <c r="X3164" s="8"/>
    </row>
    <row r="3165" spans="24:24" x14ac:dyDescent="0.35">
      <c r="X3165" s="8"/>
    </row>
    <row r="3166" spans="24:24" x14ac:dyDescent="0.35">
      <c r="X3166" s="8"/>
    </row>
    <row r="3167" spans="24:24" x14ac:dyDescent="0.35">
      <c r="X3167" s="8"/>
    </row>
    <row r="3168" spans="24:24" x14ac:dyDescent="0.35">
      <c r="X3168" s="8"/>
    </row>
    <row r="3169" spans="24:24" x14ac:dyDescent="0.35">
      <c r="X3169" s="8"/>
    </row>
    <row r="3170" spans="24:24" x14ac:dyDescent="0.35">
      <c r="X3170" s="8"/>
    </row>
    <row r="3171" spans="24:24" x14ac:dyDescent="0.35">
      <c r="X3171" s="8"/>
    </row>
    <row r="3172" spans="24:24" x14ac:dyDescent="0.35">
      <c r="X3172" s="8"/>
    </row>
    <row r="3173" spans="24:24" x14ac:dyDescent="0.35">
      <c r="X3173" s="8"/>
    </row>
    <row r="3174" spans="24:24" x14ac:dyDescent="0.35">
      <c r="X3174" s="8"/>
    </row>
    <row r="3175" spans="24:24" x14ac:dyDescent="0.35">
      <c r="X3175" s="8"/>
    </row>
    <row r="3176" spans="24:24" x14ac:dyDescent="0.35">
      <c r="X3176" s="8"/>
    </row>
    <row r="3177" spans="24:24" x14ac:dyDescent="0.35">
      <c r="X3177" s="8"/>
    </row>
    <row r="3178" spans="24:24" x14ac:dyDescent="0.35">
      <c r="X3178" s="8"/>
    </row>
    <row r="3179" spans="24:24" x14ac:dyDescent="0.35">
      <c r="X3179" s="8"/>
    </row>
    <row r="3180" spans="24:24" x14ac:dyDescent="0.35">
      <c r="X3180" s="8"/>
    </row>
    <row r="3181" spans="24:24" x14ac:dyDescent="0.35">
      <c r="X3181" s="8"/>
    </row>
    <row r="3182" spans="24:24" x14ac:dyDescent="0.35">
      <c r="X3182" s="8"/>
    </row>
    <row r="3183" spans="24:24" x14ac:dyDescent="0.35">
      <c r="X3183" s="8"/>
    </row>
    <row r="3184" spans="24:24" x14ac:dyDescent="0.35">
      <c r="X3184" s="8"/>
    </row>
    <row r="3185" spans="24:24" x14ac:dyDescent="0.35">
      <c r="X3185" s="8"/>
    </row>
    <row r="3186" spans="24:24" x14ac:dyDescent="0.35">
      <c r="X3186" s="8"/>
    </row>
    <row r="3187" spans="24:24" x14ac:dyDescent="0.35">
      <c r="X3187" s="8"/>
    </row>
    <row r="3188" spans="24:24" x14ac:dyDescent="0.35">
      <c r="X3188" s="8"/>
    </row>
    <row r="3189" spans="24:24" x14ac:dyDescent="0.35">
      <c r="X3189" s="8"/>
    </row>
    <row r="3190" spans="24:24" x14ac:dyDescent="0.35">
      <c r="X3190" s="8"/>
    </row>
    <row r="3191" spans="24:24" x14ac:dyDescent="0.35">
      <c r="X3191" s="8"/>
    </row>
    <row r="3192" spans="24:24" x14ac:dyDescent="0.35">
      <c r="X3192" s="8"/>
    </row>
    <row r="3193" spans="24:24" x14ac:dyDescent="0.35">
      <c r="X3193" s="8"/>
    </row>
    <row r="3194" spans="24:24" x14ac:dyDescent="0.35">
      <c r="X3194" s="8"/>
    </row>
    <row r="3195" spans="24:24" x14ac:dyDescent="0.35">
      <c r="X3195" s="8"/>
    </row>
    <row r="3196" spans="24:24" x14ac:dyDescent="0.35">
      <c r="X3196" s="8"/>
    </row>
    <row r="3197" spans="24:24" x14ac:dyDescent="0.35">
      <c r="X3197" s="8"/>
    </row>
    <row r="3198" spans="24:24" x14ac:dyDescent="0.35">
      <c r="X3198" s="8"/>
    </row>
    <row r="3199" spans="24:24" x14ac:dyDescent="0.35">
      <c r="X3199" s="8"/>
    </row>
    <row r="3200" spans="24:24" x14ac:dyDescent="0.35">
      <c r="X3200" s="8"/>
    </row>
    <row r="3201" spans="24:24" x14ac:dyDescent="0.35">
      <c r="X3201" s="8"/>
    </row>
    <row r="3202" spans="24:24" x14ac:dyDescent="0.35">
      <c r="X3202" s="8"/>
    </row>
    <row r="3203" spans="24:24" x14ac:dyDescent="0.35">
      <c r="X3203" s="8"/>
    </row>
    <row r="3204" spans="24:24" x14ac:dyDescent="0.35">
      <c r="X3204" s="8"/>
    </row>
    <row r="3205" spans="24:24" x14ac:dyDescent="0.35">
      <c r="X3205" s="8"/>
    </row>
    <row r="3206" spans="24:24" x14ac:dyDescent="0.35">
      <c r="X3206" s="8"/>
    </row>
    <row r="3207" spans="24:24" x14ac:dyDescent="0.35">
      <c r="X3207" s="8"/>
    </row>
    <row r="3208" spans="24:24" x14ac:dyDescent="0.35">
      <c r="X3208" s="8"/>
    </row>
    <row r="3209" spans="24:24" x14ac:dyDescent="0.35">
      <c r="X3209" s="8"/>
    </row>
    <row r="3210" spans="24:24" x14ac:dyDescent="0.35">
      <c r="X3210" s="8"/>
    </row>
    <row r="3211" spans="24:24" x14ac:dyDescent="0.35">
      <c r="X3211" s="8"/>
    </row>
    <row r="3212" spans="24:24" x14ac:dyDescent="0.35">
      <c r="X3212" s="8"/>
    </row>
    <row r="3213" spans="24:24" x14ac:dyDescent="0.35">
      <c r="X3213" s="8"/>
    </row>
    <row r="3214" spans="24:24" x14ac:dyDescent="0.35">
      <c r="X3214" s="8"/>
    </row>
    <row r="3215" spans="24:24" x14ac:dyDescent="0.35">
      <c r="X3215" s="8"/>
    </row>
    <row r="3216" spans="24:24" x14ac:dyDescent="0.35">
      <c r="X3216" s="8"/>
    </row>
    <row r="3217" spans="24:24" x14ac:dyDescent="0.35">
      <c r="X3217" s="8"/>
    </row>
    <row r="3218" spans="24:24" x14ac:dyDescent="0.35">
      <c r="X3218" s="8"/>
    </row>
    <row r="3219" spans="24:24" x14ac:dyDescent="0.35">
      <c r="X3219" s="8"/>
    </row>
    <row r="3220" spans="24:24" x14ac:dyDescent="0.35">
      <c r="X3220" s="8"/>
    </row>
    <row r="3221" spans="24:24" x14ac:dyDescent="0.35">
      <c r="X3221" s="8"/>
    </row>
    <row r="3222" spans="24:24" x14ac:dyDescent="0.35">
      <c r="X3222" s="8"/>
    </row>
    <row r="3223" spans="24:24" x14ac:dyDescent="0.35">
      <c r="X3223" s="8"/>
    </row>
    <row r="3224" spans="24:24" x14ac:dyDescent="0.35">
      <c r="X3224" s="8"/>
    </row>
    <row r="3225" spans="24:24" x14ac:dyDescent="0.35">
      <c r="X3225" s="8"/>
    </row>
    <row r="3226" spans="24:24" x14ac:dyDescent="0.35">
      <c r="X3226" s="8"/>
    </row>
    <row r="3227" spans="24:24" x14ac:dyDescent="0.35">
      <c r="X3227" s="8"/>
    </row>
    <row r="3228" spans="24:24" x14ac:dyDescent="0.35">
      <c r="X3228" s="8"/>
    </row>
    <row r="3229" spans="24:24" x14ac:dyDescent="0.35">
      <c r="X3229" s="8"/>
    </row>
    <row r="3230" spans="24:24" x14ac:dyDescent="0.35">
      <c r="X3230" s="8"/>
    </row>
    <row r="3231" spans="24:24" x14ac:dyDescent="0.35">
      <c r="X3231" s="8"/>
    </row>
    <row r="3232" spans="24:24" x14ac:dyDescent="0.35">
      <c r="X3232" s="8"/>
    </row>
    <row r="3233" spans="24:24" x14ac:dyDescent="0.35">
      <c r="X3233" s="8"/>
    </row>
    <row r="3234" spans="24:24" x14ac:dyDescent="0.35">
      <c r="X3234" s="8"/>
    </row>
    <row r="3235" spans="24:24" x14ac:dyDescent="0.35">
      <c r="X3235" s="8"/>
    </row>
    <row r="3236" spans="24:24" x14ac:dyDescent="0.35">
      <c r="X3236" s="8"/>
    </row>
    <row r="3237" spans="24:24" x14ac:dyDescent="0.35">
      <c r="X3237" s="8"/>
    </row>
    <row r="3238" spans="24:24" x14ac:dyDescent="0.35">
      <c r="X3238" s="8"/>
    </row>
    <row r="3239" spans="24:24" x14ac:dyDescent="0.35">
      <c r="X3239" s="8"/>
    </row>
    <row r="3240" spans="24:24" x14ac:dyDescent="0.35">
      <c r="X3240" s="8"/>
    </row>
    <row r="3241" spans="24:24" x14ac:dyDescent="0.35">
      <c r="X3241" s="8"/>
    </row>
    <row r="3242" spans="24:24" x14ac:dyDescent="0.35">
      <c r="X3242" s="8"/>
    </row>
    <row r="3243" spans="24:24" x14ac:dyDescent="0.35">
      <c r="X3243" s="8"/>
    </row>
    <row r="3244" spans="24:24" x14ac:dyDescent="0.35">
      <c r="X3244" s="8"/>
    </row>
    <row r="3245" spans="24:24" x14ac:dyDescent="0.35">
      <c r="X3245" s="8"/>
    </row>
    <row r="3246" spans="24:24" x14ac:dyDescent="0.35">
      <c r="X3246" s="8"/>
    </row>
    <row r="3247" spans="24:24" x14ac:dyDescent="0.35">
      <c r="X3247" s="8"/>
    </row>
    <row r="3248" spans="24:24" x14ac:dyDescent="0.35">
      <c r="X3248" s="8"/>
    </row>
    <row r="3249" spans="24:24" x14ac:dyDescent="0.35">
      <c r="X3249" s="8"/>
    </row>
    <row r="3250" spans="24:24" x14ac:dyDescent="0.35">
      <c r="X3250" s="8"/>
    </row>
    <row r="3251" spans="24:24" x14ac:dyDescent="0.35">
      <c r="X3251" s="8"/>
    </row>
    <row r="3252" spans="24:24" x14ac:dyDescent="0.35">
      <c r="X3252" s="8"/>
    </row>
    <row r="3253" spans="24:24" x14ac:dyDescent="0.35">
      <c r="X3253" s="8"/>
    </row>
    <row r="3254" spans="24:24" x14ac:dyDescent="0.35">
      <c r="X3254" s="8"/>
    </row>
    <row r="3255" spans="24:24" x14ac:dyDescent="0.35">
      <c r="X3255" s="8"/>
    </row>
    <row r="3256" spans="24:24" x14ac:dyDescent="0.35">
      <c r="X3256" s="8"/>
    </row>
    <row r="3257" spans="24:24" x14ac:dyDescent="0.35">
      <c r="X3257" s="8"/>
    </row>
    <row r="3258" spans="24:24" x14ac:dyDescent="0.35">
      <c r="X3258" s="8"/>
    </row>
    <row r="3259" spans="24:24" x14ac:dyDescent="0.35">
      <c r="X3259" s="8"/>
    </row>
    <row r="3260" spans="24:24" x14ac:dyDescent="0.35">
      <c r="X3260" s="8"/>
    </row>
    <row r="3261" spans="24:24" x14ac:dyDescent="0.35">
      <c r="X3261" s="8"/>
    </row>
    <row r="3262" spans="24:24" x14ac:dyDescent="0.35">
      <c r="X3262" s="8"/>
    </row>
    <row r="3263" spans="24:24" x14ac:dyDescent="0.35">
      <c r="X3263" s="8"/>
    </row>
    <row r="3264" spans="24:24" x14ac:dyDescent="0.35">
      <c r="X3264" s="8"/>
    </row>
    <row r="3265" spans="24:24" x14ac:dyDescent="0.35">
      <c r="X3265" s="8"/>
    </row>
    <row r="3266" spans="24:24" x14ac:dyDescent="0.35">
      <c r="X3266" s="8"/>
    </row>
    <row r="3267" spans="24:24" x14ac:dyDescent="0.35">
      <c r="X3267" s="8"/>
    </row>
    <row r="3268" spans="24:24" x14ac:dyDescent="0.35">
      <c r="X3268" s="8"/>
    </row>
    <row r="3269" spans="24:24" x14ac:dyDescent="0.35">
      <c r="X3269" s="8"/>
    </row>
    <row r="3270" spans="24:24" x14ac:dyDescent="0.35">
      <c r="X3270" s="8"/>
    </row>
    <row r="3271" spans="24:24" x14ac:dyDescent="0.35">
      <c r="X3271" s="8"/>
    </row>
    <row r="3272" spans="24:24" x14ac:dyDescent="0.35">
      <c r="X3272" s="8"/>
    </row>
    <row r="3273" spans="24:24" x14ac:dyDescent="0.35">
      <c r="X3273" s="8"/>
    </row>
    <row r="3274" spans="24:24" x14ac:dyDescent="0.35">
      <c r="X3274" s="8"/>
    </row>
    <row r="3275" spans="24:24" x14ac:dyDescent="0.35">
      <c r="X3275" s="8"/>
    </row>
    <row r="3276" spans="24:24" x14ac:dyDescent="0.35">
      <c r="X3276" s="8"/>
    </row>
    <row r="3277" spans="24:24" x14ac:dyDescent="0.35">
      <c r="X3277" s="8"/>
    </row>
    <row r="3278" spans="24:24" x14ac:dyDescent="0.35">
      <c r="X3278" s="8"/>
    </row>
    <row r="3279" spans="24:24" x14ac:dyDescent="0.35">
      <c r="X3279" s="8"/>
    </row>
    <row r="3280" spans="24:24" x14ac:dyDescent="0.35">
      <c r="X3280" s="8"/>
    </row>
    <row r="3281" spans="24:24" x14ac:dyDescent="0.35">
      <c r="X3281" s="8"/>
    </row>
    <row r="3282" spans="24:24" x14ac:dyDescent="0.35">
      <c r="X3282" s="8"/>
    </row>
    <row r="3283" spans="24:24" x14ac:dyDescent="0.35">
      <c r="X3283" s="8"/>
    </row>
    <row r="3284" spans="24:24" x14ac:dyDescent="0.35">
      <c r="X3284" s="8"/>
    </row>
    <row r="3285" spans="24:24" x14ac:dyDescent="0.35">
      <c r="X3285" s="8"/>
    </row>
    <row r="3286" spans="24:24" x14ac:dyDescent="0.35">
      <c r="X3286" s="8"/>
    </row>
    <row r="3287" spans="24:24" x14ac:dyDescent="0.35">
      <c r="X3287" s="8"/>
    </row>
    <row r="3288" spans="24:24" x14ac:dyDescent="0.35">
      <c r="X3288" s="8"/>
    </row>
    <row r="3289" spans="24:24" x14ac:dyDescent="0.35">
      <c r="X3289" s="8"/>
    </row>
    <row r="3290" spans="24:24" x14ac:dyDescent="0.35">
      <c r="X3290" s="8"/>
    </row>
    <row r="3291" spans="24:24" x14ac:dyDescent="0.35">
      <c r="X3291" s="8"/>
    </row>
    <row r="3292" spans="24:24" x14ac:dyDescent="0.35">
      <c r="X3292" s="8"/>
    </row>
    <row r="3293" spans="24:24" x14ac:dyDescent="0.35">
      <c r="X3293" s="8"/>
    </row>
    <row r="3294" spans="24:24" x14ac:dyDescent="0.35">
      <c r="X3294" s="8"/>
    </row>
    <row r="3295" spans="24:24" x14ac:dyDescent="0.35">
      <c r="X3295" s="8"/>
    </row>
    <row r="3296" spans="24:24" x14ac:dyDescent="0.35">
      <c r="X3296" s="8"/>
    </row>
    <row r="3297" spans="24:24" x14ac:dyDescent="0.35">
      <c r="X3297" s="8"/>
    </row>
    <row r="3298" spans="24:24" x14ac:dyDescent="0.35">
      <c r="X3298" s="8"/>
    </row>
    <row r="3299" spans="24:24" x14ac:dyDescent="0.35">
      <c r="X3299" s="8"/>
    </row>
    <row r="3300" spans="24:24" x14ac:dyDescent="0.35">
      <c r="X3300" s="8"/>
    </row>
    <row r="3301" spans="24:24" x14ac:dyDescent="0.35">
      <c r="X3301" s="8"/>
    </row>
    <row r="3302" spans="24:24" x14ac:dyDescent="0.35">
      <c r="X3302" s="8"/>
    </row>
    <row r="3303" spans="24:24" x14ac:dyDescent="0.35">
      <c r="X3303" s="8"/>
    </row>
    <row r="3304" spans="24:24" x14ac:dyDescent="0.35">
      <c r="X3304" s="8"/>
    </row>
    <row r="3305" spans="24:24" x14ac:dyDescent="0.35">
      <c r="X3305" s="8"/>
    </row>
    <row r="3306" spans="24:24" x14ac:dyDescent="0.35">
      <c r="X3306" s="8"/>
    </row>
    <row r="3307" spans="24:24" x14ac:dyDescent="0.35">
      <c r="X3307" s="8"/>
    </row>
    <row r="3308" spans="24:24" x14ac:dyDescent="0.35">
      <c r="X3308" s="8"/>
    </row>
    <row r="3309" spans="24:24" x14ac:dyDescent="0.35">
      <c r="X3309" s="8"/>
    </row>
    <row r="3310" spans="24:24" x14ac:dyDescent="0.35">
      <c r="X3310" s="8"/>
    </row>
    <row r="3311" spans="24:24" x14ac:dyDescent="0.35">
      <c r="X3311" s="8"/>
    </row>
    <row r="3312" spans="24:24" x14ac:dyDescent="0.35">
      <c r="X3312" s="8"/>
    </row>
    <row r="3313" spans="24:24" x14ac:dyDescent="0.35">
      <c r="X3313" s="8"/>
    </row>
    <row r="3314" spans="24:24" x14ac:dyDescent="0.35">
      <c r="X3314" s="8"/>
    </row>
    <row r="3315" spans="24:24" x14ac:dyDescent="0.35">
      <c r="X3315" s="8"/>
    </row>
    <row r="3316" spans="24:24" x14ac:dyDescent="0.35">
      <c r="X3316" s="8"/>
    </row>
    <row r="3317" spans="24:24" x14ac:dyDescent="0.35">
      <c r="X3317" s="8"/>
    </row>
    <row r="3318" spans="24:24" x14ac:dyDescent="0.35">
      <c r="X3318" s="8"/>
    </row>
    <row r="3319" spans="24:24" x14ac:dyDescent="0.35">
      <c r="X3319" s="8"/>
    </row>
    <row r="3320" spans="24:24" x14ac:dyDescent="0.35">
      <c r="X3320" s="8"/>
    </row>
    <row r="3321" spans="24:24" x14ac:dyDescent="0.35">
      <c r="X3321" s="8"/>
    </row>
    <row r="3322" spans="24:24" x14ac:dyDescent="0.35">
      <c r="X3322" s="8"/>
    </row>
    <row r="3323" spans="24:24" x14ac:dyDescent="0.35">
      <c r="X3323" s="8"/>
    </row>
    <row r="3324" spans="24:24" x14ac:dyDescent="0.35">
      <c r="X3324" s="8"/>
    </row>
    <row r="3325" spans="24:24" x14ac:dyDescent="0.35">
      <c r="X3325" s="8"/>
    </row>
    <row r="3326" spans="24:24" x14ac:dyDescent="0.35">
      <c r="X3326" s="8"/>
    </row>
    <row r="3327" spans="24:24" x14ac:dyDescent="0.35">
      <c r="X3327" s="8"/>
    </row>
    <row r="3328" spans="24:24" x14ac:dyDescent="0.35">
      <c r="X3328" s="8"/>
    </row>
    <row r="3329" spans="24:24" x14ac:dyDescent="0.35">
      <c r="X3329" s="8"/>
    </row>
    <row r="3330" spans="24:24" x14ac:dyDescent="0.35">
      <c r="X3330" s="8"/>
    </row>
    <row r="3331" spans="24:24" x14ac:dyDescent="0.35">
      <c r="X3331" s="8"/>
    </row>
    <row r="3332" spans="24:24" x14ac:dyDescent="0.35">
      <c r="X3332" s="8"/>
    </row>
    <row r="3333" spans="24:24" x14ac:dyDescent="0.35">
      <c r="X3333" s="8"/>
    </row>
    <row r="3334" spans="24:24" x14ac:dyDescent="0.35">
      <c r="X3334" s="8"/>
    </row>
    <row r="3335" spans="24:24" x14ac:dyDescent="0.35">
      <c r="X3335" s="8"/>
    </row>
    <row r="3336" spans="24:24" x14ac:dyDescent="0.35">
      <c r="X3336" s="8"/>
    </row>
    <row r="3337" spans="24:24" x14ac:dyDescent="0.35">
      <c r="X3337" s="8"/>
    </row>
    <row r="3338" spans="24:24" x14ac:dyDescent="0.35">
      <c r="X3338" s="8"/>
    </row>
    <row r="3339" spans="24:24" x14ac:dyDescent="0.35">
      <c r="X3339" s="8"/>
    </row>
    <row r="3340" spans="24:24" x14ac:dyDescent="0.35">
      <c r="X3340" s="8"/>
    </row>
    <row r="3341" spans="24:24" x14ac:dyDescent="0.35">
      <c r="X3341" s="8"/>
    </row>
    <row r="3342" spans="24:24" x14ac:dyDescent="0.35">
      <c r="X3342" s="8"/>
    </row>
    <row r="3343" spans="24:24" x14ac:dyDescent="0.35">
      <c r="X3343" s="8"/>
    </row>
    <row r="3344" spans="24:24" x14ac:dyDescent="0.35">
      <c r="X3344" s="8"/>
    </row>
    <row r="3345" spans="24:24" x14ac:dyDescent="0.35">
      <c r="X3345" s="8"/>
    </row>
    <row r="3346" spans="24:24" x14ac:dyDescent="0.35">
      <c r="X3346" s="8"/>
    </row>
    <row r="3347" spans="24:24" x14ac:dyDescent="0.35">
      <c r="X3347" s="8"/>
    </row>
    <row r="3348" spans="24:24" x14ac:dyDescent="0.35">
      <c r="X3348" s="8"/>
    </row>
    <row r="3349" spans="24:24" x14ac:dyDescent="0.35">
      <c r="X3349" s="8"/>
    </row>
    <row r="3350" spans="24:24" x14ac:dyDescent="0.35">
      <c r="X3350" s="8"/>
    </row>
    <row r="3351" spans="24:24" x14ac:dyDescent="0.35">
      <c r="X3351" s="8"/>
    </row>
    <row r="3352" spans="24:24" x14ac:dyDescent="0.35">
      <c r="X3352" s="8"/>
    </row>
    <row r="3353" spans="24:24" x14ac:dyDescent="0.35">
      <c r="X3353" s="8"/>
    </row>
    <row r="3354" spans="24:24" x14ac:dyDescent="0.35">
      <c r="X3354" s="8"/>
    </row>
    <row r="3355" spans="24:24" x14ac:dyDescent="0.35">
      <c r="X3355" s="8"/>
    </row>
    <row r="3356" spans="24:24" x14ac:dyDescent="0.35">
      <c r="X3356" s="8"/>
    </row>
    <row r="3357" spans="24:24" x14ac:dyDescent="0.35">
      <c r="X3357" s="8"/>
    </row>
    <row r="3358" spans="24:24" x14ac:dyDescent="0.35">
      <c r="X3358" s="8"/>
    </row>
    <row r="3359" spans="24:24" x14ac:dyDescent="0.35">
      <c r="X3359" s="8"/>
    </row>
    <row r="3360" spans="24:24" x14ac:dyDescent="0.35">
      <c r="X3360" s="8"/>
    </row>
    <row r="3361" spans="24:24" x14ac:dyDescent="0.35">
      <c r="X3361" s="8"/>
    </row>
    <row r="3362" spans="24:24" x14ac:dyDescent="0.35">
      <c r="X3362" s="8"/>
    </row>
    <row r="3363" spans="24:24" x14ac:dyDescent="0.35">
      <c r="X3363" s="8"/>
    </row>
    <row r="3364" spans="24:24" x14ac:dyDescent="0.35">
      <c r="X3364" s="8"/>
    </row>
    <row r="3365" spans="24:24" x14ac:dyDescent="0.35">
      <c r="X3365" s="8"/>
    </row>
    <row r="3366" spans="24:24" x14ac:dyDescent="0.35">
      <c r="X3366" s="8"/>
    </row>
    <row r="3367" spans="24:24" x14ac:dyDescent="0.35">
      <c r="X3367" s="8"/>
    </row>
    <row r="3368" spans="24:24" x14ac:dyDescent="0.35">
      <c r="X3368" s="8"/>
    </row>
    <row r="3369" spans="24:24" x14ac:dyDescent="0.35">
      <c r="X3369" s="8"/>
    </row>
    <row r="3370" spans="24:24" x14ac:dyDescent="0.35">
      <c r="X3370" s="8"/>
    </row>
    <row r="3371" spans="24:24" x14ac:dyDescent="0.35">
      <c r="X3371" s="8"/>
    </row>
    <row r="3372" spans="24:24" x14ac:dyDescent="0.35">
      <c r="X3372" s="8"/>
    </row>
    <row r="3373" spans="24:24" x14ac:dyDescent="0.35">
      <c r="X3373" s="8"/>
    </row>
    <row r="3374" spans="24:24" x14ac:dyDescent="0.35">
      <c r="X3374" s="8"/>
    </row>
    <row r="3375" spans="24:24" x14ac:dyDescent="0.35">
      <c r="X3375" s="8"/>
    </row>
    <row r="3376" spans="24:24" x14ac:dyDescent="0.35">
      <c r="X3376" s="8"/>
    </row>
    <row r="3377" spans="24:24" x14ac:dyDescent="0.35">
      <c r="X3377" s="8"/>
    </row>
    <row r="3378" spans="24:24" x14ac:dyDescent="0.35">
      <c r="X3378" s="8"/>
    </row>
    <row r="3379" spans="24:24" x14ac:dyDescent="0.35">
      <c r="X3379" s="8"/>
    </row>
    <row r="3380" spans="24:24" x14ac:dyDescent="0.35">
      <c r="X3380" s="8"/>
    </row>
    <row r="3381" spans="24:24" x14ac:dyDescent="0.35">
      <c r="X3381" s="8"/>
    </row>
    <row r="3382" spans="24:24" x14ac:dyDescent="0.35">
      <c r="X3382" s="8"/>
    </row>
    <row r="3383" spans="24:24" x14ac:dyDescent="0.35">
      <c r="X3383" s="8"/>
    </row>
    <row r="3384" spans="24:24" x14ac:dyDescent="0.35">
      <c r="X3384" s="8"/>
    </row>
    <row r="3385" spans="24:24" x14ac:dyDescent="0.35">
      <c r="X3385" s="8"/>
    </row>
    <row r="3386" spans="24:24" x14ac:dyDescent="0.35">
      <c r="X3386" s="8"/>
    </row>
    <row r="3387" spans="24:24" x14ac:dyDescent="0.35">
      <c r="X3387" s="8"/>
    </row>
    <row r="3388" spans="24:24" x14ac:dyDescent="0.35">
      <c r="X3388" s="8"/>
    </row>
    <row r="3389" spans="24:24" x14ac:dyDescent="0.35">
      <c r="X3389" s="8"/>
    </row>
    <row r="3390" spans="24:24" x14ac:dyDescent="0.35">
      <c r="X3390" s="8"/>
    </row>
    <row r="3391" spans="24:24" x14ac:dyDescent="0.35">
      <c r="X3391" s="8"/>
    </row>
    <row r="3392" spans="24:24" x14ac:dyDescent="0.35">
      <c r="X3392" s="8"/>
    </row>
    <row r="3393" spans="24:24" x14ac:dyDescent="0.35">
      <c r="X3393" s="8"/>
    </row>
    <row r="3394" spans="24:24" x14ac:dyDescent="0.35">
      <c r="X3394" s="8"/>
    </row>
    <row r="3395" spans="24:24" x14ac:dyDescent="0.35">
      <c r="X3395" s="8"/>
    </row>
    <row r="3396" spans="24:24" x14ac:dyDescent="0.35">
      <c r="X3396" s="8"/>
    </row>
    <row r="3397" spans="24:24" x14ac:dyDescent="0.35">
      <c r="X3397" s="8"/>
    </row>
    <row r="3398" spans="24:24" x14ac:dyDescent="0.35">
      <c r="X3398" s="8"/>
    </row>
    <row r="3399" spans="24:24" x14ac:dyDescent="0.35">
      <c r="X3399" s="8"/>
    </row>
    <row r="3400" spans="24:24" x14ac:dyDescent="0.35">
      <c r="X3400" s="8"/>
    </row>
    <row r="3401" spans="24:24" x14ac:dyDescent="0.35">
      <c r="X3401" s="8"/>
    </row>
    <row r="3402" spans="24:24" x14ac:dyDescent="0.35">
      <c r="X3402" s="8"/>
    </row>
    <row r="3403" spans="24:24" x14ac:dyDescent="0.35">
      <c r="X3403" s="8"/>
    </row>
    <row r="3404" spans="24:24" x14ac:dyDescent="0.35">
      <c r="X3404" s="8"/>
    </row>
    <row r="3405" spans="24:24" x14ac:dyDescent="0.35">
      <c r="X3405" s="8"/>
    </row>
    <row r="3406" spans="24:24" x14ac:dyDescent="0.35">
      <c r="X3406" s="8"/>
    </row>
    <row r="3407" spans="24:24" x14ac:dyDescent="0.35">
      <c r="X3407" s="8"/>
    </row>
    <row r="3408" spans="24:24" x14ac:dyDescent="0.35">
      <c r="X3408" s="8"/>
    </row>
    <row r="3409" spans="24:24" x14ac:dyDescent="0.35">
      <c r="X3409" s="8"/>
    </row>
    <row r="3410" spans="24:24" x14ac:dyDescent="0.35">
      <c r="X3410" s="8"/>
    </row>
    <row r="3411" spans="24:24" x14ac:dyDescent="0.35">
      <c r="X3411" s="8"/>
    </row>
    <row r="3412" spans="24:24" x14ac:dyDescent="0.35">
      <c r="X3412" s="8"/>
    </row>
    <row r="3413" spans="24:24" x14ac:dyDescent="0.35">
      <c r="X3413" s="8"/>
    </row>
    <row r="3414" spans="24:24" x14ac:dyDescent="0.35">
      <c r="X3414" s="8"/>
    </row>
    <row r="3415" spans="24:24" x14ac:dyDescent="0.35">
      <c r="X3415" s="8"/>
    </row>
    <row r="3416" spans="24:24" x14ac:dyDescent="0.35">
      <c r="X3416" s="8"/>
    </row>
    <row r="3417" spans="24:24" x14ac:dyDescent="0.35">
      <c r="X3417" s="8"/>
    </row>
    <row r="3418" spans="24:24" x14ac:dyDescent="0.35">
      <c r="X3418" s="8"/>
    </row>
    <row r="3419" spans="24:24" x14ac:dyDescent="0.35">
      <c r="X3419" s="8"/>
    </row>
    <row r="3420" spans="24:24" x14ac:dyDescent="0.35">
      <c r="X3420" s="8"/>
    </row>
    <row r="3421" spans="24:24" x14ac:dyDescent="0.35">
      <c r="X3421" s="8"/>
    </row>
    <row r="3422" spans="24:24" x14ac:dyDescent="0.35">
      <c r="X3422" s="8"/>
    </row>
    <row r="3423" spans="24:24" x14ac:dyDescent="0.35">
      <c r="X3423" s="8"/>
    </row>
    <row r="3424" spans="24:24" x14ac:dyDescent="0.35">
      <c r="X3424" s="8"/>
    </row>
    <row r="3425" spans="24:24" x14ac:dyDescent="0.35">
      <c r="X3425" s="8"/>
    </row>
    <row r="3426" spans="24:24" x14ac:dyDescent="0.35">
      <c r="X3426" s="8"/>
    </row>
    <row r="3427" spans="24:24" x14ac:dyDescent="0.35">
      <c r="X3427" s="8"/>
    </row>
    <row r="3428" spans="24:24" x14ac:dyDescent="0.35">
      <c r="X3428" s="8"/>
    </row>
    <row r="3429" spans="24:24" x14ac:dyDescent="0.35">
      <c r="X3429" s="8"/>
    </row>
    <row r="3430" spans="24:24" x14ac:dyDescent="0.35">
      <c r="X3430" s="8"/>
    </row>
    <row r="3431" spans="24:24" x14ac:dyDescent="0.35">
      <c r="X3431" s="8"/>
    </row>
    <row r="3432" spans="24:24" x14ac:dyDescent="0.35">
      <c r="X3432" s="8"/>
    </row>
    <row r="3433" spans="24:24" x14ac:dyDescent="0.35">
      <c r="X3433" s="8"/>
    </row>
    <row r="3434" spans="24:24" x14ac:dyDescent="0.35">
      <c r="X3434" s="8"/>
    </row>
    <row r="3435" spans="24:24" x14ac:dyDescent="0.35">
      <c r="X3435" s="8"/>
    </row>
    <row r="3436" spans="24:24" x14ac:dyDescent="0.35">
      <c r="X3436" s="8"/>
    </row>
    <row r="3437" spans="24:24" x14ac:dyDescent="0.35">
      <c r="X3437" s="8"/>
    </row>
    <row r="3438" spans="24:24" x14ac:dyDescent="0.35">
      <c r="X3438" s="8"/>
    </row>
    <row r="3439" spans="24:24" x14ac:dyDescent="0.35">
      <c r="X3439" s="8"/>
    </row>
    <row r="3440" spans="24:24" x14ac:dyDescent="0.35">
      <c r="X3440" s="8"/>
    </row>
    <row r="3441" spans="24:24" x14ac:dyDescent="0.35">
      <c r="X3441" s="8"/>
    </row>
    <row r="3442" spans="24:24" x14ac:dyDescent="0.35">
      <c r="X3442" s="8"/>
    </row>
    <row r="3443" spans="24:24" x14ac:dyDescent="0.35">
      <c r="X3443" s="8"/>
    </row>
    <row r="3444" spans="24:24" x14ac:dyDescent="0.35">
      <c r="X3444" s="8"/>
    </row>
    <row r="3445" spans="24:24" x14ac:dyDescent="0.35">
      <c r="X3445" s="8"/>
    </row>
    <row r="3446" spans="24:24" x14ac:dyDescent="0.35">
      <c r="X3446" s="8"/>
    </row>
    <row r="3447" spans="24:24" x14ac:dyDescent="0.35">
      <c r="X3447" s="8"/>
    </row>
    <row r="3448" spans="24:24" x14ac:dyDescent="0.35">
      <c r="X3448" s="8"/>
    </row>
    <row r="3449" spans="24:24" x14ac:dyDescent="0.35">
      <c r="X3449" s="8"/>
    </row>
    <row r="3450" spans="24:24" x14ac:dyDescent="0.35">
      <c r="X3450" s="8"/>
    </row>
    <row r="3451" spans="24:24" x14ac:dyDescent="0.35">
      <c r="X3451" s="8"/>
    </row>
    <row r="3452" spans="24:24" x14ac:dyDescent="0.35">
      <c r="X3452" s="8"/>
    </row>
    <row r="3453" spans="24:24" x14ac:dyDescent="0.35">
      <c r="X3453" s="8"/>
    </row>
    <row r="3454" spans="24:24" x14ac:dyDescent="0.35">
      <c r="X3454" s="8"/>
    </row>
    <row r="3455" spans="24:24" x14ac:dyDescent="0.35">
      <c r="X3455" s="8"/>
    </row>
    <row r="3456" spans="24:24" x14ac:dyDescent="0.35">
      <c r="X3456" s="8"/>
    </row>
    <row r="3457" spans="24:24" x14ac:dyDescent="0.35">
      <c r="X3457" s="8"/>
    </row>
    <row r="3458" spans="24:24" x14ac:dyDescent="0.35">
      <c r="X3458" s="8"/>
    </row>
    <row r="3459" spans="24:24" x14ac:dyDescent="0.35">
      <c r="X3459" s="8"/>
    </row>
    <row r="3460" spans="24:24" x14ac:dyDescent="0.35">
      <c r="X3460" s="8"/>
    </row>
    <row r="3461" spans="24:24" x14ac:dyDescent="0.35">
      <c r="X3461" s="8"/>
    </row>
    <row r="3462" spans="24:24" x14ac:dyDescent="0.35">
      <c r="X3462" s="8"/>
    </row>
    <row r="3463" spans="24:24" x14ac:dyDescent="0.35">
      <c r="X3463" s="8"/>
    </row>
    <row r="3464" spans="24:24" x14ac:dyDescent="0.35">
      <c r="X3464" s="8"/>
    </row>
    <row r="3465" spans="24:24" x14ac:dyDescent="0.35">
      <c r="X3465" s="8"/>
    </row>
    <row r="3466" spans="24:24" x14ac:dyDescent="0.35">
      <c r="X3466" s="8"/>
    </row>
    <row r="3467" spans="24:24" x14ac:dyDescent="0.35">
      <c r="X3467" s="8"/>
    </row>
    <row r="3468" spans="24:24" x14ac:dyDescent="0.35">
      <c r="X3468" s="8"/>
    </row>
    <row r="3469" spans="24:24" x14ac:dyDescent="0.35">
      <c r="X3469" s="8"/>
    </row>
    <row r="3470" spans="24:24" x14ac:dyDescent="0.35">
      <c r="X3470" s="8"/>
    </row>
    <row r="3471" spans="24:24" x14ac:dyDescent="0.35">
      <c r="X3471" s="8"/>
    </row>
    <row r="3472" spans="24:24" x14ac:dyDescent="0.35">
      <c r="X3472" s="8"/>
    </row>
    <row r="3473" spans="24:24" x14ac:dyDescent="0.35">
      <c r="X3473" s="8"/>
    </row>
    <row r="3474" spans="24:24" x14ac:dyDescent="0.35">
      <c r="X3474" s="8"/>
    </row>
    <row r="3475" spans="24:24" x14ac:dyDescent="0.35">
      <c r="X3475" s="8"/>
    </row>
    <row r="3476" spans="24:24" x14ac:dyDescent="0.35">
      <c r="X3476" s="8"/>
    </row>
    <row r="3477" spans="24:24" x14ac:dyDescent="0.35">
      <c r="X3477" s="8"/>
    </row>
    <row r="3478" spans="24:24" x14ac:dyDescent="0.35">
      <c r="X3478" s="8"/>
    </row>
    <row r="3479" spans="24:24" x14ac:dyDescent="0.35">
      <c r="X3479" s="8"/>
    </row>
    <row r="3480" spans="24:24" x14ac:dyDescent="0.35">
      <c r="X3480" s="8"/>
    </row>
    <row r="3481" spans="24:24" x14ac:dyDescent="0.35">
      <c r="X3481" s="8"/>
    </row>
    <row r="3482" spans="24:24" x14ac:dyDescent="0.35">
      <c r="X3482" s="8"/>
    </row>
    <row r="3483" spans="24:24" x14ac:dyDescent="0.35">
      <c r="X3483" s="8"/>
    </row>
    <row r="3484" spans="24:24" x14ac:dyDescent="0.35">
      <c r="X3484" s="8"/>
    </row>
    <row r="3485" spans="24:24" x14ac:dyDescent="0.35">
      <c r="X3485" s="8"/>
    </row>
    <row r="3486" spans="24:24" x14ac:dyDescent="0.35">
      <c r="X3486" s="8"/>
    </row>
    <row r="3487" spans="24:24" x14ac:dyDescent="0.35">
      <c r="X3487" s="8"/>
    </row>
    <row r="3488" spans="24:24" x14ac:dyDescent="0.35">
      <c r="X3488" s="8"/>
    </row>
    <row r="3489" spans="24:24" x14ac:dyDescent="0.35">
      <c r="X3489" s="8"/>
    </row>
    <row r="3490" spans="24:24" x14ac:dyDescent="0.35">
      <c r="X3490" s="8"/>
    </row>
    <row r="3491" spans="24:24" x14ac:dyDescent="0.35">
      <c r="X3491" s="8"/>
    </row>
    <row r="3492" spans="24:24" x14ac:dyDescent="0.35">
      <c r="X3492" s="8"/>
    </row>
    <row r="3493" spans="24:24" x14ac:dyDescent="0.35">
      <c r="X3493" s="8"/>
    </row>
    <row r="3494" spans="24:24" x14ac:dyDescent="0.35">
      <c r="X3494" s="8"/>
    </row>
    <row r="3495" spans="24:24" x14ac:dyDescent="0.35">
      <c r="X3495" s="8"/>
    </row>
    <row r="3496" spans="24:24" x14ac:dyDescent="0.35">
      <c r="X3496" s="8"/>
    </row>
    <row r="3497" spans="24:24" x14ac:dyDescent="0.35">
      <c r="X3497" s="8"/>
    </row>
    <row r="3498" spans="24:24" x14ac:dyDescent="0.35">
      <c r="X3498" s="8"/>
    </row>
    <row r="3499" spans="24:24" x14ac:dyDescent="0.35">
      <c r="X3499" s="8"/>
    </row>
    <row r="3500" spans="24:24" x14ac:dyDescent="0.35">
      <c r="X3500" s="8"/>
    </row>
    <row r="3501" spans="24:24" x14ac:dyDescent="0.35">
      <c r="X3501" s="8"/>
    </row>
    <row r="3502" spans="24:24" x14ac:dyDescent="0.35">
      <c r="X3502" s="8"/>
    </row>
    <row r="3503" spans="24:24" x14ac:dyDescent="0.35">
      <c r="X3503" s="8"/>
    </row>
    <row r="3504" spans="24:24" x14ac:dyDescent="0.35">
      <c r="X3504" s="8"/>
    </row>
    <row r="3505" spans="24:24" x14ac:dyDescent="0.35">
      <c r="X3505" s="8"/>
    </row>
    <row r="3506" spans="24:24" x14ac:dyDescent="0.35">
      <c r="X3506" s="8"/>
    </row>
    <row r="3507" spans="24:24" x14ac:dyDescent="0.35">
      <c r="X3507" s="8"/>
    </row>
    <row r="3508" spans="24:24" x14ac:dyDescent="0.35">
      <c r="X3508" s="8"/>
    </row>
    <row r="3509" spans="24:24" x14ac:dyDescent="0.35">
      <c r="X3509" s="8"/>
    </row>
    <row r="3510" spans="24:24" x14ac:dyDescent="0.35">
      <c r="X3510" s="8"/>
    </row>
    <row r="3511" spans="24:24" x14ac:dyDescent="0.35">
      <c r="X3511" s="8"/>
    </row>
    <row r="3512" spans="24:24" x14ac:dyDescent="0.35">
      <c r="X3512" s="8"/>
    </row>
    <row r="3513" spans="24:24" x14ac:dyDescent="0.35">
      <c r="X3513" s="8"/>
    </row>
    <row r="3514" spans="24:24" x14ac:dyDescent="0.35">
      <c r="X3514" s="8"/>
    </row>
    <row r="3515" spans="24:24" x14ac:dyDescent="0.35">
      <c r="X3515" s="8"/>
    </row>
    <row r="3516" spans="24:24" x14ac:dyDescent="0.35">
      <c r="X3516" s="8"/>
    </row>
    <row r="3517" spans="24:24" x14ac:dyDescent="0.35">
      <c r="X3517" s="8"/>
    </row>
    <row r="3518" spans="24:24" x14ac:dyDescent="0.35">
      <c r="X3518" s="8"/>
    </row>
    <row r="3519" spans="24:24" x14ac:dyDescent="0.35">
      <c r="X3519" s="8"/>
    </row>
    <row r="3520" spans="24:24" x14ac:dyDescent="0.35">
      <c r="X3520" s="8"/>
    </row>
    <row r="3521" spans="24:24" x14ac:dyDescent="0.35">
      <c r="X3521" s="8"/>
    </row>
    <row r="3522" spans="24:24" x14ac:dyDescent="0.35">
      <c r="X3522" s="8"/>
    </row>
    <row r="3523" spans="24:24" x14ac:dyDescent="0.35">
      <c r="X3523" s="8"/>
    </row>
    <row r="3524" spans="24:24" x14ac:dyDescent="0.35">
      <c r="X3524" s="8"/>
    </row>
    <row r="3525" spans="24:24" x14ac:dyDescent="0.35">
      <c r="X3525" s="8"/>
    </row>
    <row r="3526" spans="24:24" x14ac:dyDescent="0.35">
      <c r="X3526" s="8"/>
    </row>
    <row r="3527" spans="24:24" x14ac:dyDescent="0.35">
      <c r="X3527" s="8"/>
    </row>
    <row r="3528" spans="24:24" x14ac:dyDescent="0.35">
      <c r="X3528" s="8"/>
    </row>
    <row r="3529" spans="24:24" x14ac:dyDescent="0.35">
      <c r="X3529" s="8"/>
    </row>
    <row r="3530" spans="24:24" x14ac:dyDescent="0.35">
      <c r="X3530" s="8"/>
    </row>
    <row r="3531" spans="24:24" x14ac:dyDescent="0.35">
      <c r="X3531" s="8"/>
    </row>
    <row r="3532" spans="24:24" x14ac:dyDescent="0.35">
      <c r="X3532" s="8"/>
    </row>
    <row r="3533" spans="24:24" x14ac:dyDescent="0.35">
      <c r="X3533" s="8"/>
    </row>
    <row r="3534" spans="24:24" x14ac:dyDescent="0.35">
      <c r="X3534" s="8"/>
    </row>
    <row r="3535" spans="24:24" x14ac:dyDescent="0.35">
      <c r="X3535" s="8"/>
    </row>
    <row r="3536" spans="24:24" x14ac:dyDescent="0.35">
      <c r="X3536" s="8"/>
    </row>
    <row r="3537" spans="24:24" x14ac:dyDescent="0.35">
      <c r="X3537" s="8"/>
    </row>
    <row r="3538" spans="24:24" x14ac:dyDescent="0.35">
      <c r="X3538" s="8"/>
    </row>
    <row r="3539" spans="24:24" x14ac:dyDescent="0.35">
      <c r="X3539" s="8"/>
    </row>
    <row r="3540" spans="24:24" x14ac:dyDescent="0.35">
      <c r="X3540" s="8"/>
    </row>
    <row r="3541" spans="24:24" x14ac:dyDescent="0.35">
      <c r="X3541" s="8"/>
    </row>
    <row r="3542" spans="24:24" x14ac:dyDescent="0.35">
      <c r="X3542" s="8"/>
    </row>
    <row r="3543" spans="24:24" x14ac:dyDescent="0.35">
      <c r="X3543" s="8"/>
    </row>
    <row r="3544" spans="24:24" x14ac:dyDescent="0.35">
      <c r="X3544" s="8"/>
    </row>
    <row r="3545" spans="24:24" x14ac:dyDescent="0.35">
      <c r="X3545" s="8"/>
    </row>
    <row r="3546" spans="24:24" x14ac:dyDescent="0.35">
      <c r="X3546" s="8"/>
    </row>
    <row r="3547" spans="24:24" x14ac:dyDescent="0.35">
      <c r="X3547" s="8"/>
    </row>
    <row r="3548" spans="24:24" x14ac:dyDescent="0.35">
      <c r="X3548" s="8"/>
    </row>
    <row r="3549" spans="24:24" x14ac:dyDescent="0.35">
      <c r="X3549" s="8"/>
    </row>
    <row r="3550" spans="24:24" x14ac:dyDescent="0.35">
      <c r="X3550" s="8"/>
    </row>
    <row r="3551" spans="24:24" x14ac:dyDescent="0.35">
      <c r="X3551" s="8"/>
    </row>
    <row r="3552" spans="24:24" x14ac:dyDescent="0.35">
      <c r="X3552" s="8"/>
    </row>
    <row r="3553" spans="24:24" x14ac:dyDescent="0.35">
      <c r="X3553" s="8"/>
    </row>
    <row r="3554" spans="24:24" x14ac:dyDescent="0.35">
      <c r="X3554" s="8"/>
    </row>
    <row r="3555" spans="24:24" x14ac:dyDescent="0.35">
      <c r="X3555" s="8"/>
    </row>
    <row r="3556" spans="24:24" x14ac:dyDescent="0.35">
      <c r="X3556" s="8"/>
    </row>
    <row r="3557" spans="24:24" x14ac:dyDescent="0.35">
      <c r="X3557" s="8"/>
    </row>
    <row r="3558" spans="24:24" x14ac:dyDescent="0.35">
      <c r="X3558" s="8"/>
    </row>
    <row r="3559" spans="24:24" x14ac:dyDescent="0.35">
      <c r="X3559" s="8"/>
    </row>
    <row r="3560" spans="24:24" x14ac:dyDescent="0.35">
      <c r="X3560" s="8"/>
    </row>
    <row r="3561" spans="24:24" x14ac:dyDescent="0.35">
      <c r="X3561" s="8"/>
    </row>
    <row r="3562" spans="24:24" x14ac:dyDescent="0.35">
      <c r="X3562" s="8"/>
    </row>
    <row r="3563" spans="24:24" x14ac:dyDescent="0.35">
      <c r="X3563" s="8"/>
    </row>
    <row r="3564" spans="24:24" x14ac:dyDescent="0.35">
      <c r="X3564" s="8"/>
    </row>
    <row r="3565" spans="24:24" x14ac:dyDescent="0.35">
      <c r="X3565" s="8"/>
    </row>
    <row r="3566" spans="24:24" x14ac:dyDescent="0.35">
      <c r="X3566" s="8"/>
    </row>
    <row r="3567" spans="24:24" x14ac:dyDescent="0.35">
      <c r="X3567" s="8"/>
    </row>
    <row r="3568" spans="24:24" x14ac:dyDescent="0.35">
      <c r="X3568" s="8"/>
    </row>
    <row r="3569" spans="24:24" x14ac:dyDescent="0.35">
      <c r="X3569" s="8"/>
    </row>
    <row r="3570" spans="24:24" x14ac:dyDescent="0.35">
      <c r="X3570" s="8"/>
    </row>
    <row r="3571" spans="24:24" x14ac:dyDescent="0.35">
      <c r="X3571" s="8"/>
    </row>
    <row r="3572" spans="24:24" x14ac:dyDescent="0.35">
      <c r="X3572" s="8"/>
    </row>
    <row r="3573" spans="24:24" x14ac:dyDescent="0.35">
      <c r="X3573" s="8"/>
    </row>
    <row r="3574" spans="24:24" x14ac:dyDescent="0.35">
      <c r="X3574" s="8"/>
    </row>
    <row r="3575" spans="24:24" x14ac:dyDescent="0.35">
      <c r="X3575" s="8"/>
    </row>
    <row r="3576" spans="24:24" x14ac:dyDescent="0.35">
      <c r="X3576" s="8"/>
    </row>
    <row r="3577" spans="24:24" x14ac:dyDescent="0.35">
      <c r="X3577" s="8"/>
    </row>
    <row r="3578" spans="24:24" x14ac:dyDescent="0.35">
      <c r="X3578" s="8"/>
    </row>
    <row r="3579" spans="24:24" x14ac:dyDescent="0.35">
      <c r="X3579" s="8"/>
    </row>
    <row r="3580" spans="24:24" x14ac:dyDescent="0.35">
      <c r="X3580" s="8"/>
    </row>
    <row r="3581" spans="24:24" x14ac:dyDescent="0.35">
      <c r="X3581" s="8"/>
    </row>
    <row r="3582" spans="24:24" x14ac:dyDescent="0.35">
      <c r="X3582" s="8"/>
    </row>
    <row r="3583" spans="24:24" x14ac:dyDescent="0.35">
      <c r="X3583" s="8"/>
    </row>
    <row r="3584" spans="24:24" x14ac:dyDescent="0.35">
      <c r="X3584" s="8"/>
    </row>
    <row r="3585" spans="24:24" x14ac:dyDescent="0.35">
      <c r="X3585" s="8"/>
    </row>
    <row r="3586" spans="24:24" x14ac:dyDescent="0.35">
      <c r="X3586" s="8"/>
    </row>
    <row r="3587" spans="24:24" x14ac:dyDescent="0.35">
      <c r="X3587" s="8"/>
    </row>
    <row r="3588" spans="24:24" x14ac:dyDescent="0.35">
      <c r="X3588" s="8"/>
    </row>
    <row r="3589" spans="24:24" x14ac:dyDescent="0.35">
      <c r="X3589" s="8"/>
    </row>
    <row r="3590" spans="24:24" x14ac:dyDescent="0.35">
      <c r="X3590" s="8"/>
    </row>
    <row r="3591" spans="24:24" x14ac:dyDescent="0.35">
      <c r="X3591" s="8"/>
    </row>
    <row r="3592" spans="24:24" x14ac:dyDescent="0.35">
      <c r="X3592" s="8"/>
    </row>
    <row r="3593" spans="24:24" x14ac:dyDescent="0.35">
      <c r="X3593" s="8"/>
    </row>
    <row r="3594" spans="24:24" x14ac:dyDescent="0.35">
      <c r="X3594" s="8"/>
    </row>
    <row r="3595" spans="24:24" x14ac:dyDescent="0.35">
      <c r="X3595" s="8"/>
    </row>
    <row r="3596" spans="24:24" x14ac:dyDescent="0.35">
      <c r="X3596" s="8"/>
    </row>
    <row r="3597" spans="24:24" x14ac:dyDescent="0.35">
      <c r="X3597" s="8"/>
    </row>
    <row r="3598" spans="24:24" x14ac:dyDescent="0.35">
      <c r="X3598" s="8"/>
    </row>
    <row r="3599" spans="24:24" x14ac:dyDescent="0.35">
      <c r="X3599" s="8"/>
    </row>
    <row r="3600" spans="24:24" x14ac:dyDescent="0.35">
      <c r="X3600" s="8"/>
    </row>
    <row r="3601" spans="24:24" x14ac:dyDescent="0.35">
      <c r="X3601" s="8"/>
    </row>
    <row r="3602" spans="24:24" x14ac:dyDescent="0.35">
      <c r="X3602" s="8"/>
    </row>
    <row r="3603" spans="24:24" x14ac:dyDescent="0.35">
      <c r="X3603" s="8"/>
    </row>
    <row r="3604" spans="24:24" x14ac:dyDescent="0.35">
      <c r="X3604" s="8"/>
    </row>
    <row r="3605" spans="24:24" x14ac:dyDescent="0.35">
      <c r="X3605" s="8"/>
    </row>
    <row r="3606" spans="24:24" x14ac:dyDescent="0.35">
      <c r="X3606" s="8"/>
    </row>
    <row r="3607" spans="24:24" x14ac:dyDescent="0.35">
      <c r="X3607" s="8"/>
    </row>
    <row r="3608" spans="24:24" x14ac:dyDescent="0.35">
      <c r="X3608" s="8"/>
    </row>
    <row r="3609" spans="24:24" x14ac:dyDescent="0.35">
      <c r="X3609" s="8"/>
    </row>
    <row r="3610" spans="24:24" x14ac:dyDescent="0.35">
      <c r="X3610" s="8"/>
    </row>
    <row r="3611" spans="24:24" x14ac:dyDescent="0.35">
      <c r="X3611" s="8"/>
    </row>
    <row r="3612" spans="24:24" x14ac:dyDescent="0.35">
      <c r="X3612" s="8"/>
    </row>
    <row r="3613" spans="24:24" x14ac:dyDescent="0.35">
      <c r="X3613" s="8"/>
    </row>
    <row r="3614" spans="24:24" x14ac:dyDescent="0.35">
      <c r="X3614" s="8"/>
    </row>
    <row r="3615" spans="24:24" x14ac:dyDescent="0.35">
      <c r="X3615" s="8"/>
    </row>
    <row r="3616" spans="24:24" x14ac:dyDescent="0.35">
      <c r="X3616" s="8"/>
    </row>
    <row r="3617" spans="24:24" x14ac:dyDescent="0.35">
      <c r="X3617" s="8"/>
    </row>
    <row r="3618" spans="24:24" x14ac:dyDescent="0.35">
      <c r="X3618" s="8"/>
    </row>
    <row r="3619" spans="24:24" x14ac:dyDescent="0.35">
      <c r="X3619" s="8"/>
    </row>
    <row r="3620" spans="24:24" x14ac:dyDescent="0.35">
      <c r="X3620" s="8"/>
    </row>
    <row r="3621" spans="24:24" x14ac:dyDescent="0.35">
      <c r="X3621" s="8"/>
    </row>
    <row r="3622" spans="24:24" x14ac:dyDescent="0.35">
      <c r="X3622" s="8"/>
    </row>
    <row r="3623" spans="24:24" x14ac:dyDescent="0.35">
      <c r="X3623" s="8"/>
    </row>
    <row r="3624" spans="24:24" x14ac:dyDescent="0.35">
      <c r="X3624" s="8"/>
    </row>
    <row r="3625" spans="24:24" x14ac:dyDescent="0.35">
      <c r="X3625" s="8"/>
    </row>
    <row r="3626" spans="24:24" x14ac:dyDescent="0.35">
      <c r="X3626" s="8"/>
    </row>
    <row r="3627" spans="24:24" x14ac:dyDescent="0.35">
      <c r="X3627" s="8"/>
    </row>
    <row r="3628" spans="24:24" x14ac:dyDescent="0.35">
      <c r="X3628" s="8"/>
    </row>
    <row r="3629" spans="24:24" x14ac:dyDescent="0.35">
      <c r="X3629" s="8"/>
    </row>
    <row r="3630" spans="24:24" x14ac:dyDescent="0.35">
      <c r="X3630" s="8"/>
    </row>
    <row r="3631" spans="24:24" x14ac:dyDescent="0.35">
      <c r="X3631" s="8"/>
    </row>
    <row r="3632" spans="24:24" x14ac:dyDescent="0.35">
      <c r="X3632" s="8"/>
    </row>
    <row r="3633" spans="24:24" x14ac:dyDescent="0.35">
      <c r="X3633" s="8"/>
    </row>
    <row r="3634" spans="24:24" x14ac:dyDescent="0.35">
      <c r="X3634" s="8"/>
    </row>
    <row r="3635" spans="24:24" x14ac:dyDescent="0.35">
      <c r="X3635" s="8"/>
    </row>
    <row r="3636" spans="24:24" x14ac:dyDescent="0.35">
      <c r="X3636" s="8"/>
    </row>
    <row r="3637" spans="24:24" x14ac:dyDescent="0.35">
      <c r="X3637" s="8"/>
    </row>
    <row r="3638" spans="24:24" x14ac:dyDescent="0.35">
      <c r="X3638" s="8"/>
    </row>
    <row r="3639" spans="24:24" x14ac:dyDescent="0.35">
      <c r="X3639" s="8"/>
    </row>
    <row r="3640" spans="24:24" x14ac:dyDescent="0.35">
      <c r="X3640" s="8"/>
    </row>
    <row r="3641" spans="24:24" x14ac:dyDescent="0.35">
      <c r="X3641" s="8"/>
    </row>
    <row r="3642" spans="24:24" x14ac:dyDescent="0.35">
      <c r="X3642" s="8"/>
    </row>
    <row r="3643" spans="24:24" x14ac:dyDescent="0.35">
      <c r="X3643" s="8"/>
    </row>
    <row r="3644" spans="24:24" x14ac:dyDescent="0.35">
      <c r="X3644" s="8"/>
    </row>
    <row r="3645" spans="24:24" x14ac:dyDescent="0.35">
      <c r="X3645" s="8"/>
    </row>
    <row r="3646" spans="24:24" x14ac:dyDescent="0.35">
      <c r="X3646" s="8"/>
    </row>
    <row r="3647" spans="24:24" x14ac:dyDescent="0.35">
      <c r="X3647" s="8"/>
    </row>
    <row r="3648" spans="24:24" x14ac:dyDescent="0.35">
      <c r="X3648" s="8"/>
    </row>
    <row r="3649" spans="24:24" x14ac:dyDescent="0.35">
      <c r="X3649" s="8"/>
    </row>
    <row r="3650" spans="24:24" x14ac:dyDescent="0.35">
      <c r="X3650" s="8"/>
    </row>
    <row r="3651" spans="24:24" x14ac:dyDescent="0.35">
      <c r="X3651" s="8"/>
    </row>
    <row r="3652" spans="24:24" x14ac:dyDescent="0.35">
      <c r="X3652" s="8"/>
    </row>
    <row r="3653" spans="24:24" x14ac:dyDescent="0.35">
      <c r="X3653" s="8"/>
    </row>
    <row r="3654" spans="24:24" x14ac:dyDescent="0.35">
      <c r="X3654" s="8"/>
    </row>
    <row r="3655" spans="24:24" x14ac:dyDescent="0.35">
      <c r="X3655" s="8"/>
    </row>
    <row r="3656" spans="24:24" x14ac:dyDescent="0.35">
      <c r="X3656" s="8"/>
    </row>
    <row r="3657" spans="24:24" x14ac:dyDescent="0.35">
      <c r="X3657" s="8"/>
    </row>
    <row r="3658" spans="24:24" x14ac:dyDescent="0.35">
      <c r="X3658" s="8"/>
    </row>
    <row r="3659" spans="24:24" x14ac:dyDescent="0.35">
      <c r="X3659" s="8"/>
    </row>
    <row r="3660" spans="24:24" x14ac:dyDescent="0.35">
      <c r="X3660" s="8"/>
    </row>
    <row r="3661" spans="24:24" x14ac:dyDescent="0.35">
      <c r="X3661" s="8"/>
    </row>
    <row r="3662" spans="24:24" x14ac:dyDescent="0.35">
      <c r="X3662" s="8"/>
    </row>
    <row r="3663" spans="24:24" x14ac:dyDescent="0.35">
      <c r="X3663" s="8"/>
    </row>
    <row r="3664" spans="24:24" x14ac:dyDescent="0.35">
      <c r="X3664" s="8"/>
    </row>
    <row r="3665" spans="24:24" x14ac:dyDescent="0.35">
      <c r="X3665" s="8"/>
    </row>
    <row r="3666" spans="24:24" x14ac:dyDescent="0.35">
      <c r="X3666" s="8"/>
    </row>
    <row r="3667" spans="24:24" x14ac:dyDescent="0.35">
      <c r="X3667" s="8"/>
    </row>
    <row r="3668" spans="24:24" x14ac:dyDescent="0.35">
      <c r="X3668" s="8"/>
    </row>
    <row r="3669" spans="24:24" x14ac:dyDescent="0.35">
      <c r="X3669" s="8"/>
    </row>
    <row r="3670" spans="24:24" x14ac:dyDescent="0.35">
      <c r="X3670" s="8"/>
    </row>
    <row r="3671" spans="24:24" x14ac:dyDescent="0.35">
      <c r="X3671" s="8"/>
    </row>
    <row r="3672" spans="24:24" x14ac:dyDescent="0.35">
      <c r="X3672" s="8"/>
    </row>
    <row r="3673" spans="24:24" x14ac:dyDescent="0.35">
      <c r="X3673" s="8"/>
    </row>
    <row r="3674" spans="24:24" x14ac:dyDescent="0.35">
      <c r="X3674" s="8"/>
    </row>
    <row r="3675" spans="24:24" x14ac:dyDescent="0.35">
      <c r="X3675" s="8"/>
    </row>
    <row r="3676" spans="24:24" x14ac:dyDescent="0.35">
      <c r="X3676" s="8"/>
    </row>
    <row r="3677" spans="24:24" x14ac:dyDescent="0.35">
      <c r="X3677" s="8"/>
    </row>
    <row r="3678" spans="24:24" x14ac:dyDescent="0.35">
      <c r="X3678" s="8"/>
    </row>
    <row r="3679" spans="24:24" x14ac:dyDescent="0.35">
      <c r="X3679" s="8"/>
    </row>
    <row r="3680" spans="24:24" x14ac:dyDescent="0.35">
      <c r="X3680" s="8"/>
    </row>
    <row r="3681" spans="24:24" x14ac:dyDescent="0.35">
      <c r="X3681" s="8"/>
    </row>
    <row r="3682" spans="24:24" x14ac:dyDescent="0.35">
      <c r="X3682" s="8"/>
    </row>
    <row r="3683" spans="24:24" x14ac:dyDescent="0.35">
      <c r="X3683" s="8"/>
    </row>
    <row r="3684" spans="24:24" x14ac:dyDescent="0.35">
      <c r="X3684" s="8"/>
    </row>
    <row r="3685" spans="24:24" x14ac:dyDescent="0.35">
      <c r="X3685" s="8"/>
    </row>
    <row r="3686" spans="24:24" x14ac:dyDescent="0.35">
      <c r="X3686" s="8"/>
    </row>
    <row r="3687" spans="24:24" x14ac:dyDescent="0.35">
      <c r="X3687" s="8"/>
    </row>
    <row r="3688" spans="24:24" x14ac:dyDescent="0.35">
      <c r="X3688" s="8"/>
    </row>
    <row r="3689" spans="24:24" x14ac:dyDescent="0.35">
      <c r="X3689" s="8"/>
    </row>
    <row r="3690" spans="24:24" x14ac:dyDescent="0.35">
      <c r="X3690" s="8"/>
    </row>
    <row r="3691" spans="24:24" x14ac:dyDescent="0.35">
      <c r="X3691" s="8"/>
    </row>
    <row r="3692" spans="24:24" x14ac:dyDescent="0.35">
      <c r="X3692" s="8"/>
    </row>
    <row r="3693" spans="24:24" x14ac:dyDescent="0.35">
      <c r="X3693" s="8"/>
    </row>
    <row r="3694" spans="24:24" x14ac:dyDescent="0.35">
      <c r="X3694" s="8"/>
    </row>
    <row r="3695" spans="24:24" x14ac:dyDescent="0.35">
      <c r="X3695" s="8"/>
    </row>
    <row r="3696" spans="24:24" x14ac:dyDescent="0.35">
      <c r="X3696" s="8"/>
    </row>
    <row r="3697" spans="24:24" x14ac:dyDescent="0.35">
      <c r="X3697" s="8"/>
    </row>
    <row r="3698" spans="24:24" x14ac:dyDescent="0.35">
      <c r="X3698" s="8"/>
    </row>
    <row r="3699" spans="24:24" x14ac:dyDescent="0.35">
      <c r="X3699" s="8"/>
    </row>
    <row r="3700" spans="24:24" x14ac:dyDescent="0.35">
      <c r="X3700" s="8"/>
    </row>
    <row r="3701" spans="24:24" x14ac:dyDescent="0.35">
      <c r="X3701" s="8"/>
    </row>
    <row r="3702" spans="24:24" x14ac:dyDescent="0.35">
      <c r="X3702" s="8"/>
    </row>
    <row r="3703" spans="24:24" x14ac:dyDescent="0.35">
      <c r="X3703" s="8"/>
    </row>
    <row r="3704" spans="24:24" x14ac:dyDescent="0.35">
      <c r="X3704" s="8"/>
    </row>
    <row r="3705" spans="24:24" x14ac:dyDescent="0.35">
      <c r="X3705" s="8"/>
    </row>
    <row r="3706" spans="24:24" x14ac:dyDescent="0.35">
      <c r="X3706" s="8"/>
    </row>
    <row r="3707" spans="24:24" x14ac:dyDescent="0.35">
      <c r="X3707" s="8"/>
    </row>
    <row r="3708" spans="24:24" x14ac:dyDescent="0.35">
      <c r="X3708" s="8"/>
    </row>
    <row r="3709" spans="24:24" x14ac:dyDescent="0.35">
      <c r="X3709" s="8"/>
    </row>
    <row r="3710" spans="24:24" x14ac:dyDescent="0.35">
      <c r="X3710" s="8"/>
    </row>
    <row r="3711" spans="24:24" x14ac:dyDescent="0.35">
      <c r="X3711" s="8"/>
    </row>
    <row r="3712" spans="24:24" x14ac:dyDescent="0.35">
      <c r="X3712" s="8"/>
    </row>
    <row r="3713" spans="24:24" x14ac:dyDescent="0.35">
      <c r="X3713" s="8"/>
    </row>
    <row r="3714" spans="24:24" x14ac:dyDescent="0.35">
      <c r="X3714" s="8"/>
    </row>
    <row r="3715" spans="24:24" x14ac:dyDescent="0.35">
      <c r="X3715" s="8"/>
    </row>
    <row r="3716" spans="24:24" x14ac:dyDescent="0.35">
      <c r="X3716" s="8"/>
    </row>
    <row r="3717" spans="24:24" x14ac:dyDescent="0.35">
      <c r="X3717" s="8"/>
    </row>
    <row r="3718" spans="24:24" x14ac:dyDescent="0.35">
      <c r="X3718" s="8"/>
    </row>
    <row r="3719" spans="24:24" x14ac:dyDescent="0.35">
      <c r="X3719" s="8"/>
    </row>
    <row r="3720" spans="24:24" x14ac:dyDescent="0.35">
      <c r="X3720" s="8"/>
    </row>
    <row r="3721" spans="24:24" x14ac:dyDescent="0.35">
      <c r="X3721" s="8"/>
    </row>
    <row r="3722" spans="24:24" x14ac:dyDescent="0.35">
      <c r="X3722" s="8"/>
    </row>
    <row r="3723" spans="24:24" x14ac:dyDescent="0.35">
      <c r="X3723" s="8"/>
    </row>
    <row r="3724" spans="24:24" x14ac:dyDescent="0.35">
      <c r="X3724" s="8"/>
    </row>
    <row r="3725" spans="24:24" x14ac:dyDescent="0.35">
      <c r="X3725" s="8"/>
    </row>
    <row r="3726" spans="24:24" x14ac:dyDescent="0.35">
      <c r="X3726" s="8"/>
    </row>
    <row r="3727" spans="24:24" x14ac:dyDescent="0.35">
      <c r="X3727" s="8"/>
    </row>
    <row r="3728" spans="24:24" x14ac:dyDescent="0.35">
      <c r="X3728" s="8"/>
    </row>
    <row r="3729" spans="24:24" x14ac:dyDescent="0.35">
      <c r="X3729" s="8"/>
    </row>
    <row r="3730" spans="24:24" x14ac:dyDescent="0.35">
      <c r="X3730" s="8"/>
    </row>
    <row r="3731" spans="24:24" x14ac:dyDescent="0.35">
      <c r="X3731" s="8"/>
    </row>
    <row r="3732" spans="24:24" x14ac:dyDescent="0.35">
      <c r="X3732" s="8"/>
    </row>
    <row r="3733" spans="24:24" x14ac:dyDescent="0.35">
      <c r="X3733" s="8"/>
    </row>
    <row r="3734" spans="24:24" x14ac:dyDescent="0.35">
      <c r="X3734" s="8"/>
    </row>
    <row r="3735" spans="24:24" x14ac:dyDescent="0.35">
      <c r="X3735" s="8"/>
    </row>
    <row r="3736" spans="24:24" x14ac:dyDescent="0.35">
      <c r="X3736" s="8"/>
    </row>
    <row r="3737" spans="24:24" x14ac:dyDescent="0.35">
      <c r="X3737" s="8"/>
    </row>
    <row r="3738" spans="24:24" x14ac:dyDescent="0.35">
      <c r="X3738" s="8"/>
    </row>
    <row r="3739" spans="24:24" x14ac:dyDescent="0.35">
      <c r="X3739" s="8"/>
    </row>
    <row r="3740" spans="24:24" x14ac:dyDescent="0.35">
      <c r="X3740" s="8"/>
    </row>
    <row r="3741" spans="24:24" x14ac:dyDescent="0.35">
      <c r="X3741" s="8"/>
    </row>
    <row r="3742" spans="24:24" x14ac:dyDescent="0.35">
      <c r="X3742" s="8"/>
    </row>
    <row r="3743" spans="24:24" x14ac:dyDescent="0.35">
      <c r="X3743" s="8"/>
    </row>
    <row r="3744" spans="24:24" x14ac:dyDescent="0.35">
      <c r="X3744" s="8"/>
    </row>
    <row r="3745" spans="24:24" x14ac:dyDescent="0.35">
      <c r="X3745" s="8"/>
    </row>
    <row r="3746" spans="24:24" x14ac:dyDescent="0.35">
      <c r="X3746" s="8"/>
    </row>
    <row r="3747" spans="24:24" x14ac:dyDescent="0.35">
      <c r="X3747" s="8"/>
    </row>
    <row r="3748" spans="24:24" x14ac:dyDescent="0.35">
      <c r="X3748" s="8"/>
    </row>
    <row r="3749" spans="24:24" x14ac:dyDescent="0.35">
      <c r="X3749" s="8"/>
    </row>
    <row r="3750" spans="24:24" x14ac:dyDescent="0.35">
      <c r="X3750" s="8"/>
    </row>
    <row r="3751" spans="24:24" x14ac:dyDescent="0.35">
      <c r="X3751" s="8"/>
    </row>
    <row r="3752" spans="24:24" x14ac:dyDescent="0.35">
      <c r="X3752" s="8"/>
    </row>
    <row r="3753" spans="24:24" x14ac:dyDescent="0.35">
      <c r="X3753" s="8"/>
    </row>
    <row r="3754" spans="24:24" x14ac:dyDescent="0.35">
      <c r="X3754" s="8"/>
    </row>
    <row r="3755" spans="24:24" x14ac:dyDescent="0.35">
      <c r="X3755" s="8"/>
    </row>
    <row r="3756" spans="24:24" x14ac:dyDescent="0.35">
      <c r="X3756" s="8"/>
    </row>
    <row r="3757" spans="24:24" x14ac:dyDescent="0.35">
      <c r="X3757" s="8"/>
    </row>
    <row r="3758" spans="24:24" x14ac:dyDescent="0.35">
      <c r="X3758" s="8"/>
    </row>
    <row r="3759" spans="24:24" x14ac:dyDescent="0.35">
      <c r="X3759" s="8"/>
    </row>
    <row r="3760" spans="24:24" x14ac:dyDescent="0.35">
      <c r="X3760" s="8"/>
    </row>
    <row r="3761" spans="24:24" x14ac:dyDescent="0.35">
      <c r="X3761" s="8"/>
    </row>
    <row r="3762" spans="24:24" x14ac:dyDescent="0.35">
      <c r="X3762" s="8"/>
    </row>
    <row r="3763" spans="24:24" x14ac:dyDescent="0.35">
      <c r="X3763" s="8"/>
    </row>
    <row r="3764" spans="24:24" x14ac:dyDescent="0.35">
      <c r="X3764" s="8"/>
    </row>
    <row r="3765" spans="24:24" x14ac:dyDescent="0.35">
      <c r="X3765" s="8"/>
    </row>
    <row r="3766" spans="24:24" x14ac:dyDescent="0.35">
      <c r="X3766" s="8"/>
    </row>
    <row r="3767" spans="24:24" x14ac:dyDescent="0.35">
      <c r="X3767" s="8"/>
    </row>
    <row r="3768" spans="24:24" x14ac:dyDescent="0.35">
      <c r="X3768" s="8"/>
    </row>
    <row r="3769" spans="24:24" x14ac:dyDescent="0.35">
      <c r="X3769" s="8"/>
    </row>
    <row r="3770" spans="24:24" x14ac:dyDescent="0.35">
      <c r="X3770" s="8"/>
    </row>
    <row r="3771" spans="24:24" x14ac:dyDescent="0.35">
      <c r="X3771" s="8"/>
    </row>
    <row r="3772" spans="24:24" x14ac:dyDescent="0.35">
      <c r="X3772" s="8"/>
    </row>
    <row r="3773" spans="24:24" x14ac:dyDescent="0.35">
      <c r="X3773" s="8"/>
    </row>
    <row r="3774" spans="24:24" x14ac:dyDescent="0.35">
      <c r="X3774" s="8"/>
    </row>
    <row r="3775" spans="24:24" x14ac:dyDescent="0.35">
      <c r="X3775" s="8"/>
    </row>
    <row r="3776" spans="24:24" x14ac:dyDescent="0.35">
      <c r="X3776" s="8"/>
    </row>
    <row r="3777" spans="24:24" x14ac:dyDescent="0.35">
      <c r="X3777" s="8"/>
    </row>
    <row r="3778" spans="24:24" x14ac:dyDescent="0.35">
      <c r="X3778" s="8"/>
    </row>
    <row r="3779" spans="24:24" x14ac:dyDescent="0.35">
      <c r="X3779" s="8"/>
    </row>
    <row r="3780" spans="24:24" x14ac:dyDescent="0.35">
      <c r="X3780" s="8"/>
    </row>
    <row r="3781" spans="24:24" x14ac:dyDescent="0.35">
      <c r="X3781" s="8"/>
    </row>
    <row r="3782" spans="24:24" x14ac:dyDescent="0.35">
      <c r="X3782" s="8"/>
    </row>
    <row r="3783" spans="24:24" x14ac:dyDescent="0.35">
      <c r="X3783" s="8"/>
    </row>
    <row r="3784" spans="24:24" x14ac:dyDescent="0.35">
      <c r="X3784" s="8"/>
    </row>
    <row r="3785" spans="24:24" x14ac:dyDescent="0.35">
      <c r="X3785" s="8"/>
    </row>
    <row r="3786" spans="24:24" x14ac:dyDescent="0.35">
      <c r="X3786" s="8"/>
    </row>
    <row r="3787" spans="24:24" x14ac:dyDescent="0.35">
      <c r="X3787" s="8"/>
    </row>
    <row r="3788" spans="24:24" x14ac:dyDescent="0.35">
      <c r="X3788" s="8"/>
    </row>
    <row r="3789" spans="24:24" x14ac:dyDescent="0.35">
      <c r="X3789" s="8"/>
    </row>
    <row r="3790" spans="24:24" x14ac:dyDescent="0.35">
      <c r="X3790" s="8"/>
    </row>
    <row r="3791" spans="24:24" x14ac:dyDescent="0.35">
      <c r="X3791" s="8"/>
    </row>
    <row r="3792" spans="24:24" x14ac:dyDescent="0.35">
      <c r="X3792" s="8"/>
    </row>
    <row r="3793" spans="24:24" x14ac:dyDescent="0.35">
      <c r="X3793" s="8"/>
    </row>
    <row r="3794" spans="24:24" x14ac:dyDescent="0.35">
      <c r="X3794" s="8"/>
    </row>
    <row r="3795" spans="24:24" x14ac:dyDescent="0.35">
      <c r="X3795" s="8"/>
    </row>
    <row r="3796" spans="24:24" x14ac:dyDescent="0.35">
      <c r="X3796" s="8"/>
    </row>
    <row r="3797" spans="24:24" x14ac:dyDescent="0.35">
      <c r="X3797" s="8"/>
    </row>
    <row r="3798" spans="24:24" x14ac:dyDescent="0.35">
      <c r="X3798" s="8"/>
    </row>
    <row r="3799" spans="24:24" x14ac:dyDescent="0.35">
      <c r="X3799" s="8"/>
    </row>
    <row r="3800" spans="24:24" x14ac:dyDescent="0.35">
      <c r="X3800" s="8"/>
    </row>
    <row r="3801" spans="24:24" x14ac:dyDescent="0.35">
      <c r="X3801" s="8"/>
    </row>
    <row r="3802" spans="24:24" x14ac:dyDescent="0.35">
      <c r="X3802" s="8"/>
    </row>
    <row r="3803" spans="24:24" x14ac:dyDescent="0.35">
      <c r="X3803" s="8"/>
    </row>
    <row r="3804" spans="24:24" x14ac:dyDescent="0.35">
      <c r="X3804" s="8"/>
    </row>
    <row r="3805" spans="24:24" x14ac:dyDescent="0.35">
      <c r="X3805" s="8"/>
    </row>
    <row r="3806" spans="24:24" x14ac:dyDescent="0.35">
      <c r="X3806" s="8"/>
    </row>
    <row r="3807" spans="24:24" x14ac:dyDescent="0.35">
      <c r="X3807" s="8"/>
    </row>
    <row r="3808" spans="24:24" x14ac:dyDescent="0.35">
      <c r="X3808" s="8"/>
    </row>
    <row r="3809" spans="24:24" x14ac:dyDescent="0.35">
      <c r="X3809" s="8"/>
    </row>
    <row r="3810" spans="24:24" x14ac:dyDescent="0.35">
      <c r="X3810" s="8"/>
    </row>
    <row r="3811" spans="24:24" x14ac:dyDescent="0.35">
      <c r="X3811" s="8"/>
    </row>
    <row r="3812" spans="24:24" x14ac:dyDescent="0.35">
      <c r="X3812" s="8"/>
    </row>
    <row r="3813" spans="24:24" x14ac:dyDescent="0.35">
      <c r="X3813" s="8"/>
    </row>
    <row r="3814" spans="24:24" x14ac:dyDescent="0.35">
      <c r="X3814" s="8"/>
    </row>
    <row r="3815" spans="24:24" x14ac:dyDescent="0.35">
      <c r="X3815" s="8"/>
    </row>
    <row r="3816" spans="24:24" x14ac:dyDescent="0.35">
      <c r="X3816" s="8"/>
    </row>
    <row r="3817" spans="24:24" x14ac:dyDescent="0.35">
      <c r="X3817" s="8"/>
    </row>
    <row r="3818" spans="24:24" x14ac:dyDescent="0.35">
      <c r="X3818" s="8"/>
    </row>
    <row r="3819" spans="24:24" x14ac:dyDescent="0.35">
      <c r="X3819" s="8"/>
    </row>
    <row r="3820" spans="24:24" x14ac:dyDescent="0.35">
      <c r="X3820" s="8"/>
    </row>
    <row r="3821" spans="24:24" x14ac:dyDescent="0.35">
      <c r="X3821" s="8"/>
    </row>
    <row r="3822" spans="24:24" x14ac:dyDescent="0.35">
      <c r="X3822" s="8"/>
    </row>
    <row r="3823" spans="24:24" x14ac:dyDescent="0.35">
      <c r="X3823" s="8"/>
    </row>
    <row r="3824" spans="24:24" x14ac:dyDescent="0.35">
      <c r="X3824" s="8"/>
    </row>
    <row r="3825" spans="24:24" x14ac:dyDescent="0.35">
      <c r="X3825" s="8"/>
    </row>
    <row r="3826" spans="24:24" x14ac:dyDescent="0.35">
      <c r="X3826" s="8"/>
    </row>
    <row r="3827" spans="24:24" x14ac:dyDescent="0.35">
      <c r="X3827" s="8"/>
    </row>
    <row r="3828" spans="24:24" x14ac:dyDescent="0.35">
      <c r="X3828" s="8"/>
    </row>
    <row r="3829" spans="24:24" x14ac:dyDescent="0.35">
      <c r="X3829" s="8"/>
    </row>
    <row r="3830" spans="24:24" x14ac:dyDescent="0.35">
      <c r="X3830" s="8"/>
    </row>
    <row r="3831" spans="24:24" x14ac:dyDescent="0.35">
      <c r="X3831" s="8"/>
    </row>
    <row r="3832" spans="24:24" x14ac:dyDescent="0.35">
      <c r="X3832" s="8"/>
    </row>
    <row r="3833" spans="24:24" x14ac:dyDescent="0.35">
      <c r="X3833" s="8"/>
    </row>
    <row r="3834" spans="24:24" x14ac:dyDescent="0.35">
      <c r="X3834" s="8"/>
    </row>
    <row r="3835" spans="24:24" x14ac:dyDescent="0.35">
      <c r="X3835" s="8"/>
    </row>
    <row r="3836" spans="24:24" x14ac:dyDescent="0.35">
      <c r="X3836" s="8"/>
    </row>
    <row r="3837" spans="24:24" x14ac:dyDescent="0.35">
      <c r="X3837" s="8"/>
    </row>
    <row r="3838" spans="24:24" x14ac:dyDescent="0.35">
      <c r="X3838" s="8"/>
    </row>
    <row r="3839" spans="24:24" x14ac:dyDescent="0.35">
      <c r="X3839" s="8"/>
    </row>
    <row r="3840" spans="24:24" x14ac:dyDescent="0.35">
      <c r="X3840" s="8"/>
    </row>
    <row r="3841" spans="24:24" x14ac:dyDescent="0.35">
      <c r="X3841" s="8"/>
    </row>
    <row r="3842" spans="24:24" x14ac:dyDescent="0.35">
      <c r="X3842" s="8"/>
    </row>
    <row r="3843" spans="24:24" x14ac:dyDescent="0.35">
      <c r="X3843" s="8"/>
    </row>
    <row r="3844" spans="24:24" x14ac:dyDescent="0.35">
      <c r="X3844" s="8"/>
    </row>
    <row r="3845" spans="24:24" x14ac:dyDescent="0.35">
      <c r="X3845" s="8"/>
    </row>
    <row r="3846" spans="24:24" x14ac:dyDescent="0.35">
      <c r="X3846" s="8"/>
    </row>
    <row r="3847" spans="24:24" x14ac:dyDescent="0.35">
      <c r="X3847" s="8"/>
    </row>
    <row r="3848" spans="24:24" x14ac:dyDescent="0.35">
      <c r="X3848" s="8"/>
    </row>
    <row r="3849" spans="24:24" x14ac:dyDescent="0.35">
      <c r="X3849" s="8"/>
    </row>
    <row r="3850" spans="24:24" x14ac:dyDescent="0.35">
      <c r="X3850" s="8"/>
    </row>
    <row r="3851" spans="24:24" x14ac:dyDescent="0.35">
      <c r="X3851" s="8"/>
    </row>
    <row r="3852" spans="24:24" x14ac:dyDescent="0.35">
      <c r="X3852" s="8"/>
    </row>
    <row r="3853" spans="24:24" x14ac:dyDescent="0.35">
      <c r="X3853" s="8"/>
    </row>
    <row r="3854" spans="24:24" x14ac:dyDescent="0.35">
      <c r="X3854" s="8"/>
    </row>
    <row r="3855" spans="24:24" x14ac:dyDescent="0.35">
      <c r="X3855" s="8"/>
    </row>
    <row r="3856" spans="24:24" x14ac:dyDescent="0.35">
      <c r="X3856" s="8"/>
    </row>
    <row r="3857" spans="24:24" x14ac:dyDescent="0.35">
      <c r="X3857" s="8"/>
    </row>
    <row r="3858" spans="24:24" x14ac:dyDescent="0.35">
      <c r="X3858" s="8"/>
    </row>
    <row r="3859" spans="24:24" x14ac:dyDescent="0.35">
      <c r="X3859" s="8"/>
    </row>
    <row r="3860" spans="24:24" x14ac:dyDescent="0.35">
      <c r="X3860" s="8"/>
    </row>
    <row r="3861" spans="24:24" x14ac:dyDescent="0.35">
      <c r="X3861" s="8"/>
    </row>
    <row r="3862" spans="24:24" x14ac:dyDescent="0.35">
      <c r="X3862" s="8"/>
    </row>
    <row r="3863" spans="24:24" x14ac:dyDescent="0.35">
      <c r="X3863" s="8"/>
    </row>
    <row r="3864" spans="24:24" x14ac:dyDescent="0.35">
      <c r="X3864" s="8"/>
    </row>
    <row r="3865" spans="24:24" x14ac:dyDescent="0.35">
      <c r="X3865" s="8"/>
    </row>
    <row r="3866" spans="24:24" x14ac:dyDescent="0.35">
      <c r="X3866" s="8"/>
    </row>
    <row r="3867" spans="24:24" x14ac:dyDescent="0.35">
      <c r="X3867" s="8"/>
    </row>
    <row r="3868" spans="24:24" x14ac:dyDescent="0.35">
      <c r="X3868" s="8"/>
    </row>
    <row r="3869" spans="24:24" x14ac:dyDescent="0.35">
      <c r="X3869" s="8"/>
    </row>
    <row r="3870" spans="24:24" x14ac:dyDescent="0.35">
      <c r="X3870" s="8"/>
    </row>
    <row r="3871" spans="24:24" x14ac:dyDescent="0.35">
      <c r="X3871" s="8"/>
    </row>
    <row r="3872" spans="24:24" x14ac:dyDescent="0.35">
      <c r="X3872" s="8"/>
    </row>
    <row r="3873" spans="24:24" x14ac:dyDescent="0.35">
      <c r="X3873" s="8"/>
    </row>
    <row r="3874" spans="24:24" x14ac:dyDescent="0.35">
      <c r="X3874" s="8"/>
    </row>
    <row r="3875" spans="24:24" x14ac:dyDescent="0.35">
      <c r="X3875" s="8"/>
    </row>
    <row r="3876" spans="24:24" x14ac:dyDescent="0.35">
      <c r="X3876" s="8"/>
    </row>
    <row r="3877" spans="24:24" x14ac:dyDescent="0.35">
      <c r="X3877" s="8"/>
    </row>
    <row r="3878" spans="24:24" x14ac:dyDescent="0.35">
      <c r="X3878" s="8"/>
    </row>
    <row r="3879" spans="24:24" x14ac:dyDescent="0.35">
      <c r="X3879" s="8"/>
    </row>
    <row r="3880" spans="24:24" x14ac:dyDescent="0.35">
      <c r="X3880" s="8"/>
    </row>
    <row r="3881" spans="24:24" x14ac:dyDescent="0.35">
      <c r="X3881" s="8"/>
    </row>
    <row r="3882" spans="24:24" x14ac:dyDescent="0.35">
      <c r="X3882" s="8"/>
    </row>
    <row r="3883" spans="24:24" x14ac:dyDescent="0.35">
      <c r="X3883" s="8"/>
    </row>
    <row r="3884" spans="24:24" x14ac:dyDescent="0.35">
      <c r="X3884" s="8"/>
    </row>
    <row r="3885" spans="24:24" x14ac:dyDescent="0.35">
      <c r="X3885" s="8"/>
    </row>
    <row r="3886" spans="24:24" x14ac:dyDescent="0.35">
      <c r="X3886" s="8"/>
    </row>
    <row r="3887" spans="24:24" x14ac:dyDescent="0.35">
      <c r="X3887" s="8"/>
    </row>
    <row r="3888" spans="24:24" x14ac:dyDescent="0.35">
      <c r="X3888" s="8"/>
    </row>
    <row r="3889" spans="24:24" x14ac:dyDescent="0.35">
      <c r="X3889" s="8"/>
    </row>
    <row r="3890" spans="24:24" x14ac:dyDescent="0.35">
      <c r="X3890" s="8"/>
    </row>
    <row r="3891" spans="24:24" x14ac:dyDescent="0.35">
      <c r="X3891" s="8"/>
    </row>
    <row r="3892" spans="24:24" x14ac:dyDescent="0.35">
      <c r="X3892" s="8"/>
    </row>
    <row r="3893" spans="24:24" x14ac:dyDescent="0.35">
      <c r="X3893" s="8"/>
    </row>
    <row r="3894" spans="24:24" x14ac:dyDescent="0.35">
      <c r="X3894" s="8"/>
    </row>
    <row r="3895" spans="24:24" x14ac:dyDescent="0.35">
      <c r="X3895" s="8"/>
    </row>
    <row r="3896" spans="24:24" x14ac:dyDescent="0.35">
      <c r="X3896" s="8"/>
    </row>
    <row r="3897" spans="24:24" x14ac:dyDescent="0.35">
      <c r="X3897" s="8"/>
    </row>
    <row r="3898" spans="24:24" x14ac:dyDescent="0.35">
      <c r="X3898" s="8"/>
    </row>
    <row r="3899" spans="24:24" x14ac:dyDescent="0.35">
      <c r="X3899" s="8"/>
    </row>
    <row r="3900" spans="24:24" x14ac:dyDescent="0.35">
      <c r="X3900" s="8"/>
    </row>
    <row r="3901" spans="24:24" x14ac:dyDescent="0.35">
      <c r="X3901" s="8"/>
    </row>
    <row r="3902" spans="24:24" x14ac:dyDescent="0.35">
      <c r="X3902" s="8"/>
    </row>
    <row r="3903" spans="24:24" x14ac:dyDescent="0.35">
      <c r="X3903" s="8"/>
    </row>
    <row r="3904" spans="24:24" x14ac:dyDescent="0.35">
      <c r="X3904" s="8"/>
    </row>
    <row r="3905" spans="24:24" x14ac:dyDescent="0.35">
      <c r="X3905" s="8"/>
    </row>
    <row r="3906" spans="24:24" x14ac:dyDescent="0.35">
      <c r="X3906" s="8"/>
    </row>
    <row r="3907" spans="24:24" x14ac:dyDescent="0.35">
      <c r="X3907" s="8"/>
    </row>
    <row r="3908" spans="24:24" x14ac:dyDescent="0.35">
      <c r="X3908" s="8"/>
    </row>
    <row r="3909" spans="24:24" x14ac:dyDescent="0.35">
      <c r="X3909" s="8"/>
    </row>
    <row r="3910" spans="24:24" x14ac:dyDescent="0.35">
      <c r="X3910" s="8"/>
    </row>
    <row r="3911" spans="24:24" x14ac:dyDescent="0.35">
      <c r="X3911" s="8"/>
    </row>
    <row r="3912" spans="24:24" x14ac:dyDescent="0.35">
      <c r="X3912" s="8"/>
    </row>
    <row r="3913" spans="24:24" x14ac:dyDescent="0.35">
      <c r="X3913" s="8"/>
    </row>
    <row r="3914" spans="24:24" x14ac:dyDescent="0.35">
      <c r="X3914" s="8"/>
    </row>
    <row r="3915" spans="24:24" x14ac:dyDescent="0.35">
      <c r="X3915" s="8"/>
    </row>
    <row r="3916" spans="24:24" x14ac:dyDescent="0.35">
      <c r="X3916" s="8"/>
    </row>
    <row r="3917" spans="24:24" x14ac:dyDescent="0.35">
      <c r="X3917" s="8"/>
    </row>
    <row r="3918" spans="24:24" x14ac:dyDescent="0.35">
      <c r="X3918" s="8"/>
    </row>
    <row r="3919" spans="24:24" x14ac:dyDescent="0.35">
      <c r="X3919" s="8"/>
    </row>
    <row r="3920" spans="24:24" x14ac:dyDescent="0.35">
      <c r="X3920" s="8"/>
    </row>
    <row r="3921" spans="24:24" x14ac:dyDescent="0.35">
      <c r="X3921" s="8"/>
    </row>
    <row r="3922" spans="24:24" x14ac:dyDescent="0.35">
      <c r="X3922" s="8"/>
    </row>
    <row r="3923" spans="24:24" x14ac:dyDescent="0.35">
      <c r="X3923" s="8"/>
    </row>
    <row r="3924" spans="24:24" x14ac:dyDescent="0.35">
      <c r="X3924" s="8"/>
    </row>
    <row r="3925" spans="24:24" x14ac:dyDescent="0.35">
      <c r="X3925" s="8"/>
    </row>
    <row r="3926" spans="24:24" x14ac:dyDescent="0.35">
      <c r="X3926" s="8"/>
    </row>
    <row r="3927" spans="24:24" x14ac:dyDescent="0.35">
      <c r="X3927" s="8"/>
    </row>
    <row r="3928" spans="24:24" x14ac:dyDescent="0.35">
      <c r="X3928" s="8"/>
    </row>
    <row r="3929" spans="24:24" x14ac:dyDescent="0.35">
      <c r="X3929" s="8"/>
    </row>
    <row r="3930" spans="24:24" x14ac:dyDescent="0.35">
      <c r="X3930" s="8"/>
    </row>
    <row r="3931" spans="24:24" x14ac:dyDescent="0.35">
      <c r="X3931" s="8"/>
    </row>
    <row r="3932" spans="24:24" x14ac:dyDescent="0.35">
      <c r="X3932" s="8"/>
    </row>
    <row r="3933" spans="24:24" x14ac:dyDescent="0.35">
      <c r="X3933" s="8"/>
    </row>
    <row r="3934" spans="24:24" x14ac:dyDescent="0.35">
      <c r="X3934" s="8"/>
    </row>
    <row r="3935" spans="24:24" x14ac:dyDescent="0.35">
      <c r="X3935" s="8"/>
    </row>
    <row r="3936" spans="24:24" x14ac:dyDescent="0.35">
      <c r="X3936" s="8"/>
    </row>
    <row r="3937" spans="24:24" x14ac:dyDescent="0.35">
      <c r="X3937" s="8"/>
    </row>
    <row r="3938" spans="24:24" x14ac:dyDescent="0.35">
      <c r="X3938" s="8"/>
    </row>
    <row r="3939" spans="24:24" x14ac:dyDescent="0.35">
      <c r="X3939" s="8"/>
    </row>
    <row r="3940" spans="24:24" x14ac:dyDescent="0.35">
      <c r="X3940" s="8"/>
    </row>
    <row r="3941" spans="24:24" x14ac:dyDescent="0.35">
      <c r="X3941" s="8"/>
    </row>
    <row r="3942" spans="24:24" x14ac:dyDescent="0.35">
      <c r="X3942" s="8"/>
    </row>
    <row r="3943" spans="24:24" x14ac:dyDescent="0.35">
      <c r="X3943" s="8"/>
    </row>
    <row r="3944" spans="24:24" x14ac:dyDescent="0.35">
      <c r="X3944" s="8"/>
    </row>
    <row r="3945" spans="24:24" x14ac:dyDescent="0.35">
      <c r="X3945" s="8"/>
    </row>
    <row r="3946" spans="24:24" x14ac:dyDescent="0.35">
      <c r="X3946" s="8"/>
    </row>
    <row r="3947" spans="24:24" x14ac:dyDescent="0.35">
      <c r="X3947" s="8"/>
    </row>
    <row r="3948" spans="24:24" x14ac:dyDescent="0.35">
      <c r="X3948" s="8"/>
    </row>
    <row r="3949" spans="24:24" x14ac:dyDescent="0.35">
      <c r="X3949" s="8"/>
    </row>
    <row r="3950" spans="24:24" x14ac:dyDescent="0.35">
      <c r="X3950" s="8"/>
    </row>
    <row r="3951" spans="24:24" x14ac:dyDescent="0.35">
      <c r="X3951" s="8"/>
    </row>
    <row r="3952" spans="24:24" x14ac:dyDescent="0.35">
      <c r="X3952" s="8"/>
    </row>
    <row r="3953" spans="24:24" x14ac:dyDescent="0.35">
      <c r="X3953" s="8"/>
    </row>
    <row r="3954" spans="24:24" x14ac:dyDescent="0.35">
      <c r="X3954" s="8"/>
    </row>
    <row r="3955" spans="24:24" x14ac:dyDescent="0.35">
      <c r="X3955" s="8"/>
    </row>
    <row r="3956" spans="24:24" x14ac:dyDescent="0.35">
      <c r="X3956" s="8"/>
    </row>
    <row r="3957" spans="24:24" x14ac:dyDescent="0.35">
      <c r="X3957" s="8"/>
    </row>
    <row r="3958" spans="24:24" x14ac:dyDescent="0.35">
      <c r="X3958" s="8"/>
    </row>
    <row r="3959" spans="24:24" x14ac:dyDescent="0.35">
      <c r="X3959" s="8"/>
    </row>
    <row r="3960" spans="24:24" x14ac:dyDescent="0.35">
      <c r="X3960" s="8"/>
    </row>
    <row r="3961" spans="24:24" x14ac:dyDescent="0.35">
      <c r="X3961" s="8"/>
    </row>
    <row r="3962" spans="24:24" x14ac:dyDescent="0.35">
      <c r="X3962" s="8"/>
    </row>
    <row r="3963" spans="24:24" x14ac:dyDescent="0.35">
      <c r="X3963" s="8"/>
    </row>
    <row r="3964" spans="24:24" x14ac:dyDescent="0.35">
      <c r="X3964" s="8"/>
    </row>
    <row r="3965" spans="24:24" x14ac:dyDescent="0.35">
      <c r="X3965" s="8"/>
    </row>
    <row r="3966" spans="24:24" x14ac:dyDescent="0.35">
      <c r="X3966" s="8"/>
    </row>
    <row r="3967" spans="24:24" x14ac:dyDescent="0.35">
      <c r="X3967" s="8"/>
    </row>
    <row r="3968" spans="24:24" x14ac:dyDescent="0.35">
      <c r="X3968" s="8"/>
    </row>
    <row r="3969" spans="24:24" x14ac:dyDescent="0.35">
      <c r="X3969" s="8"/>
    </row>
    <row r="3970" spans="24:24" x14ac:dyDescent="0.35">
      <c r="X3970" s="8"/>
    </row>
    <row r="3971" spans="24:24" x14ac:dyDescent="0.35">
      <c r="X3971" s="8"/>
    </row>
    <row r="3972" spans="24:24" x14ac:dyDescent="0.35">
      <c r="X3972" s="8"/>
    </row>
    <row r="3973" spans="24:24" x14ac:dyDescent="0.35">
      <c r="X3973" s="8"/>
    </row>
    <row r="3974" spans="24:24" x14ac:dyDescent="0.35">
      <c r="X3974" s="8"/>
    </row>
    <row r="3975" spans="24:24" x14ac:dyDescent="0.35">
      <c r="X3975" s="8"/>
    </row>
    <row r="3976" spans="24:24" x14ac:dyDescent="0.35">
      <c r="X3976" s="8"/>
    </row>
    <row r="3977" spans="24:24" x14ac:dyDescent="0.35">
      <c r="X3977" s="8"/>
    </row>
    <row r="3978" spans="24:24" x14ac:dyDescent="0.35">
      <c r="X3978" s="8"/>
    </row>
    <row r="3979" spans="24:24" x14ac:dyDescent="0.35">
      <c r="X3979" s="8"/>
    </row>
    <row r="3980" spans="24:24" x14ac:dyDescent="0.35">
      <c r="X3980" s="8"/>
    </row>
    <row r="3981" spans="24:24" x14ac:dyDescent="0.35">
      <c r="X3981" s="8"/>
    </row>
    <row r="3982" spans="24:24" x14ac:dyDescent="0.35">
      <c r="X3982" s="8"/>
    </row>
    <row r="3983" spans="24:24" x14ac:dyDescent="0.35">
      <c r="X3983" s="8"/>
    </row>
    <row r="3984" spans="24:24" x14ac:dyDescent="0.35">
      <c r="X3984" s="8"/>
    </row>
    <row r="3985" spans="24:24" x14ac:dyDescent="0.35">
      <c r="X3985" s="8"/>
    </row>
    <row r="3986" spans="24:24" x14ac:dyDescent="0.35">
      <c r="X3986" s="8"/>
    </row>
    <row r="3987" spans="24:24" x14ac:dyDescent="0.35">
      <c r="X3987" s="8"/>
    </row>
    <row r="3988" spans="24:24" x14ac:dyDescent="0.35">
      <c r="X3988" s="8"/>
    </row>
    <row r="3989" spans="24:24" x14ac:dyDescent="0.35">
      <c r="X3989" s="8"/>
    </row>
    <row r="3990" spans="24:24" x14ac:dyDescent="0.35">
      <c r="X3990" s="8"/>
    </row>
    <row r="3991" spans="24:24" x14ac:dyDescent="0.35">
      <c r="X3991" s="8"/>
    </row>
    <row r="3992" spans="24:24" x14ac:dyDescent="0.35">
      <c r="X3992" s="8"/>
    </row>
    <row r="3993" spans="24:24" x14ac:dyDescent="0.35">
      <c r="X3993" s="8"/>
    </row>
    <row r="3994" spans="24:24" x14ac:dyDescent="0.35">
      <c r="X3994" s="8"/>
    </row>
    <row r="3995" spans="24:24" x14ac:dyDescent="0.35">
      <c r="X3995" s="8"/>
    </row>
    <row r="3996" spans="24:24" x14ac:dyDescent="0.35">
      <c r="X3996" s="8"/>
    </row>
    <row r="3997" spans="24:24" x14ac:dyDescent="0.35">
      <c r="X3997" s="8"/>
    </row>
    <row r="3998" spans="24:24" x14ac:dyDescent="0.35">
      <c r="X3998" s="8"/>
    </row>
    <row r="3999" spans="24:24" x14ac:dyDescent="0.35">
      <c r="X3999" s="8"/>
    </row>
    <row r="4000" spans="24:24" x14ac:dyDescent="0.35">
      <c r="X4000" s="8"/>
    </row>
    <row r="4001" spans="24:24" x14ac:dyDescent="0.35">
      <c r="X4001" s="8"/>
    </row>
    <row r="4002" spans="24:24" x14ac:dyDescent="0.35">
      <c r="X4002" s="8"/>
    </row>
    <row r="4003" spans="24:24" x14ac:dyDescent="0.35">
      <c r="X4003" s="8"/>
    </row>
    <row r="4004" spans="24:24" x14ac:dyDescent="0.35">
      <c r="X4004" s="8"/>
    </row>
    <row r="4005" spans="24:24" x14ac:dyDescent="0.35">
      <c r="X4005" s="8"/>
    </row>
    <row r="4006" spans="24:24" x14ac:dyDescent="0.35">
      <c r="X4006" s="8"/>
    </row>
    <row r="4007" spans="24:24" x14ac:dyDescent="0.35">
      <c r="X4007" s="8"/>
    </row>
    <row r="4008" spans="24:24" x14ac:dyDescent="0.35">
      <c r="X4008" s="8"/>
    </row>
    <row r="4009" spans="24:24" x14ac:dyDescent="0.35">
      <c r="X4009" s="8"/>
    </row>
    <row r="4010" spans="24:24" x14ac:dyDescent="0.35">
      <c r="X4010" s="8"/>
    </row>
    <row r="4011" spans="24:24" x14ac:dyDescent="0.35">
      <c r="X4011" s="8"/>
    </row>
    <row r="4012" spans="24:24" x14ac:dyDescent="0.35">
      <c r="X4012" s="8"/>
    </row>
    <row r="4013" spans="24:24" x14ac:dyDescent="0.35">
      <c r="X4013" s="8"/>
    </row>
    <row r="4014" spans="24:24" x14ac:dyDescent="0.35">
      <c r="X4014" s="8"/>
    </row>
    <row r="4015" spans="24:24" x14ac:dyDescent="0.35">
      <c r="X4015" s="8"/>
    </row>
    <row r="4016" spans="24:24" x14ac:dyDescent="0.35">
      <c r="X4016" s="8"/>
    </row>
    <row r="4017" spans="24:24" x14ac:dyDescent="0.35">
      <c r="X4017" s="8"/>
    </row>
    <row r="4018" spans="24:24" x14ac:dyDescent="0.35">
      <c r="X4018" s="8"/>
    </row>
    <row r="4019" spans="24:24" x14ac:dyDescent="0.35">
      <c r="X4019" s="8"/>
    </row>
    <row r="4020" spans="24:24" x14ac:dyDescent="0.35">
      <c r="X4020" s="8"/>
    </row>
    <row r="4021" spans="24:24" x14ac:dyDescent="0.35">
      <c r="X4021" s="8"/>
    </row>
    <row r="4022" spans="24:24" x14ac:dyDescent="0.35">
      <c r="X4022" s="8"/>
    </row>
    <row r="4023" spans="24:24" x14ac:dyDescent="0.35">
      <c r="X4023" s="8"/>
    </row>
    <row r="4024" spans="24:24" x14ac:dyDescent="0.35">
      <c r="X4024" s="8"/>
    </row>
    <row r="4025" spans="24:24" x14ac:dyDescent="0.35">
      <c r="X4025" s="8"/>
    </row>
    <row r="4026" spans="24:24" x14ac:dyDescent="0.35">
      <c r="X4026" s="8"/>
    </row>
    <row r="4027" spans="24:24" x14ac:dyDescent="0.35">
      <c r="X4027" s="8"/>
    </row>
    <row r="4028" spans="24:24" x14ac:dyDescent="0.35">
      <c r="X4028" s="8"/>
    </row>
    <row r="4029" spans="24:24" x14ac:dyDescent="0.35">
      <c r="X4029" s="8"/>
    </row>
    <row r="4030" spans="24:24" x14ac:dyDescent="0.35">
      <c r="X4030" s="8"/>
    </row>
    <row r="4031" spans="24:24" x14ac:dyDescent="0.35">
      <c r="X4031" s="8"/>
    </row>
    <row r="4032" spans="24:24" x14ac:dyDescent="0.35">
      <c r="X4032" s="8"/>
    </row>
    <row r="4033" spans="24:24" x14ac:dyDescent="0.35">
      <c r="X4033" s="8"/>
    </row>
    <row r="4034" spans="24:24" x14ac:dyDescent="0.35">
      <c r="X4034" s="8"/>
    </row>
    <row r="4035" spans="24:24" x14ac:dyDescent="0.35">
      <c r="X4035" s="8"/>
    </row>
    <row r="4036" spans="24:24" x14ac:dyDescent="0.35">
      <c r="X4036" s="8"/>
    </row>
    <row r="4037" spans="24:24" x14ac:dyDescent="0.35">
      <c r="X4037" s="8"/>
    </row>
    <row r="4038" spans="24:24" x14ac:dyDescent="0.35">
      <c r="X4038" s="8"/>
    </row>
    <row r="4039" spans="24:24" x14ac:dyDescent="0.35">
      <c r="X4039" s="8"/>
    </row>
    <row r="4040" spans="24:24" x14ac:dyDescent="0.35">
      <c r="X4040" s="8"/>
    </row>
    <row r="4041" spans="24:24" x14ac:dyDescent="0.35">
      <c r="X4041" s="8"/>
    </row>
    <row r="4042" spans="24:24" x14ac:dyDescent="0.35">
      <c r="X4042" s="8"/>
    </row>
    <row r="4043" spans="24:24" x14ac:dyDescent="0.35">
      <c r="X4043" s="8"/>
    </row>
    <row r="4044" spans="24:24" x14ac:dyDescent="0.35">
      <c r="X4044" s="8"/>
    </row>
    <row r="4045" spans="24:24" x14ac:dyDescent="0.35">
      <c r="X4045" s="8"/>
    </row>
    <row r="4046" spans="24:24" x14ac:dyDescent="0.35">
      <c r="X4046" s="8"/>
    </row>
    <row r="4047" spans="24:24" x14ac:dyDescent="0.35">
      <c r="X4047" s="8"/>
    </row>
    <row r="4048" spans="24:24" x14ac:dyDescent="0.35">
      <c r="X4048" s="8"/>
    </row>
    <row r="4049" spans="24:24" x14ac:dyDescent="0.35">
      <c r="X4049" s="8"/>
    </row>
    <row r="4050" spans="24:24" x14ac:dyDescent="0.35">
      <c r="X4050" s="8"/>
    </row>
    <row r="4051" spans="24:24" x14ac:dyDescent="0.35">
      <c r="X4051" s="8"/>
    </row>
    <row r="4052" spans="24:24" x14ac:dyDescent="0.35">
      <c r="X4052" s="8"/>
    </row>
    <row r="4053" spans="24:24" x14ac:dyDescent="0.35">
      <c r="X4053" s="8"/>
    </row>
    <row r="4054" spans="24:24" x14ac:dyDescent="0.35">
      <c r="X4054" s="8"/>
    </row>
    <row r="4055" spans="24:24" x14ac:dyDescent="0.35">
      <c r="X4055" s="8"/>
    </row>
    <row r="4056" spans="24:24" x14ac:dyDescent="0.35">
      <c r="X4056" s="8"/>
    </row>
    <row r="4057" spans="24:24" x14ac:dyDescent="0.35">
      <c r="X4057" s="8"/>
    </row>
    <row r="4058" spans="24:24" x14ac:dyDescent="0.35">
      <c r="X4058" s="8"/>
    </row>
    <row r="4059" spans="24:24" x14ac:dyDescent="0.35">
      <c r="X4059" s="8"/>
    </row>
    <row r="4060" spans="24:24" x14ac:dyDescent="0.35">
      <c r="X4060" s="8"/>
    </row>
    <row r="4061" spans="24:24" x14ac:dyDescent="0.35">
      <c r="X4061" s="8"/>
    </row>
    <row r="4062" spans="24:24" x14ac:dyDescent="0.35">
      <c r="X4062" s="8"/>
    </row>
    <row r="4063" spans="24:24" x14ac:dyDescent="0.35">
      <c r="X4063" s="8"/>
    </row>
    <row r="4064" spans="24:24" x14ac:dyDescent="0.35">
      <c r="X4064" s="8"/>
    </row>
    <row r="4065" spans="24:24" x14ac:dyDescent="0.35">
      <c r="X4065" s="8"/>
    </row>
    <row r="4066" spans="24:24" x14ac:dyDescent="0.35">
      <c r="X4066" s="8"/>
    </row>
    <row r="4067" spans="24:24" x14ac:dyDescent="0.35">
      <c r="X4067" s="8"/>
    </row>
    <row r="4068" spans="24:24" x14ac:dyDescent="0.35">
      <c r="X4068" s="8"/>
    </row>
    <row r="4069" spans="24:24" x14ac:dyDescent="0.35">
      <c r="X4069" s="8"/>
    </row>
    <row r="4070" spans="24:24" x14ac:dyDescent="0.35">
      <c r="X4070" s="8"/>
    </row>
    <row r="4071" spans="24:24" x14ac:dyDescent="0.35">
      <c r="X4071" s="8"/>
    </row>
    <row r="4072" spans="24:24" x14ac:dyDescent="0.35">
      <c r="X4072" s="8"/>
    </row>
    <row r="4073" spans="24:24" x14ac:dyDescent="0.35">
      <c r="X4073" s="8"/>
    </row>
    <row r="4074" spans="24:24" x14ac:dyDescent="0.35">
      <c r="X4074" s="8"/>
    </row>
    <row r="4075" spans="24:24" x14ac:dyDescent="0.35">
      <c r="X4075" s="8"/>
    </row>
    <row r="4076" spans="24:24" x14ac:dyDescent="0.35">
      <c r="X4076" s="8"/>
    </row>
    <row r="4077" spans="24:24" x14ac:dyDescent="0.35">
      <c r="X4077" s="8"/>
    </row>
    <row r="4078" spans="24:24" x14ac:dyDescent="0.35">
      <c r="X4078" s="8"/>
    </row>
    <row r="4079" spans="24:24" x14ac:dyDescent="0.35">
      <c r="X4079" s="8"/>
    </row>
    <row r="4080" spans="24:24" x14ac:dyDescent="0.35">
      <c r="X4080" s="8"/>
    </row>
    <row r="4081" spans="24:24" x14ac:dyDescent="0.35">
      <c r="X4081" s="8"/>
    </row>
    <row r="4082" spans="24:24" x14ac:dyDescent="0.35">
      <c r="X4082" s="8"/>
    </row>
    <row r="4083" spans="24:24" x14ac:dyDescent="0.35">
      <c r="X4083" s="8"/>
    </row>
    <row r="4084" spans="24:24" x14ac:dyDescent="0.35">
      <c r="X4084" s="8"/>
    </row>
    <row r="4085" spans="24:24" x14ac:dyDescent="0.35">
      <c r="X4085" s="8"/>
    </row>
    <row r="4086" spans="24:24" x14ac:dyDescent="0.35">
      <c r="X4086" s="8"/>
    </row>
    <row r="4087" spans="24:24" x14ac:dyDescent="0.35">
      <c r="X4087" s="8"/>
    </row>
    <row r="4088" spans="24:24" x14ac:dyDescent="0.35">
      <c r="X4088" s="8"/>
    </row>
    <row r="4089" spans="24:24" x14ac:dyDescent="0.35">
      <c r="X4089" s="8"/>
    </row>
    <row r="4090" spans="24:24" x14ac:dyDescent="0.35">
      <c r="X4090" s="8"/>
    </row>
    <row r="4091" spans="24:24" x14ac:dyDescent="0.35">
      <c r="X4091" s="8"/>
    </row>
    <row r="4092" spans="24:24" x14ac:dyDescent="0.35">
      <c r="X4092" s="8"/>
    </row>
    <row r="4093" spans="24:24" x14ac:dyDescent="0.35">
      <c r="X4093" s="8"/>
    </row>
    <row r="4094" spans="24:24" x14ac:dyDescent="0.35">
      <c r="X4094" s="8"/>
    </row>
    <row r="4095" spans="24:24" x14ac:dyDescent="0.35">
      <c r="X4095" s="8"/>
    </row>
    <row r="4096" spans="24:24" x14ac:dyDescent="0.35">
      <c r="X4096" s="8"/>
    </row>
    <row r="4097" spans="24:24" x14ac:dyDescent="0.35">
      <c r="X4097" s="8"/>
    </row>
    <row r="4098" spans="24:24" x14ac:dyDescent="0.35">
      <c r="X4098" s="8"/>
    </row>
    <row r="4099" spans="24:24" x14ac:dyDescent="0.35">
      <c r="X4099" s="8"/>
    </row>
    <row r="4100" spans="24:24" x14ac:dyDescent="0.35">
      <c r="X4100" s="8"/>
    </row>
    <row r="4101" spans="24:24" x14ac:dyDescent="0.35">
      <c r="X4101" s="8"/>
    </row>
    <row r="4102" spans="24:24" x14ac:dyDescent="0.35">
      <c r="X4102" s="8"/>
    </row>
    <row r="4103" spans="24:24" x14ac:dyDescent="0.35">
      <c r="X4103" s="8"/>
    </row>
    <row r="4104" spans="24:24" x14ac:dyDescent="0.35">
      <c r="X4104" s="8"/>
    </row>
    <row r="4105" spans="24:24" x14ac:dyDescent="0.35">
      <c r="X4105" s="8"/>
    </row>
    <row r="4106" spans="24:24" x14ac:dyDescent="0.35">
      <c r="X4106" s="8"/>
    </row>
    <row r="4107" spans="24:24" x14ac:dyDescent="0.35">
      <c r="X4107" s="8"/>
    </row>
    <row r="4108" spans="24:24" x14ac:dyDescent="0.35">
      <c r="X4108" s="8"/>
    </row>
    <row r="4109" spans="24:24" x14ac:dyDescent="0.35">
      <c r="X4109" s="8"/>
    </row>
    <row r="4110" spans="24:24" x14ac:dyDescent="0.35">
      <c r="X4110" s="8"/>
    </row>
    <row r="4111" spans="24:24" x14ac:dyDescent="0.35">
      <c r="X4111" s="8"/>
    </row>
    <row r="4112" spans="24:24" x14ac:dyDescent="0.35">
      <c r="X4112" s="8"/>
    </row>
    <row r="4113" spans="24:24" x14ac:dyDescent="0.35">
      <c r="X4113" s="8"/>
    </row>
    <row r="4114" spans="24:24" x14ac:dyDescent="0.35">
      <c r="X4114" s="8"/>
    </row>
    <row r="4115" spans="24:24" x14ac:dyDescent="0.35">
      <c r="X4115" s="8"/>
    </row>
    <row r="4116" spans="24:24" x14ac:dyDescent="0.35">
      <c r="X4116" s="8"/>
    </row>
    <row r="4117" spans="24:24" x14ac:dyDescent="0.35">
      <c r="X4117" s="8"/>
    </row>
    <row r="4118" spans="24:24" x14ac:dyDescent="0.35">
      <c r="X4118" s="8"/>
    </row>
    <row r="4119" spans="24:24" x14ac:dyDescent="0.35">
      <c r="X4119" s="8"/>
    </row>
    <row r="4120" spans="24:24" x14ac:dyDescent="0.35">
      <c r="X4120" s="8"/>
    </row>
    <row r="4121" spans="24:24" x14ac:dyDescent="0.35">
      <c r="X4121" s="8"/>
    </row>
    <row r="4122" spans="24:24" x14ac:dyDescent="0.35">
      <c r="X4122" s="8"/>
    </row>
    <row r="4123" spans="24:24" x14ac:dyDescent="0.35">
      <c r="X4123" s="8"/>
    </row>
    <row r="4124" spans="24:24" x14ac:dyDescent="0.35">
      <c r="X4124" s="8"/>
    </row>
    <row r="4125" spans="24:24" x14ac:dyDescent="0.35">
      <c r="X4125" s="8"/>
    </row>
    <row r="4126" spans="24:24" x14ac:dyDescent="0.35">
      <c r="X4126" s="8"/>
    </row>
    <row r="4127" spans="24:24" x14ac:dyDescent="0.35">
      <c r="X4127" s="8"/>
    </row>
    <row r="4128" spans="24:24" x14ac:dyDescent="0.35">
      <c r="X4128" s="8"/>
    </row>
    <row r="4129" spans="24:24" x14ac:dyDescent="0.35">
      <c r="X4129" s="8"/>
    </row>
    <row r="4130" spans="24:24" x14ac:dyDescent="0.35">
      <c r="X4130" s="8"/>
    </row>
    <row r="4131" spans="24:24" x14ac:dyDescent="0.35">
      <c r="X4131" s="8"/>
    </row>
    <row r="4132" spans="24:24" x14ac:dyDescent="0.35">
      <c r="X4132" s="8"/>
    </row>
    <row r="4133" spans="24:24" x14ac:dyDescent="0.35">
      <c r="X4133" s="8"/>
    </row>
    <row r="4134" spans="24:24" x14ac:dyDescent="0.35">
      <c r="X4134" s="8"/>
    </row>
    <row r="4135" spans="24:24" x14ac:dyDescent="0.35">
      <c r="X4135" s="8"/>
    </row>
    <row r="4136" spans="24:24" x14ac:dyDescent="0.35">
      <c r="X4136" s="8"/>
    </row>
    <row r="4137" spans="24:24" x14ac:dyDescent="0.35">
      <c r="X4137" s="8"/>
    </row>
    <row r="4138" spans="24:24" x14ac:dyDescent="0.35">
      <c r="X4138" s="8"/>
    </row>
    <row r="4139" spans="24:24" x14ac:dyDescent="0.35">
      <c r="X4139" s="8"/>
    </row>
    <row r="4140" spans="24:24" x14ac:dyDescent="0.35">
      <c r="X4140" s="8"/>
    </row>
    <row r="4141" spans="24:24" x14ac:dyDescent="0.35">
      <c r="X4141" s="8"/>
    </row>
    <row r="4142" spans="24:24" x14ac:dyDescent="0.35">
      <c r="X4142" s="8"/>
    </row>
    <row r="4143" spans="24:24" x14ac:dyDescent="0.35">
      <c r="X4143" s="8"/>
    </row>
    <row r="4144" spans="24:24" x14ac:dyDescent="0.35">
      <c r="X4144" s="8"/>
    </row>
    <row r="4145" spans="24:24" x14ac:dyDescent="0.35">
      <c r="X4145" s="8"/>
    </row>
    <row r="4146" spans="24:24" x14ac:dyDescent="0.35">
      <c r="X4146" s="8"/>
    </row>
    <row r="4147" spans="24:24" x14ac:dyDescent="0.35">
      <c r="X4147" s="8"/>
    </row>
    <row r="4148" spans="24:24" x14ac:dyDescent="0.35">
      <c r="X4148" s="8"/>
    </row>
    <row r="4149" spans="24:24" x14ac:dyDescent="0.35">
      <c r="X4149" s="8"/>
    </row>
    <row r="4150" spans="24:24" x14ac:dyDescent="0.35">
      <c r="X4150" s="8"/>
    </row>
    <row r="4151" spans="24:24" x14ac:dyDescent="0.35">
      <c r="X4151" s="8"/>
    </row>
    <row r="4152" spans="24:24" x14ac:dyDescent="0.35">
      <c r="X4152" s="8"/>
    </row>
    <row r="4153" spans="24:24" x14ac:dyDescent="0.35">
      <c r="X4153" s="8"/>
    </row>
    <row r="4154" spans="24:24" x14ac:dyDescent="0.35">
      <c r="X4154" s="8"/>
    </row>
    <row r="4155" spans="24:24" x14ac:dyDescent="0.35">
      <c r="X4155" s="8"/>
    </row>
    <row r="4156" spans="24:24" x14ac:dyDescent="0.35">
      <c r="X4156" s="8"/>
    </row>
    <row r="4157" spans="24:24" x14ac:dyDescent="0.35">
      <c r="X4157" s="8"/>
    </row>
    <row r="4158" spans="24:24" x14ac:dyDescent="0.35">
      <c r="X4158" s="8"/>
    </row>
    <row r="4159" spans="24:24" x14ac:dyDescent="0.35">
      <c r="X4159" s="8"/>
    </row>
    <row r="4160" spans="24:24" x14ac:dyDescent="0.35">
      <c r="X4160" s="8"/>
    </row>
    <row r="4161" spans="24:24" x14ac:dyDescent="0.35">
      <c r="X4161" s="8"/>
    </row>
    <row r="4162" spans="24:24" x14ac:dyDescent="0.35">
      <c r="X4162" s="8"/>
    </row>
    <row r="4163" spans="24:24" x14ac:dyDescent="0.35">
      <c r="X4163" s="8"/>
    </row>
    <row r="4164" spans="24:24" x14ac:dyDescent="0.35">
      <c r="X4164" s="8"/>
    </row>
    <row r="4165" spans="24:24" x14ac:dyDescent="0.35">
      <c r="X4165" s="8"/>
    </row>
    <row r="4166" spans="24:24" x14ac:dyDescent="0.35">
      <c r="X4166" s="8"/>
    </row>
    <row r="4167" spans="24:24" x14ac:dyDescent="0.35">
      <c r="X4167" s="8"/>
    </row>
    <row r="4168" spans="24:24" x14ac:dyDescent="0.35">
      <c r="X4168" s="8"/>
    </row>
    <row r="4169" spans="24:24" x14ac:dyDescent="0.35">
      <c r="X4169" s="8"/>
    </row>
    <row r="4170" spans="24:24" x14ac:dyDescent="0.35">
      <c r="X4170" s="8"/>
    </row>
    <row r="4171" spans="24:24" x14ac:dyDescent="0.35">
      <c r="X4171" s="8"/>
    </row>
    <row r="4172" spans="24:24" x14ac:dyDescent="0.35">
      <c r="X4172" s="8"/>
    </row>
    <row r="4173" spans="24:24" x14ac:dyDescent="0.35">
      <c r="X4173" s="8"/>
    </row>
    <row r="4174" spans="24:24" x14ac:dyDescent="0.35">
      <c r="X4174" s="8"/>
    </row>
    <row r="4175" spans="24:24" x14ac:dyDescent="0.35">
      <c r="X4175" s="8"/>
    </row>
    <row r="4176" spans="24:24" x14ac:dyDescent="0.35">
      <c r="X4176" s="8"/>
    </row>
    <row r="4177" spans="24:24" x14ac:dyDescent="0.35">
      <c r="X4177" s="8"/>
    </row>
    <row r="4178" spans="24:24" x14ac:dyDescent="0.35">
      <c r="X4178" s="8"/>
    </row>
    <row r="4179" spans="24:24" x14ac:dyDescent="0.35">
      <c r="X4179" s="8"/>
    </row>
    <row r="4180" spans="24:24" x14ac:dyDescent="0.35">
      <c r="X4180" s="8"/>
    </row>
    <row r="4181" spans="24:24" x14ac:dyDescent="0.35">
      <c r="X4181" s="8"/>
    </row>
    <row r="4182" spans="24:24" x14ac:dyDescent="0.35">
      <c r="X4182" s="8"/>
    </row>
    <row r="4183" spans="24:24" x14ac:dyDescent="0.35">
      <c r="X4183" s="8"/>
    </row>
    <row r="4184" spans="24:24" x14ac:dyDescent="0.35">
      <c r="X4184" s="8"/>
    </row>
    <row r="4185" spans="24:24" x14ac:dyDescent="0.35">
      <c r="X4185" s="8"/>
    </row>
    <row r="4186" spans="24:24" x14ac:dyDescent="0.35">
      <c r="X4186" s="8"/>
    </row>
    <row r="4187" spans="24:24" x14ac:dyDescent="0.35">
      <c r="X4187" s="8"/>
    </row>
    <row r="4188" spans="24:24" x14ac:dyDescent="0.35">
      <c r="X4188" s="8"/>
    </row>
    <row r="4189" spans="24:24" x14ac:dyDescent="0.35">
      <c r="X4189" s="8"/>
    </row>
    <row r="4190" spans="24:24" x14ac:dyDescent="0.35">
      <c r="X4190" s="8"/>
    </row>
    <row r="4191" spans="24:24" x14ac:dyDescent="0.35">
      <c r="X4191" s="8"/>
    </row>
    <row r="4192" spans="24:24" x14ac:dyDescent="0.35">
      <c r="X4192" s="8"/>
    </row>
    <row r="4193" spans="24:24" x14ac:dyDescent="0.35">
      <c r="X4193" s="8"/>
    </row>
    <row r="4194" spans="24:24" x14ac:dyDescent="0.35">
      <c r="X4194" s="8"/>
    </row>
    <row r="4195" spans="24:24" x14ac:dyDescent="0.35">
      <c r="X4195" s="8"/>
    </row>
    <row r="4196" spans="24:24" x14ac:dyDescent="0.35">
      <c r="X4196" s="8"/>
    </row>
    <row r="4197" spans="24:24" x14ac:dyDescent="0.35">
      <c r="X4197" s="8"/>
    </row>
    <row r="4198" spans="24:24" x14ac:dyDescent="0.35">
      <c r="X4198" s="8"/>
    </row>
    <row r="4199" spans="24:24" x14ac:dyDescent="0.35">
      <c r="X4199" s="8"/>
    </row>
    <row r="4200" spans="24:24" x14ac:dyDescent="0.35">
      <c r="X4200" s="8"/>
    </row>
    <row r="4201" spans="24:24" x14ac:dyDescent="0.35">
      <c r="X4201" s="8"/>
    </row>
    <row r="4202" spans="24:24" x14ac:dyDescent="0.35">
      <c r="X4202" s="8"/>
    </row>
    <row r="4203" spans="24:24" x14ac:dyDescent="0.35">
      <c r="X4203" s="8"/>
    </row>
    <row r="4204" spans="24:24" x14ac:dyDescent="0.35">
      <c r="X4204" s="8"/>
    </row>
    <row r="4205" spans="24:24" x14ac:dyDescent="0.35">
      <c r="X4205" s="8"/>
    </row>
    <row r="4206" spans="24:24" x14ac:dyDescent="0.35">
      <c r="X4206" s="8"/>
    </row>
    <row r="4207" spans="24:24" x14ac:dyDescent="0.35">
      <c r="X4207" s="8"/>
    </row>
    <row r="4208" spans="24:24" x14ac:dyDescent="0.35">
      <c r="X4208" s="8"/>
    </row>
    <row r="4209" spans="24:24" x14ac:dyDescent="0.35">
      <c r="X4209" s="8"/>
    </row>
    <row r="4210" spans="24:24" x14ac:dyDescent="0.35">
      <c r="X4210" s="8"/>
    </row>
    <row r="4211" spans="24:24" x14ac:dyDescent="0.35">
      <c r="X4211" s="8"/>
    </row>
    <row r="4212" spans="24:24" x14ac:dyDescent="0.35">
      <c r="X4212" s="8"/>
    </row>
    <row r="4213" spans="24:24" x14ac:dyDescent="0.35">
      <c r="X4213" s="8"/>
    </row>
    <row r="4214" spans="24:24" x14ac:dyDescent="0.35">
      <c r="X4214" s="8"/>
    </row>
    <row r="4215" spans="24:24" x14ac:dyDescent="0.35">
      <c r="X4215" s="8"/>
    </row>
    <row r="4216" spans="24:24" x14ac:dyDescent="0.35">
      <c r="X4216" s="8"/>
    </row>
    <row r="4217" spans="24:24" x14ac:dyDescent="0.35">
      <c r="X4217" s="8"/>
    </row>
    <row r="4218" spans="24:24" x14ac:dyDescent="0.35">
      <c r="X4218" s="8"/>
    </row>
    <row r="4219" spans="24:24" x14ac:dyDescent="0.35">
      <c r="X4219" s="8"/>
    </row>
    <row r="4220" spans="24:24" x14ac:dyDescent="0.35">
      <c r="X4220" s="8"/>
    </row>
    <row r="4221" spans="24:24" x14ac:dyDescent="0.35">
      <c r="X4221" s="8"/>
    </row>
    <row r="4222" spans="24:24" x14ac:dyDescent="0.35">
      <c r="X4222" s="8"/>
    </row>
    <row r="4223" spans="24:24" x14ac:dyDescent="0.35">
      <c r="X4223" s="8"/>
    </row>
    <row r="4224" spans="24:24" x14ac:dyDescent="0.35">
      <c r="X4224" s="8"/>
    </row>
    <row r="4225" spans="24:24" x14ac:dyDescent="0.35">
      <c r="X4225" s="8"/>
    </row>
    <row r="4226" spans="24:24" x14ac:dyDescent="0.35">
      <c r="X4226" s="8"/>
    </row>
    <row r="4227" spans="24:24" x14ac:dyDescent="0.35">
      <c r="X4227" s="8"/>
    </row>
    <row r="4228" spans="24:24" x14ac:dyDescent="0.35">
      <c r="X4228" s="8"/>
    </row>
    <row r="4229" spans="24:24" x14ac:dyDescent="0.35">
      <c r="X4229" s="8"/>
    </row>
    <row r="4230" spans="24:24" x14ac:dyDescent="0.35">
      <c r="X4230" s="8"/>
    </row>
    <row r="4231" spans="24:24" x14ac:dyDescent="0.35">
      <c r="X4231" s="8"/>
    </row>
    <row r="4232" spans="24:24" x14ac:dyDescent="0.35">
      <c r="X4232" s="8"/>
    </row>
    <row r="4233" spans="24:24" x14ac:dyDescent="0.35">
      <c r="X4233" s="8"/>
    </row>
    <row r="4234" spans="24:24" x14ac:dyDescent="0.35">
      <c r="X4234" s="8"/>
    </row>
    <row r="4235" spans="24:24" x14ac:dyDescent="0.35">
      <c r="X4235" s="8"/>
    </row>
    <row r="4236" spans="24:24" x14ac:dyDescent="0.35">
      <c r="X4236" s="8"/>
    </row>
    <row r="4237" spans="24:24" x14ac:dyDescent="0.35">
      <c r="X4237" s="8"/>
    </row>
    <row r="4238" spans="24:24" x14ac:dyDescent="0.35">
      <c r="X4238" s="8"/>
    </row>
    <row r="4239" spans="24:24" x14ac:dyDescent="0.35">
      <c r="X4239" s="8"/>
    </row>
    <row r="4240" spans="24:24" x14ac:dyDescent="0.35">
      <c r="X4240" s="8"/>
    </row>
    <row r="4241" spans="24:24" x14ac:dyDescent="0.35">
      <c r="X4241" s="8"/>
    </row>
    <row r="4242" spans="24:24" x14ac:dyDescent="0.35">
      <c r="X4242" s="8"/>
    </row>
    <row r="4243" spans="24:24" x14ac:dyDescent="0.35">
      <c r="X4243" s="8"/>
    </row>
    <row r="4244" spans="24:24" x14ac:dyDescent="0.35">
      <c r="X4244" s="8"/>
    </row>
    <row r="4245" spans="24:24" x14ac:dyDescent="0.35">
      <c r="X4245" s="8"/>
    </row>
    <row r="4246" spans="24:24" x14ac:dyDescent="0.35">
      <c r="X4246" s="8"/>
    </row>
    <row r="4247" spans="24:24" x14ac:dyDescent="0.35">
      <c r="X4247" s="8"/>
    </row>
    <row r="4248" spans="24:24" x14ac:dyDescent="0.35">
      <c r="X4248" s="8"/>
    </row>
    <row r="4249" spans="24:24" x14ac:dyDescent="0.35">
      <c r="X4249" s="8"/>
    </row>
    <row r="4250" spans="24:24" x14ac:dyDescent="0.35">
      <c r="X4250" s="8"/>
    </row>
    <row r="4251" spans="24:24" x14ac:dyDescent="0.35">
      <c r="X4251" s="8"/>
    </row>
    <row r="4252" spans="24:24" x14ac:dyDescent="0.35">
      <c r="X4252" s="8"/>
    </row>
    <row r="4253" spans="24:24" x14ac:dyDescent="0.35">
      <c r="X4253" s="8"/>
    </row>
    <row r="4254" spans="24:24" x14ac:dyDescent="0.35">
      <c r="X4254" s="8"/>
    </row>
    <row r="4255" spans="24:24" x14ac:dyDescent="0.35">
      <c r="X4255" s="8"/>
    </row>
    <row r="4256" spans="24:24" x14ac:dyDescent="0.35">
      <c r="X4256" s="8"/>
    </row>
    <row r="4257" spans="24:24" x14ac:dyDescent="0.35">
      <c r="X4257" s="8"/>
    </row>
    <row r="4258" spans="24:24" x14ac:dyDescent="0.35">
      <c r="X4258" s="8"/>
    </row>
    <row r="4259" spans="24:24" x14ac:dyDescent="0.35">
      <c r="X4259" s="8"/>
    </row>
    <row r="4260" spans="24:24" x14ac:dyDescent="0.35">
      <c r="X4260" s="8"/>
    </row>
    <row r="4261" spans="24:24" x14ac:dyDescent="0.35">
      <c r="X4261" s="8"/>
    </row>
    <row r="4262" spans="24:24" x14ac:dyDescent="0.35">
      <c r="X4262" s="8"/>
    </row>
    <row r="4263" spans="24:24" x14ac:dyDescent="0.35">
      <c r="X4263" s="8"/>
    </row>
    <row r="4264" spans="24:24" x14ac:dyDescent="0.35">
      <c r="X4264" s="8"/>
    </row>
    <row r="4265" spans="24:24" x14ac:dyDescent="0.35">
      <c r="X4265" s="8"/>
    </row>
    <row r="4266" spans="24:24" x14ac:dyDescent="0.35">
      <c r="X4266" s="8"/>
    </row>
    <row r="4267" spans="24:24" x14ac:dyDescent="0.35">
      <c r="X4267" s="8"/>
    </row>
    <row r="4268" spans="24:24" x14ac:dyDescent="0.35">
      <c r="X4268" s="8"/>
    </row>
    <row r="4269" spans="24:24" x14ac:dyDescent="0.35">
      <c r="X4269" s="8"/>
    </row>
    <row r="4270" spans="24:24" x14ac:dyDescent="0.35">
      <c r="X4270" s="8"/>
    </row>
    <row r="4271" spans="24:24" x14ac:dyDescent="0.35">
      <c r="X4271" s="8"/>
    </row>
    <row r="4272" spans="24:24" x14ac:dyDescent="0.35">
      <c r="X4272" s="8"/>
    </row>
    <row r="4273" spans="24:24" x14ac:dyDescent="0.35">
      <c r="X4273" s="8"/>
    </row>
    <row r="4274" spans="24:24" x14ac:dyDescent="0.35">
      <c r="X4274" s="8"/>
    </row>
    <row r="4275" spans="24:24" x14ac:dyDescent="0.35">
      <c r="X4275" s="8"/>
    </row>
    <row r="4276" spans="24:24" x14ac:dyDescent="0.35">
      <c r="X4276" s="8"/>
    </row>
    <row r="4277" spans="24:24" x14ac:dyDescent="0.35">
      <c r="X4277" s="8"/>
    </row>
    <row r="4278" spans="24:24" x14ac:dyDescent="0.35">
      <c r="X4278" s="8"/>
    </row>
    <row r="4279" spans="24:24" x14ac:dyDescent="0.35">
      <c r="X4279" s="8"/>
    </row>
    <row r="4280" spans="24:24" x14ac:dyDescent="0.35">
      <c r="X4280" s="8"/>
    </row>
    <row r="4281" spans="24:24" x14ac:dyDescent="0.35">
      <c r="X4281" s="8"/>
    </row>
    <row r="4282" spans="24:24" x14ac:dyDescent="0.35">
      <c r="X4282" s="8"/>
    </row>
    <row r="4283" spans="24:24" x14ac:dyDescent="0.35">
      <c r="X4283" s="8"/>
    </row>
    <row r="4284" spans="24:24" x14ac:dyDescent="0.35">
      <c r="X4284" s="8"/>
    </row>
    <row r="4285" spans="24:24" x14ac:dyDescent="0.35">
      <c r="X4285" s="8"/>
    </row>
    <row r="4286" spans="24:24" x14ac:dyDescent="0.35">
      <c r="X4286" s="8"/>
    </row>
    <row r="4287" spans="24:24" x14ac:dyDescent="0.35">
      <c r="X4287" s="8"/>
    </row>
    <row r="4288" spans="24:24" x14ac:dyDescent="0.35">
      <c r="X4288" s="8"/>
    </row>
    <row r="4289" spans="24:24" x14ac:dyDescent="0.35">
      <c r="X4289" s="8"/>
    </row>
    <row r="4290" spans="24:24" x14ac:dyDescent="0.35">
      <c r="X4290" s="8"/>
    </row>
    <row r="4291" spans="24:24" x14ac:dyDescent="0.35">
      <c r="X4291" s="8"/>
    </row>
    <row r="4292" spans="24:24" x14ac:dyDescent="0.35">
      <c r="X4292" s="8"/>
    </row>
    <row r="4293" spans="24:24" x14ac:dyDescent="0.35">
      <c r="X4293" s="8"/>
    </row>
    <row r="4294" spans="24:24" x14ac:dyDescent="0.35">
      <c r="X4294" s="8"/>
    </row>
    <row r="4295" spans="24:24" x14ac:dyDescent="0.35">
      <c r="X4295" s="8"/>
    </row>
    <row r="4296" spans="24:24" x14ac:dyDescent="0.35">
      <c r="X4296" s="8"/>
    </row>
    <row r="4297" spans="24:24" x14ac:dyDescent="0.35">
      <c r="X4297" s="8"/>
    </row>
    <row r="4298" spans="24:24" x14ac:dyDescent="0.35">
      <c r="X4298" s="8"/>
    </row>
    <row r="4299" spans="24:24" x14ac:dyDescent="0.35">
      <c r="X4299" s="8"/>
    </row>
    <row r="4300" spans="24:24" x14ac:dyDescent="0.35">
      <c r="X4300" s="8"/>
    </row>
    <row r="4301" spans="24:24" x14ac:dyDescent="0.35">
      <c r="X4301" s="8"/>
    </row>
    <row r="4302" spans="24:24" x14ac:dyDescent="0.35">
      <c r="X4302" s="8"/>
    </row>
    <row r="4303" spans="24:24" x14ac:dyDescent="0.35">
      <c r="X4303" s="8"/>
    </row>
    <row r="4304" spans="24:24" x14ac:dyDescent="0.35">
      <c r="X4304" s="8"/>
    </row>
    <row r="4305" spans="24:24" x14ac:dyDescent="0.35">
      <c r="X4305" s="8"/>
    </row>
    <row r="4306" spans="24:24" x14ac:dyDescent="0.35">
      <c r="X4306" s="8"/>
    </row>
    <row r="4307" spans="24:24" x14ac:dyDescent="0.35">
      <c r="X4307" s="8"/>
    </row>
    <row r="4308" spans="24:24" x14ac:dyDescent="0.35">
      <c r="X4308" s="8"/>
    </row>
    <row r="4309" spans="24:24" x14ac:dyDescent="0.35">
      <c r="X4309" s="8"/>
    </row>
    <row r="4310" spans="24:24" x14ac:dyDescent="0.35">
      <c r="X4310" s="8"/>
    </row>
    <row r="4311" spans="24:24" x14ac:dyDescent="0.35">
      <c r="X4311" s="8"/>
    </row>
    <row r="4312" spans="24:24" x14ac:dyDescent="0.35">
      <c r="X4312" s="8"/>
    </row>
    <row r="4313" spans="24:24" x14ac:dyDescent="0.35">
      <c r="X4313" s="8"/>
    </row>
    <row r="4314" spans="24:24" x14ac:dyDescent="0.35">
      <c r="X4314" s="8"/>
    </row>
    <row r="4315" spans="24:24" x14ac:dyDescent="0.35">
      <c r="X4315" s="8"/>
    </row>
    <row r="4316" spans="24:24" x14ac:dyDescent="0.35">
      <c r="X4316" s="8"/>
    </row>
    <row r="4317" spans="24:24" x14ac:dyDescent="0.35">
      <c r="X4317" s="8"/>
    </row>
    <row r="4318" spans="24:24" x14ac:dyDescent="0.35">
      <c r="X4318" s="8"/>
    </row>
    <row r="4319" spans="24:24" x14ac:dyDescent="0.35">
      <c r="X4319" s="8"/>
    </row>
    <row r="4320" spans="24:24" x14ac:dyDescent="0.35">
      <c r="X4320" s="8"/>
    </row>
    <row r="4321" spans="24:24" x14ac:dyDescent="0.35">
      <c r="X4321" s="8"/>
    </row>
    <row r="4322" spans="24:24" x14ac:dyDescent="0.35">
      <c r="X4322" s="8"/>
    </row>
    <row r="4323" spans="24:24" x14ac:dyDescent="0.35">
      <c r="X4323" s="8"/>
    </row>
    <row r="4324" spans="24:24" x14ac:dyDescent="0.35">
      <c r="X4324" s="8"/>
    </row>
    <row r="4325" spans="24:24" x14ac:dyDescent="0.35">
      <c r="X4325" s="8"/>
    </row>
    <row r="4326" spans="24:24" x14ac:dyDescent="0.35">
      <c r="X4326" s="8"/>
    </row>
    <row r="4327" spans="24:24" x14ac:dyDescent="0.35">
      <c r="X4327" s="8"/>
    </row>
    <row r="4328" spans="24:24" x14ac:dyDescent="0.35">
      <c r="X4328" s="8"/>
    </row>
    <row r="4329" spans="24:24" x14ac:dyDescent="0.35">
      <c r="X4329" s="8"/>
    </row>
    <row r="4330" spans="24:24" x14ac:dyDescent="0.35">
      <c r="X4330" s="8"/>
    </row>
    <row r="4331" spans="24:24" x14ac:dyDescent="0.35">
      <c r="X4331" s="8"/>
    </row>
    <row r="4332" spans="24:24" x14ac:dyDescent="0.35">
      <c r="X4332" s="8"/>
    </row>
    <row r="4333" spans="24:24" x14ac:dyDescent="0.35">
      <c r="X4333" s="8"/>
    </row>
    <row r="4334" spans="24:24" x14ac:dyDescent="0.35">
      <c r="X4334" s="8"/>
    </row>
    <row r="4335" spans="24:24" x14ac:dyDescent="0.35">
      <c r="X4335" s="8"/>
    </row>
    <row r="4336" spans="24:24" x14ac:dyDescent="0.35">
      <c r="X4336" s="8"/>
    </row>
    <row r="4337" spans="24:24" x14ac:dyDescent="0.35">
      <c r="X4337" s="8"/>
    </row>
    <row r="4338" spans="24:24" x14ac:dyDescent="0.35">
      <c r="X4338" s="8"/>
    </row>
    <row r="4339" spans="24:24" x14ac:dyDescent="0.35">
      <c r="X4339" s="8"/>
    </row>
    <row r="4340" spans="24:24" x14ac:dyDescent="0.35">
      <c r="X4340" s="8"/>
    </row>
    <row r="4341" spans="24:24" x14ac:dyDescent="0.35">
      <c r="X4341" s="8"/>
    </row>
    <row r="4342" spans="24:24" x14ac:dyDescent="0.35">
      <c r="X4342" s="8"/>
    </row>
    <row r="4343" spans="24:24" x14ac:dyDescent="0.35">
      <c r="X4343" s="8"/>
    </row>
    <row r="4344" spans="24:24" x14ac:dyDescent="0.35">
      <c r="X4344" s="8"/>
    </row>
    <row r="4345" spans="24:24" x14ac:dyDescent="0.35">
      <c r="X4345" s="8"/>
    </row>
    <row r="4346" spans="24:24" x14ac:dyDescent="0.35">
      <c r="X4346" s="8"/>
    </row>
    <row r="4347" spans="24:24" x14ac:dyDescent="0.35">
      <c r="X4347" s="8"/>
    </row>
    <row r="4348" spans="24:24" x14ac:dyDescent="0.35">
      <c r="X4348" s="8"/>
    </row>
    <row r="4349" spans="24:24" x14ac:dyDescent="0.35">
      <c r="X4349" s="8"/>
    </row>
    <row r="4350" spans="24:24" x14ac:dyDescent="0.35">
      <c r="X4350" s="8"/>
    </row>
    <row r="4351" spans="24:24" x14ac:dyDescent="0.35">
      <c r="X4351" s="8"/>
    </row>
    <row r="4352" spans="24:24" x14ac:dyDescent="0.35">
      <c r="X4352" s="8"/>
    </row>
    <row r="4353" spans="24:24" x14ac:dyDescent="0.35">
      <c r="X4353" s="8"/>
    </row>
    <row r="4354" spans="24:24" x14ac:dyDescent="0.35">
      <c r="X4354" s="8"/>
    </row>
    <row r="4355" spans="24:24" x14ac:dyDescent="0.35">
      <c r="X4355" s="8"/>
    </row>
    <row r="4356" spans="24:24" x14ac:dyDescent="0.35">
      <c r="X4356" s="8"/>
    </row>
    <row r="4357" spans="24:24" x14ac:dyDescent="0.35">
      <c r="X4357" s="8"/>
    </row>
    <row r="4358" spans="24:24" x14ac:dyDescent="0.35">
      <c r="X4358" s="8"/>
    </row>
    <row r="4359" spans="24:24" x14ac:dyDescent="0.35">
      <c r="X4359" s="8"/>
    </row>
    <row r="4360" spans="24:24" x14ac:dyDescent="0.35">
      <c r="X4360" s="8"/>
    </row>
    <row r="4361" spans="24:24" x14ac:dyDescent="0.35">
      <c r="X4361" s="8"/>
    </row>
    <row r="4362" spans="24:24" x14ac:dyDescent="0.35">
      <c r="X4362" s="8"/>
    </row>
    <row r="4363" spans="24:24" x14ac:dyDescent="0.35">
      <c r="X4363" s="8"/>
    </row>
    <row r="4364" spans="24:24" x14ac:dyDescent="0.35">
      <c r="X4364" s="8"/>
    </row>
    <row r="4365" spans="24:24" x14ac:dyDescent="0.35">
      <c r="X4365" s="8"/>
    </row>
    <row r="4366" spans="24:24" x14ac:dyDescent="0.35">
      <c r="X4366" s="8"/>
    </row>
    <row r="4367" spans="24:24" x14ac:dyDescent="0.35">
      <c r="X4367" s="8"/>
    </row>
    <row r="4368" spans="24:24" x14ac:dyDescent="0.35">
      <c r="X4368" s="8"/>
    </row>
    <row r="4369" spans="24:24" x14ac:dyDescent="0.35">
      <c r="X4369" s="8"/>
    </row>
    <row r="4370" spans="24:24" x14ac:dyDescent="0.35">
      <c r="X4370" s="8"/>
    </row>
    <row r="4371" spans="24:24" x14ac:dyDescent="0.35">
      <c r="X4371" s="8"/>
    </row>
    <row r="4372" spans="24:24" x14ac:dyDescent="0.35">
      <c r="X4372" s="8"/>
    </row>
    <row r="4373" spans="24:24" x14ac:dyDescent="0.35">
      <c r="X4373" s="8"/>
    </row>
    <row r="4374" spans="24:24" x14ac:dyDescent="0.35">
      <c r="X4374" s="8"/>
    </row>
    <row r="4375" spans="24:24" x14ac:dyDescent="0.35">
      <c r="X4375" s="8"/>
    </row>
    <row r="4376" spans="24:24" x14ac:dyDescent="0.35">
      <c r="X4376" s="8"/>
    </row>
    <row r="4377" spans="24:24" x14ac:dyDescent="0.35">
      <c r="X4377" s="8"/>
    </row>
    <row r="4378" spans="24:24" x14ac:dyDescent="0.35">
      <c r="X4378" s="8"/>
    </row>
    <row r="4379" spans="24:24" x14ac:dyDescent="0.35">
      <c r="X4379" s="8"/>
    </row>
    <row r="4380" spans="24:24" x14ac:dyDescent="0.35">
      <c r="X4380" s="8"/>
    </row>
    <row r="4381" spans="24:24" x14ac:dyDescent="0.35">
      <c r="X4381" s="8"/>
    </row>
    <row r="4382" spans="24:24" x14ac:dyDescent="0.35">
      <c r="X4382" s="8"/>
    </row>
    <row r="4383" spans="24:24" x14ac:dyDescent="0.35">
      <c r="X4383" s="8"/>
    </row>
    <row r="4384" spans="24:24" x14ac:dyDescent="0.35">
      <c r="X4384" s="8"/>
    </row>
    <row r="4385" spans="24:24" x14ac:dyDescent="0.35">
      <c r="X4385" s="8"/>
    </row>
    <row r="4386" spans="24:24" x14ac:dyDescent="0.35">
      <c r="X4386" s="8"/>
    </row>
    <row r="4387" spans="24:24" x14ac:dyDescent="0.35">
      <c r="X4387" s="8"/>
    </row>
    <row r="4388" spans="24:24" x14ac:dyDescent="0.35">
      <c r="X4388" s="8"/>
    </row>
    <row r="4389" spans="24:24" x14ac:dyDescent="0.35">
      <c r="X4389" s="8"/>
    </row>
    <row r="4390" spans="24:24" x14ac:dyDescent="0.35">
      <c r="X4390" s="8"/>
    </row>
    <row r="4391" spans="24:24" x14ac:dyDescent="0.35">
      <c r="X4391" s="8"/>
    </row>
    <row r="4392" spans="24:24" x14ac:dyDescent="0.35">
      <c r="X4392" s="8"/>
    </row>
    <row r="4393" spans="24:24" x14ac:dyDescent="0.35">
      <c r="X4393" s="8"/>
    </row>
    <row r="4394" spans="24:24" x14ac:dyDescent="0.35">
      <c r="X4394" s="8"/>
    </row>
    <row r="4395" spans="24:24" x14ac:dyDescent="0.35">
      <c r="X4395" s="8"/>
    </row>
    <row r="4396" spans="24:24" x14ac:dyDescent="0.35">
      <c r="X4396" s="8"/>
    </row>
    <row r="4397" spans="24:24" x14ac:dyDescent="0.35">
      <c r="X4397" s="8"/>
    </row>
    <row r="4398" spans="24:24" x14ac:dyDescent="0.35">
      <c r="X4398" s="8"/>
    </row>
    <row r="4399" spans="24:24" x14ac:dyDescent="0.35">
      <c r="X4399" s="8"/>
    </row>
    <row r="4400" spans="24:24" x14ac:dyDescent="0.35">
      <c r="X4400" s="8"/>
    </row>
    <row r="4401" spans="24:24" x14ac:dyDescent="0.35">
      <c r="X4401" s="8"/>
    </row>
    <row r="4402" spans="24:24" x14ac:dyDescent="0.35">
      <c r="X4402" s="8"/>
    </row>
    <row r="4403" spans="24:24" x14ac:dyDescent="0.35">
      <c r="X4403" s="8"/>
    </row>
    <row r="4404" spans="24:24" x14ac:dyDescent="0.35">
      <c r="X4404" s="8"/>
    </row>
    <row r="4405" spans="24:24" x14ac:dyDescent="0.35">
      <c r="X4405" s="8"/>
    </row>
    <row r="4406" spans="24:24" x14ac:dyDescent="0.35">
      <c r="X4406" s="8"/>
    </row>
    <row r="4407" spans="24:24" x14ac:dyDescent="0.35">
      <c r="X4407" s="8"/>
    </row>
    <row r="4408" spans="24:24" x14ac:dyDescent="0.35">
      <c r="X4408" s="8"/>
    </row>
    <row r="4409" spans="24:24" x14ac:dyDescent="0.35">
      <c r="X4409" s="8"/>
    </row>
    <row r="4410" spans="24:24" x14ac:dyDescent="0.35">
      <c r="X4410" s="8"/>
    </row>
    <row r="4411" spans="24:24" x14ac:dyDescent="0.35">
      <c r="X4411" s="8"/>
    </row>
    <row r="4412" spans="24:24" x14ac:dyDescent="0.35">
      <c r="X4412" s="8"/>
    </row>
    <row r="4413" spans="24:24" x14ac:dyDescent="0.35">
      <c r="X4413" s="8"/>
    </row>
    <row r="4414" spans="24:24" x14ac:dyDescent="0.35">
      <c r="X4414" s="8"/>
    </row>
    <row r="4415" spans="24:24" x14ac:dyDescent="0.35">
      <c r="X4415" s="8"/>
    </row>
    <row r="4416" spans="24:24" x14ac:dyDescent="0.35">
      <c r="X4416" s="8"/>
    </row>
    <row r="4417" spans="24:24" x14ac:dyDescent="0.35">
      <c r="X4417" s="8"/>
    </row>
    <row r="4418" spans="24:24" x14ac:dyDescent="0.35">
      <c r="X4418" s="8"/>
    </row>
    <row r="4419" spans="24:24" x14ac:dyDescent="0.35">
      <c r="X4419" s="8"/>
    </row>
    <row r="4420" spans="24:24" x14ac:dyDescent="0.35">
      <c r="X4420" s="8"/>
    </row>
    <row r="4421" spans="24:24" x14ac:dyDescent="0.35">
      <c r="X4421" s="8"/>
    </row>
    <row r="4422" spans="24:24" x14ac:dyDescent="0.35">
      <c r="X4422" s="8"/>
    </row>
    <row r="4423" spans="24:24" x14ac:dyDescent="0.35">
      <c r="X4423" s="8"/>
    </row>
    <row r="4424" spans="24:24" x14ac:dyDescent="0.35">
      <c r="X4424" s="8"/>
    </row>
    <row r="4425" spans="24:24" x14ac:dyDescent="0.35">
      <c r="X4425" s="8"/>
    </row>
    <row r="4426" spans="24:24" x14ac:dyDescent="0.35">
      <c r="X4426" s="8"/>
    </row>
    <row r="4427" spans="24:24" x14ac:dyDescent="0.35">
      <c r="X4427" s="8"/>
    </row>
    <row r="4428" spans="24:24" x14ac:dyDescent="0.35">
      <c r="X4428" s="8"/>
    </row>
    <row r="4429" spans="24:24" x14ac:dyDescent="0.35">
      <c r="X4429" s="8"/>
    </row>
    <row r="4430" spans="24:24" x14ac:dyDescent="0.35">
      <c r="X4430" s="8"/>
    </row>
    <row r="4431" spans="24:24" x14ac:dyDescent="0.35">
      <c r="X4431" s="8"/>
    </row>
    <row r="4432" spans="24:24" x14ac:dyDescent="0.35">
      <c r="X4432" s="8"/>
    </row>
    <row r="4433" spans="24:24" x14ac:dyDescent="0.35">
      <c r="X4433" s="8"/>
    </row>
    <row r="4434" spans="24:24" x14ac:dyDescent="0.35">
      <c r="X4434" s="8"/>
    </row>
    <row r="4435" spans="24:24" x14ac:dyDescent="0.35">
      <c r="X4435" s="8"/>
    </row>
    <row r="4436" spans="24:24" x14ac:dyDescent="0.35">
      <c r="X4436" s="8"/>
    </row>
    <row r="4437" spans="24:24" x14ac:dyDescent="0.35">
      <c r="X4437" s="8"/>
    </row>
    <row r="4438" spans="24:24" x14ac:dyDescent="0.35">
      <c r="X4438" s="8"/>
    </row>
    <row r="4439" spans="24:24" x14ac:dyDescent="0.35">
      <c r="X4439" s="8"/>
    </row>
    <row r="4440" spans="24:24" x14ac:dyDescent="0.35">
      <c r="X4440" s="8"/>
    </row>
    <row r="4441" spans="24:24" x14ac:dyDescent="0.35">
      <c r="X4441" s="8"/>
    </row>
    <row r="4442" spans="24:24" x14ac:dyDescent="0.35">
      <c r="X4442" s="8"/>
    </row>
    <row r="4443" spans="24:24" x14ac:dyDescent="0.35">
      <c r="X4443" s="8"/>
    </row>
    <row r="4444" spans="24:24" x14ac:dyDescent="0.35">
      <c r="X4444" s="8"/>
    </row>
    <row r="4445" spans="24:24" x14ac:dyDescent="0.35">
      <c r="X4445" s="8"/>
    </row>
    <row r="4446" spans="24:24" x14ac:dyDescent="0.35">
      <c r="X4446" s="8"/>
    </row>
    <row r="4447" spans="24:24" x14ac:dyDescent="0.35">
      <c r="X4447" s="8"/>
    </row>
    <row r="4448" spans="24:24" x14ac:dyDescent="0.35">
      <c r="X4448" s="8"/>
    </row>
    <row r="4449" spans="24:24" x14ac:dyDescent="0.35">
      <c r="X4449" s="8"/>
    </row>
    <row r="4450" spans="24:24" x14ac:dyDescent="0.35">
      <c r="X4450" s="8"/>
    </row>
    <row r="4451" spans="24:24" x14ac:dyDescent="0.35">
      <c r="X4451" s="8"/>
    </row>
    <row r="4452" spans="24:24" x14ac:dyDescent="0.35">
      <c r="X4452" s="8"/>
    </row>
    <row r="4453" spans="24:24" x14ac:dyDescent="0.35">
      <c r="X4453" s="8"/>
    </row>
    <row r="4454" spans="24:24" x14ac:dyDescent="0.35">
      <c r="X4454" s="8"/>
    </row>
    <row r="4455" spans="24:24" x14ac:dyDescent="0.35">
      <c r="X4455" s="8"/>
    </row>
    <row r="4456" spans="24:24" x14ac:dyDescent="0.35">
      <c r="X4456" s="8"/>
    </row>
    <row r="4457" spans="24:24" x14ac:dyDescent="0.35">
      <c r="X4457" s="8"/>
    </row>
    <row r="4458" spans="24:24" x14ac:dyDescent="0.35">
      <c r="X4458" s="8"/>
    </row>
    <row r="4459" spans="24:24" x14ac:dyDescent="0.35">
      <c r="X4459" s="8"/>
    </row>
    <row r="4460" spans="24:24" x14ac:dyDescent="0.35">
      <c r="X4460" s="8"/>
    </row>
    <row r="4461" spans="24:24" x14ac:dyDescent="0.35">
      <c r="X4461" s="8"/>
    </row>
    <row r="4462" spans="24:24" x14ac:dyDescent="0.35">
      <c r="X4462" s="8"/>
    </row>
    <row r="4463" spans="24:24" x14ac:dyDescent="0.35">
      <c r="X4463" s="8"/>
    </row>
    <row r="4464" spans="24:24" x14ac:dyDescent="0.35">
      <c r="X4464" s="8"/>
    </row>
    <row r="4465" spans="24:24" x14ac:dyDescent="0.35">
      <c r="X4465" s="8"/>
    </row>
    <row r="4466" spans="24:24" x14ac:dyDescent="0.35">
      <c r="X4466" s="8"/>
    </row>
    <row r="4467" spans="24:24" x14ac:dyDescent="0.35">
      <c r="X4467" s="8"/>
    </row>
    <row r="4468" spans="24:24" x14ac:dyDescent="0.35">
      <c r="X4468" s="8"/>
    </row>
    <row r="4469" spans="24:24" x14ac:dyDescent="0.35">
      <c r="X4469" s="8"/>
    </row>
    <row r="4470" spans="24:24" x14ac:dyDescent="0.35">
      <c r="X4470" s="8"/>
    </row>
    <row r="4471" spans="24:24" x14ac:dyDescent="0.35">
      <c r="X4471" s="8"/>
    </row>
    <row r="4472" spans="24:24" x14ac:dyDescent="0.35">
      <c r="X4472" s="8"/>
    </row>
    <row r="4473" spans="24:24" x14ac:dyDescent="0.35">
      <c r="X4473" s="8"/>
    </row>
    <row r="4474" spans="24:24" x14ac:dyDescent="0.35">
      <c r="X4474" s="8"/>
    </row>
    <row r="4475" spans="24:24" x14ac:dyDescent="0.35">
      <c r="X4475" s="8"/>
    </row>
    <row r="4476" spans="24:24" x14ac:dyDescent="0.35">
      <c r="X4476" s="8"/>
    </row>
    <row r="4477" spans="24:24" x14ac:dyDescent="0.35">
      <c r="X4477" s="8"/>
    </row>
    <row r="4478" spans="24:24" x14ac:dyDescent="0.35">
      <c r="X4478" s="8"/>
    </row>
    <row r="4479" spans="24:24" x14ac:dyDescent="0.35">
      <c r="X4479" s="8"/>
    </row>
    <row r="4480" spans="24:24" x14ac:dyDescent="0.35">
      <c r="X4480" s="8"/>
    </row>
    <row r="4481" spans="24:24" x14ac:dyDescent="0.35">
      <c r="X4481" s="8"/>
    </row>
    <row r="4482" spans="24:24" x14ac:dyDescent="0.35">
      <c r="X4482" s="8"/>
    </row>
    <row r="4483" spans="24:24" x14ac:dyDescent="0.35">
      <c r="X4483" s="8"/>
    </row>
    <row r="4484" spans="24:24" x14ac:dyDescent="0.35">
      <c r="X4484" s="8"/>
    </row>
    <row r="4485" spans="24:24" x14ac:dyDescent="0.35">
      <c r="X4485" s="8"/>
    </row>
    <row r="4486" spans="24:24" x14ac:dyDescent="0.35">
      <c r="X4486" s="8"/>
    </row>
    <row r="4487" spans="24:24" x14ac:dyDescent="0.35">
      <c r="X4487" s="8"/>
    </row>
    <row r="4488" spans="24:24" x14ac:dyDescent="0.35">
      <c r="X4488" s="8"/>
    </row>
    <row r="4489" spans="24:24" x14ac:dyDescent="0.35">
      <c r="X4489" s="8"/>
    </row>
    <row r="4490" spans="24:24" x14ac:dyDescent="0.35">
      <c r="X4490" s="8"/>
    </row>
    <row r="4491" spans="24:24" x14ac:dyDescent="0.35">
      <c r="X4491" s="8"/>
    </row>
    <row r="4492" spans="24:24" x14ac:dyDescent="0.35">
      <c r="X4492" s="8"/>
    </row>
    <row r="4493" spans="24:24" x14ac:dyDescent="0.35">
      <c r="X4493" s="8"/>
    </row>
    <row r="4494" spans="24:24" x14ac:dyDescent="0.35">
      <c r="X4494" s="8"/>
    </row>
    <row r="4495" spans="24:24" x14ac:dyDescent="0.35">
      <c r="X4495" s="8"/>
    </row>
    <row r="4496" spans="24:24" x14ac:dyDescent="0.35">
      <c r="X4496" s="8"/>
    </row>
    <row r="4497" spans="24:24" x14ac:dyDescent="0.35">
      <c r="X4497" s="8"/>
    </row>
    <row r="4498" spans="24:24" x14ac:dyDescent="0.35">
      <c r="X4498" s="8"/>
    </row>
    <row r="4499" spans="24:24" x14ac:dyDescent="0.35">
      <c r="X4499" s="8"/>
    </row>
    <row r="4500" spans="24:24" x14ac:dyDescent="0.35">
      <c r="X4500" s="8"/>
    </row>
    <row r="4501" spans="24:24" x14ac:dyDescent="0.35">
      <c r="X4501" s="8"/>
    </row>
    <row r="4502" spans="24:24" x14ac:dyDescent="0.35">
      <c r="X4502" s="8"/>
    </row>
    <row r="4503" spans="24:24" x14ac:dyDescent="0.35">
      <c r="X4503" s="8"/>
    </row>
    <row r="4504" spans="24:24" x14ac:dyDescent="0.35">
      <c r="X4504" s="8"/>
    </row>
    <row r="4505" spans="24:24" x14ac:dyDescent="0.35">
      <c r="X4505" s="8"/>
    </row>
    <row r="4506" spans="24:24" x14ac:dyDescent="0.35">
      <c r="X4506" s="8"/>
    </row>
    <row r="4507" spans="24:24" x14ac:dyDescent="0.35">
      <c r="X4507" s="8"/>
    </row>
    <row r="4508" spans="24:24" x14ac:dyDescent="0.35">
      <c r="X4508" s="8"/>
    </row>
    <row r="4509" spans="24:24" x14ac:dyDescent="0.35">
      <c r="X4509" s="8"/>
    </row>
    <row r="4510" spans="24:24" x14ac:dyDescent="0.35">
      <c r="X4510" s="8"/>
    </row>
    <row r="4511" spans="24:24" x14ac:dyDescent="0.35">
      <c r="X4511" s="8"/>
    </row>
    <row r="4512" spans="24:24" x14ac:dyDescent="0.35">
      <c r="X4512" s="8"/>
    </row>
    <row r="4513" spans="24:24" x14ac:dyDescent="0.35">
      <c r="X4513" s="8"/>
    </row>
    <row r="4514" spans="24:24" x14ac:dyDescent="0.35">
      <c r="X4514" s="8"/>
    </row>
    <row r="4515" spans="24:24" x14ac:dyDescent="0.35">
      <c r="X4515" s="8"/>
    </row>
    <row r="4516" spans="24:24" x14ac:dyDescent="0.35">
      <c r="X4516" s="8"/>
    </row>
    <row r="4517" spans="24:24" x14ac:dyDescent="0.35">
      <c r="X4517" s="8"/>
    </row>
    <row r="4518" spans="24:24" x14ac:dyDescent="0.35">
      <c r="X4518" s="8"/>
    </row>
    <row r="4519" spans="24:24" x14ac:dyDescent="0.35">
      <c r="X4519" s="8"/>
    </row>
    <row r="4520" spans="24:24" x14ac:dyDescent="0.35">
      <c r="X4520" s="8"/>
    </row>
    <row r="4521" spans="24:24" x14ac:dyDescent="0.35">
      <c r="X4521" s="8"/>
    </row>
    <row r="4522" spans="24:24" x14ac:dyDescent="0.35">
      <c r="X4522" s="8"/>
    </row>
    <row r="4523" spans="24:24" x14ac:dyDescent="0.35">
      <c r="X4523" s="8"/>
    </row>
    <row r="4524" spans="24:24" x14ac:dyDescent="0.35">
      <c r="X4524" s="8"/>
    </row>
    <row r="4525" spans="24:24" x14ac:dyDescent="0.35">
      <c r="X4525" s="8"/>
    </row>
    <row r="4526" spans="24:24" x14ac:dyDescent="0.35">
      <c r="X4526" s="8"/>
    </row>
    <row r="4527" spans="24:24" x14ac:dyDescent="0.35">
      <c r="X4527" s="8"/>
    </row>
    <row r="4528" spans="24:24" x14ac:dyDescent="0.35">
      <c r="X4528" s="8"/>
    </row>
    <row r="4529" spans="24:24" x14ac:dyDescent="0.35">
      <c r="X4529" s="8"/>
    </row>
    <row r="4530" spans="24:24" x14ac:dyDescent="0.35">
      <c r="X4530" s="8"/>
    </row>
    <row r="4531" spans="24:24" x14ac:dyDescent="0.35">
      <c r="X4531" s="8"/>
    </row>
    <row r="4532" spans="24:24" x14ac:dyDescent="0.35">
      <c r="X4532" s="8"/>
    </row>
    <row r="4533" spans="24:24" x14ac:dyDescent="0.35">
      <c r="X4533" s="8"/>
    </row>
    <row r="4534" spans="24:24" x14ac:dyDescent="0.35">
      <c r="X4534" s="8"/>
    </row>
    <row r="4535" spans="24:24" x14ac:dyDescent="0.35">
      <c r="X4535" s="8"/>
    </row>
    <row r="4536" spans="24:24" x14ac:dyDescent="0.35">
      <c r="X4536" s="8"/>
    </row>
    <row r="4537" spans="24:24" x14ac:dyDescent="0.35">
      <c r="X4537" s="8"/>
    </row>
    <row r="4538" spans="24:24" x14ac:dyDescent="0.35">
      <c r="X4538" s="8"/>
    </row>
    <row r="4539" spans="24:24" x14ac:dyDescent="0.35">
      <c r="X4539" s="8"/>
    </row>
    <row r="4540" spans="24:24" x14ac:dyDescent="0.35">
      <c r="X4540" s="8"/>
    </row>
    <row r="4541" spans="24:24" x14ac:dyDescent="0.35">
      <c r="X4541" s="8"/>
    </row>
    <row r="4542" spans="24:24" x14ac:dyDescent="0.35">
      <c r="X4542" s="8"/>
    </row>
    <row r="4543" spans="24:24" x14ac:dyDescent="0.35">
      <c r="X4543" s="8"/>
    </row>
    <row r="4544" spans="24:24" x14ac:dyDescent="0.35">
      <c r="X4544" s="8"/>
    </row>
    <row r="4545" spans="24:24" x14ac:dyDescent="0.35">
      <c r="X4545" s="8"/>
    </row>
    <row r="4546" spans="24:24" x14ac:dyDescent="0.35">
      <c r="X4546" s="8"/>
    </row>
    <row r="4547" spans="24:24" x14ac:dyDescent="0.35">
      <c r="X4547" s="8"/>
    </row>
    <row r="4548" spans="24:24" x14ac:dyDescent="0.35">
      <c r="X4548" s="8"/>
    </row>
    <row r="4549" spans="24:24" x14ac:dyDescent="0.35">
      <c r="X4549" s="8"/>
    </row>
    <row r="4550" spans="24:24" x14ac:dyDescent="0.35">
      <c r="X4550" s="8"/>
    </row>
    <row r="4551" spans="24:24" x14ac:dyDescent="0.35">
      <c r="X4551" s="8"/>
    </row>
    <row r="4552" spans="24:24" x14ac:dyDescent="0.35">
      <c r="X4552" s="8"/>
    </row>
    <row r="4553" spans="24:24" x14ac:dyDescent="0.35">
      <c r="X4553" s="8"/>
    </row>
    <row r="4554" spans="24:24" x14ac:dyDescent="0.35">
      <c r="X4554" s="8"/>
    </row>
    <row r="4555" spans="24:24" x14ac:dyDescent="0.35">
      <c r="X4555" s="8"/>
    </row>
    <row r="4556" spans="24:24" x14ac:dyDescent="0.35">
      <c r="X4556" s="8"/>
    </row>
    <row r="4557" spans="24:24" x14ac:dyDescent="0.35">
      <c r="X4557" s="8"/>
    </row>
    <row r="4558" spans="24:24" x14ac:dyDescent="0.35">
      <c r="X4558" s="8"/>
    </row>
    <row r="4559" spans="24:24" x14ac:dyDescent="0.35">
      <c r="X4559" s="8"/>
    </row>
    <row r="4560" spans="24:24" x14ac:dyDescent="0.35">
      <c r="X4560" s="8"/>
    </row>
    <row r="4561" spans="24:24" x14ac:dyDescent="0.35">
      <c r="X4561" s="8"/>
    </row>
    <row r="4562" spans="24:24" x14ac:dyDescent="0.35">
      <c r="X4562" s="8"/>
    </row>
    <row r="4563" spans="24:24" x14ac:dyDescent="0.35">
      <c r="X4563" s="8"/>
    </row>
    <row r="4564" spans="24:24" x14ac:dyDescent="0.35">
      <c r="X4564" s="8"/>
    </row>
    <row r="4565" spans="24:24" x14ac:dyDescent="0.35">
      <c r="X4565" s="8"/>
    </row>
    <row r="4566" spans="24:24" x14ac:dyDescent="0.35">
      <c r="X4566" s="8"/>
    </row>
    <row r="4567" spans="24:24" x14ac:dyDescent="0.35">
      <c r="X4567" s="8"/>
    </row>
    <row r="4568" spans="24:24" x14ac:dyDescent="0.35">
      <c r="X4568" s="8"/>
    </row>
    <row r="4569" spans="24:24" x14ac:dyDescent="0.35">
      <c r="X4569" s="8"/>
    </row>
    <row r="4570" spans="24:24" x14ac:dyDescent="0.35">
      <c r="X4570" s="8"/>
    </row>
    <row r="4571" spans="24:24" x14ac:dyDescent="0.35">
      <c r="X4571" s="8"/>
    </row>
    <row r="4572" spans="24:24" x14ac:dyDescent="0.35">
      <c r="X4572" s="8"/>
    </row>
    <row r="4573" spans="24:24" x14ac:dyDescent="0.35">
      <c r="X4573" s="8"/>
    </row>
    <row r="4574" spans="24:24" x14ac:dyDescent="0.35">
      <c r="X4574" s="8"/>
    </row>
    <row r="4575" spans="24:24" x14ac:dyDescent="0.35">
      <c r="X4575" s="8"/>
    </row>
    <row r="4576" spans="24:24" x14ac:dyDescent="0.35">
      <c r="X4576" s="8"/>
    </row>
    <row r="4577" spans="24:24" x14ac:dyDescent="0.35">
      <c r="X4577" s="8"/>
    </row>
    <row r="4578" spans="24:24" x14ac:dyDescent="0.35">
      <c r="X4578" s="8"/>
    </row>
    <row r="4579" spans="24:24" x14ac:dyDescent="0.35">
      <c r="X4579" s="8"/>
    </row>
    <row r="4580" spans="24:24" x14ac:dyDescent="0.35">
      <c r="X4580" s="8"/>
    </row>
    <row r="4581" spans="24:24" x14ac:dyDescent="0.35">
      <c r="X4581" s="8"/>
    </row>
    <row r="4582" spans="24:24" x14ac:dyDescent="0.35">
      <c r="X4582" s="8"/>
    </row>
    <row r="4583" spans="24:24" x14ac:dyDescent="0.35">
      <c r="X4583" s="8"/>
    </row>
    <row r="4584" spans="24:24" x14ac:dyDescent="0.35">
      <c r="X4584" s="8"/>
    </row>
    <row r="4585" spans="24:24" x14ac:dyDescent="0.35">
      <c r="X4585" s="8"/>
    </row>
    <row r="4586" spans="24:24" x14ac:dyDescent="0.35">
      <c r="X4586" s="8"/>
    </row>
    <row r="4587" spans="24:24" x14ac:dyDescent="0.35">
      <c r="X4587" s="8"/>
    </row>
    <row r="4588" spans="24:24" x14ac:dyDescent="0.35">
      <c r="X4588" s="8"/>
    </row>
    <row r="4589" spans="24:24" x14ac:dyDescent="0.35">
      <c r="X4589" s="8"/>
    </row>
    <row r="4590" spans="24:24" x14ac:dyDescent="0.35">
      <c r="X4590" s="8"/>
    </row>
    <row r="4591" spans="24:24" x14ac:dyDescent="0.35">
      <c r="X4591" s="8"/>
    </row>
    <row r="4592" spans="24:24" x14ac:dyDescent="0.35">
      <c r="X4592" s="8"/>
    </row>
    <row r="4593" spans="24:24" x14ac:dyDescent="0.35">
      <c r="X4593" s="8"/>
    </row>
    <row r="4594" spans="24:24" x14ac:dyDescent="0.35">
      <c r="X4594" s="8"/>
    </row>
    <row r="4595" spans="24:24" x14ac:dyDescent="0.35">
      <c r="X4595" s="8"/>
    </row>
    <row r="4596" spans="24:24" x14ac:dyDescent="0.35">
      <c r="X4596" s="8"/>
    </row>
    <row r="4597" spans="24:24" x14ac:dyDescent="0.35">
      <c r="X4597" s="8"/>
    </row>
    <row r="4598" spans="24:24" x14ac:dyDescent="0.35">
      <c r="X4598" s="8"/>
    </row>
    <row r="4599" spans="24:24" x14ac:dyDescent="0.35">
      <c r="X4599" s="8"/>
    </row>
    <row r="4600" spans="24:24" x14ac:dyDescent="0.35">
      <c r="X4600" s="8"/>
    </row>
    <row r="4601" spans="24:24" x14ac:dyDescent="0.35">
      <c r="X4601" s="8"/>
    </row>
    <row r="4602" spans="24:24" x14ac:dyDescent="0.35">
      <c r="X4602" s="8"/>
    </row>
    <row r="4603" spans="24:24" x14ac:dyDescent="0.35">
      <c r="X4603" s="8"/>
    </row>
    <row r="4604" spans="24:24" x14ac:dyDescent="0.35">
      <c r="X4604" s="8"/>
    </row>
    <row r="4605" spans="24:24" x14ac:dyDescent="0.35">
      <c r="X4605" s="8"/>
    </row>
    <row r="4606" spans="24:24" x14ac:dyDescent="0.35">
      <c r="X4606" s="8"/>
    </row>
    <row r="4607" spans="24:24" x14ac:dyDescent="0.35">
      <c r="X4607" s="8"/>
    </row>
    <row r="4608" spans="24:24" x14ac:dyDescent="0.35">
      <c r="X4608" s="8"/>
    </row>
    <row r="4609" spans="24:24" x14ac:dyDescent="0.35">
      <c r="X4609" s="8"/>
    </row>
    <row r="4610" spans="24:24" x14ac:dyDescent="0.35">
      <c r="X4610" s="8"/>
    </row>
    <row r="4611" spans="24:24" x14ac:dyDescent="0.35">
      <c r="X4611" s="8"/>
    </row>
    <row r="4612" spans="24:24" x14ac:dyDescent="0.35">
      <c r="X4612" s="8"/>
    </row>
    <row r="4613" spans="24:24" x14ac:dyDescent="0.35">
      <c r="X4613" s="8"/>
    </row>
    <row r="4614" spans="24:24" x14ac:dyDescent="0.35">
      <c r="X4614" s="8"/>
    </row>
    <row r="4615" spans="24:24" x14ac:dyDescent="0.35">
      <c r="X4615" s="8"/>
    </row>
    <row r="4616" spans="24:24" x14ac:dyDescent="0.35">
      <c r="X4616" s="8"/>
    </row>
    <row r="4617" spans="24:24" x14ac:dyDescent="0.35">
      <c r="X4617" s="8"/>
    </row>
    <row r="4618" spans="24:24" x14ac:dyDescent="0.35">
      <c r="X4618" s="8"/>
    </row>
    <row r="4619" spans="24:24" x14ac:dyDescent="0.35">
      <c r="X4619" s="8"/>
    </row>
    <row r="4620" spans="24:24" x14ac:dyDescent="0.35">
      <c r="X4620" s="8"/>
    </row>
    <row r="4621" spans="24:24" x14ac:dyDescent="0.35">
      <c r="X4621" s="8"/>
    </row>
    <row r="4622" spans="24:24" x14ac:dyDescent="0.35">
      <c r="X4622" s="8"/>
    </row>
    <row r="4623" spans="24:24" x14ac:dyDescent="0.35">
      <c r="X4623" s="8"/>
    </row>
    <row r="4624" spans="24:24" x14ac:dyDescent="0.35">
      <c r="X4624" s="8"/>
    </row>
    <row r="4625" spans="24:24" x14ac:dyDescent="0.35">
      <c r="X4625" s="8"/>
    </row>
    <row r="4626" spans="24:24" x14ac:dyDescent="0.35">
      <c r="X4626" s="8"/>
    </row>
    <row r="4627" spans="24:24" x14ac:dyDescent="0.35">
      <c r="X4627" s="8"/>
    </row>
    <row r="4628" spans="24:24" x14ac:dyDescent="0.35">
      <c r="X4628" s="8"/>
    </row>
    <row r="4629" spans="24:24" x14ac:dyDescent="0.35">
      <c r="X4629" s="8"/>
    </row>
    <row r="4630" spans="24:24" x14ac:dyDescent="0.35">
      <c r="X4630" s="8"/>
    </row>
    <row r="4631" spans="24:24" x14ac:dyDescent="0.35">
      <c r="X4631" s="8"/>
    </row>
    <row r="4632" spans="24:24" x14ac:dyDescent="0.35">
      <c r="X4632" s="8"/>
    </row>
    <row r="4633" spans="24:24" x14ac:dyDescent="0.35">
      <c r="X4633" s="8"/>
    </row>
    <row r="4634" spans="24:24" x14ac:dyDescent="0.35">
      <c r="X4634" s="8"/>
    </row>
    <row r="4635" spans="24:24" x14ac:dyDescent="0.35">
      <c r="X4635" s="8"/>
    </row>
    <row r="4636" spans="24:24" x14ac:dyDescent="0.35">
      <c r="X4636" s="8"/>
    </row>
    <row r="4637" spans="24:24" x14ac:dyDescent="0.35">
      <c r="X4637" s="8"/>
    </row>
    <row r="4638" spans="24:24" x14ac:dyDescent="0.35">
      <c r="X4638" s="8"/>
    </row>
    <row r="4639" spans="24:24" x14ac:dyDescent="0.35">
      <c r="X4639" s="8"/>
    </row>
    <row r="4640" spans="24:24" x14ac:dyDescent="0.35">
      <c r="X4640" s="8"/>
    </row>
    <row r="4641" spans="24:24" x14ac:dyDescent="0.35">
      <c r="X4641" s="8"/>
    </row>
    <row r="4642" spans="24:24" x14ac:dyDescent="0.35">
      <c r="X4642" s="8"/>
    </row>
    <row r="4643" spans="24:24" x14ac:dyDescent="0.35">
      <c r="X4643" s="8"/>
    </row>
    <row r="4644" spans="24:24" x14ac:dyDescent="0.35">
      <c r="X4644" s="8"/>
    </row>
    <row r="4645" spans="24:24" x14ac:dyDescent="0.35">
      <c r="X4645" s="8"/>
    </row>
    <row r="4646" spans="24:24" x14ac:dyDescent="0.35">
      <c r="X4646" s="8"/>
    </row>
    <row r="4647" spans="24:24" x14ac:dyDescent="0.35">
      <c r="X4647" s="8"/>
    </row>
    <row r="4648" spans="24:24" x14ac:dyDescent="0.35">
      <c r="X4648" s="8"/>
    </row>
    <row r="4649" spans="24:24" x14ac:dyDescent="0.35">
      <c r="X4649" s="8"/>
    </row>
    <row r="4650" spans="24:24" x14ac:dyDescent="0.35">
      <c r="X4650" s="8"/>
    </row>
    <row r="4651" spans="24:24" x14ac:dyDescent="0.35">
      <c r="X4651" s="8"/>
    </row>
    <row r="4652" spans="24:24" x14ac:dyDescent="0.35">
      <c r="X4652" s="8"/>
    </row>
    <row r="4653" spans="24:24" x14ac:dyDescent="0.35">
      <c r="X4653" s="8"/>
    </row>
    <row r="4654" spans="24:24" x14ac:dyDescent="0.35">
      <c r="X4654" s="8"/>
    </row>
    <row r="4655" spans="24:24" x14ac:dyDescent="0.35">
      <c r="X4655" s="8"/>
    </row>
    <row r="4656" spans="24:24" x14ac:dyDescent="0.35">
      <c r="X4656" s="8"/>
    </row>
    <row r="4657" spans="24:24" x14ac:dyDescent="0.35">
      <c r="X4657" s="8"/>
    </row>
    <row r="4658" spans="24:24" x14ac:dyDescent="0.35">
      <c r="X4658" s="8"/>
    </row>
    <row r="4659" spans="24:24" x14ac:dyDescent="0.35">
      <c r="X4659" s="8"/>
    </row>
    <row r="4660" spans="24:24" x14ac:dyDescent="0.35">
      <c r="X4660" s="8"/>
    </row>
    <row r="4661" spans="24:24" x14ac:dyDescent="0.35">
      <c r="X4661" s="8"/>
    </row>
    <row r="4662" spans="24:24" x14ac:dyDescent="0.35">
      <c r="X4662" s="8"/>
    </row>
    <row r="4663" spans="24:24" x14ac:dyDescent="0.35">
      <c r="X4663" s="8"/>
    </row>
    <row r="4664" spans="24:24" x14ac:dyDescent="0.35">
      <c r="X4664" s="8"/>
    </row>
    <row r="4665" spans="24:24" x14ac:dyDescent="0.35">
      <c r="X4665" s="8"/>
    </row>
    <row r="4666" spans="24:24" x14ac:dyDescent="0.35">
      <c r="X4666" s="8"/>
    </row>
    <row r="4667" spans="24:24" x14ac:dyDescent="0.35">
      <c r="X4667" s="8"/>
    </row>
    <row r="4668" spans="24:24" x14ac:dyDescent="0.35">
      <c r="X4668" s="8"/>
    </row>
    <row r="4669" spans="24:24" x14ac:dyDescent="0.35">
      <c r="X4669" s="8"/>
    </row>
    <row r="4670" spans="24:24" x14ac:dyDescent="0.35">
      <c r="X4670" s="8"/>
    </row>
    <row r="4671" spans="24:24" x14ac:dyDescent="0.35">
      <c r="X4671" s="8"/>
    </row>
    <row r="4672" spans="24:24" x14ac:dyDescent="0.35">
      <c r="X4672" s="8"/>
    </row>
    <row r="4673" spans="24:24" x14ac:dyDescent="0.35">
      <c r="X4673" s="8"/>
    </row>
    <row r="4674" spans="24:24" x14ac:dyDescent="0.35">
      <c r="X4674" s="8"/>
    </row>
    <row r="4675" spans="24:24" x14ac:dyDescent="0.35">
      <c r="X4675" s="8"/>
    </row>
    <row r="4676" spans="24:24" x14ac:dyDescent="0.35">
      <c r="X4676" s="8"/>
    </row>
    <row r="4677" spans="24:24" x14ac:dyDescent="0.35">
      <c r="X4677" s="8"/>
    </row>
    <row r="4678" spans="24:24" x14ac:dyDescent="0.35">
      <c r="X4678" s="8"/>
    </row>
    <row r="4679" spans="24:24" x14ac:dyDescent="0.35">
      <c r="X4679" s="8"/>
    </row>
    <row r="4680" spans="24:24" x14ac:dyDescent="0.35">
      <c r="X4680" s="8"/>
    </row>
    <row r="4681" spans="24:24" x14ac:dyDescent="0.35">
      <c r="X4681" s="8"/>
    </row>
    <row r="4682" spans="24:24" x14ac:dyDescent="0.35">
      <c r="X4682" s="8"/>
    </row>
    <row r="4683" spans="24:24" x14ac:dyDescent="0.35">
      <c r="X4683" s="8"/>
    </row>
    <row r="4684" spans="24:24" x14ac:dyDescent="0.35">
      <c r="X4684" s="8"/>
    </row>
    <row r="4685" spans="24:24" x14ac:dyDescent="0.35">
      <c r="X4685" s="8"/>
    </row>
    <row r="4686" spans="24:24" x14ac:dyDescent="0.35">
      <c r="X4686" s="8"/>
    </row>
    <row r="4687" spans="24:24" x14ac:dyDescent="0.35">
      <c r="X4687" s="8"/>
    </row>
    <row r="4688" spans="24:24" x14ac:dyDescent="0.35">
      <c r="X4688" s="8"/>
    </row>
    <row r="4689" spans="24:24" x14ac:dyDescent="0.35">
      <c r="X4689" s="8"/>
    </row>
    <row r="4690" spans="24:24" x14ac:dyDescent="0.35">
      <c r="X4690" s="8"/>
    </row>
    <row r="4691" spans="24:24" x14ac:dyDescent="0.35">
      <c r="X4691" s="8"/>
    </row>
    <row r="4692" spans="24:24" x14ac:dyDescent="0.35">
      <c r="X4692" s="8"/>
    </row>
    <row r="4693" spans="24:24" x14ac:dyDescent="0.35">
      <c r="X4693" s="8"/>
    </row>
    <row r="4694" spans="24:24" x14ac:dyDescent="0.35">
      <c r="X4694" s="8"/>
    </row>
    <row r="4695" spans="24:24" x14ac:dyDescent="0.35">
      <c r="X4695" s="8"/>
    </row>
    <row r="4696" spans="24:24" x14ac:dyDescent="0.35">
      <c r="X4696" s="8"/>
    </row>
    <row r="4697" spans="24:24" x14ac:dyDescent="0.35">
      <c r="X4697" s="8"/>
    </row>
    <row r="4698" spans="24:24" x14ac:dyDescent="0.35">
      <c r="X4698" s="8"/>
    </row>
    <row r="4699" spans="24:24" x14ac:dyDescent="0.35">
      <c r="X4699" s="8"/>
    </row>
    <row r="4700" spans="24:24" x14ac:dyDescent="0.35">
      <c r="X4700" s="8"/>
    </row>
    <row r="4701" spans="24:24" x14ac:dyDescent="0.35">
      <c r="X4701" s="8"/>
    </row>
    <row r="4702" spans="24:24" x14ac:dyDescent="0.35">
      <c r="X4702" s="8"/>
    </row>
    <row r="4703" spans="24:24" x14ac:dyDescent="0.35">
      <c r="X4703" s="8"/>
    </row>
    <row r="4704" spans="24:24" x14ac:dyDescent="0.35">
      <c r="X4704" s="8"/>
    </row>
    <row r="4705" spans="24:24" x14ac:dyDescent="0.35">
      <c r="X4705" s="8"/>
    </row>
    <row r="4706" spans="24:24" x14ac:dyDescent="0.35">
      <c r="X4706" s="8"/>
    </row>
    <row r="4707" spans="24:24" x14ac:dyDescent="0.35">
      <c r="X4707" s="8"/>
    </row>
    <row r="4708" spans="24:24" x14ac:dyDescent="0.35">
      <c r="X4708" s="8"/>
    </row>
    <row r="4709" spans="24:24" x14ac:dyDescent="0.35">
      <c r="X4709" s="8"/>
    </row>
    <row r="4710" spans="24:24" x14ac:dyDescent="0.35">
      <c r="X4710" s="8"/>
    </row>
    <row r="4711" spans="24:24" x14ac:dyDescent="0.35">
      <c r="X4711" s="8"/>
    </row>
    <row r="4712" spans="24:24" x14ac:dyDescent="0.35">
      <c r="X4712" s="8"/>
    </row>
    <row r="4713" spans="24:24" x14ac:dyDescent="0.35">
      <c r="X4713" s="8"/>
    </row>
    <row r="4714" spans="24:24" x14ac:dyDescent="0.35">
      <c r="X4714" s="8"/>
    </row>
    <row r="4715" spans="24:24" x14ac:dyDescent="0.35">
      <c r="X4715" s="8"/>
    </row>
    <row r="4716" spans="24:24" x14ac:dyDescent="0.35">
      <c r="X4716" s="8"/>
    </row>
    <row r="4717" spans="24:24" x14ac:dyDescent="0.35">
      <c r="X4717" s="8"/>
    </row>
    <row r="4718" spans="24:24" x14ac:dyDescent="0.35">
      <c r="X4718" s="8"/>
    </row>
    <row r="4719" spans="24:24" x14ac:dyDescent="0.35">
      <c r="X4719" s="8"/>
    </row>
    <row r="4720" spans="24:24" x14ac:dyDescent="0.35">
      <c r="X4720" s="8"/>
    </row>
    <row r="4721" spans="24:24" x14ac:dyDescent="0.35">
      <c r="X4721" s="8"/>
    </row>
    <row r="4722" spans="24:24" x14ac:dyDescent="0.35">
      <c r="X4722" s="8"/>
    </row>
    <row r="4723" spans="24:24" x14ac:dyDescent="0.35">
      <c r="X4723" s="8"/>
    </row>
    <row r="4724" spans="24:24" x14ac:dyDescent="0.35">
      <c r="X4724" s="8"/>
    </row>
    <row r="4725" spans="24:24" x14ac:dyDescent="0.35">
      <c r="X4725" s="8"/>
    </row>
    <row r="4726" spans="24:24" x14ac:dyDescent="0.35">
      <c r="X4726" s="8"/>
    </row>
    <row r="4727" spans="24:24" x14ac:dyDescent="0.35">
      <c r="X4727" s="8"/>
    </row>
    <row r="4728" spans="24:24" x14ac:dyDescent="0.35">
      <c r="X4728" s="8"/>
    </row>
    <row r="4729" spans="24:24" x14ac:dyDescent="0.35">
      <c r="X4729" s="8"/>
    </row>
    <row r="4730" spans="24:24" x14ac:dyDescent="0.35">
      <c r="X4730" s="8"/>
    </row>
    <row r="4731" spans="24:24" x14ac:dyDescent="0.35">
      <c r="X4731" s="8"/>
    </row>
    <row r="4732" spans="24:24" x14ac:dyDescent="0.35">
      <c r="X4732" s="8"/>
    </row>
    <row r="4733" spans="24:24" x14ac:dyDescent="0.35">
      <c r="X4733" s="8"/>
    </row>
    <row r="4734" spans="24:24" x14ac:dyDescent="0.35">
      <c r="X4734" s="8"/>
    </row>
    <row r="4735" spans="24:24" x14ac:dyDescent="0.35">
      <c r="X4735" s="8"/>
    </row>
    <row r="4736" spans="24:24" x14ac:dyDescent="0.35">
      <c r="X4736" s="8"/>
    </row>
    <row r="4737" spans="24:24" x14ac:dyDescent="0.35">
      <c r="X4737" s="8"/>
    </row>
    <row r="4738" spans="24:24" x14ac:dyDescent="0.35">
      <c r="X4738" s="8"/>
    </row>
    <row r="4739" spans="24:24" x14ac:dyDescent="0.35">
      <c r="X4739" s="8"/>
    </row>
    <row r="4740" spans="24:24" x14ac:dyDescent="0.35">
      <c r="X4740" s="8"/>
    </row>
    <row r="4741" spans="24:24" x14ac:dyDescent="0.35">
      <c r="X4741" s="8"/>
    </row>
    <row r="4742" spans="24:24" x14ac:dyDescent="0.35">
      <c r="X4742" s="8"/>
    </row>
    <row r="4743" spans="24:24" x14ac:dyDescent="0.35">
      <c r="X4743" s="8"/>
    </row>
    <row r="4744" spans="24:24" x14ac:dyDescent="0.35">
      <c r="X4744" s="8"/>
    </row>
    <row r="4745" spans="24:24" x14ac:dyDescent="0.35">
      <c r="X4745" s="8"/>
    </row>
    <row r="4746" spans="24:24" x14ac:dyDescent="0.35">
      <c r="X4746" s="8"/>
    </row>
    <row r="4747" spans="24:24" x14ac:dyDescent="0.35">
      <c r="X4747" s="8"/>
    </row>
    <row r="4748" spans="24:24" x14ac:dyDescent="0.35">
      <c r="X4748" s="8"/>
    </row>
    <row r="4749" spans="24:24" x14ac:dyDescent="0.35">
      <c r="X4749" s="8"/>
    </row>
    <row r="4750" spans="24:24" x14ac:dyDescent="0.35">
      <c r="X4750" s="8"/>
    </row>
    <row r="4751" spans="24:24" x14ac:dyDescent="0.35">
      <c r="X4751" s="8"/>
    </row>
    <row r="4752" spans="24:24" x14ac:dyDescent="0.35">
      <c r="X4752" s="8"/>
    </row>
    <row r="4753" spans="24:24" x14ac:dyDescent="0.35">
      <c r="X4753" s="8"/>
    </row>
    <row r="4754" spans="24:24" x14ac:dyDescent="0.35">
      <c r="X4754" s="8"/>
    </row>
    <row r="4755" spans="24:24" x14ac:dyDescent="0.35">
      <c r="X4755" s="8"/>
    </row>
    <row r="4756" spans="24:24" x14ac:dyDescent="0.35">
      <c r="X4756" s="8"/>
    </row>
    <row r="4757" spans="24:24" x14ac:dyDescent="0.35">
      <c r="X4757" s="8"/>
    </row>
    <row r="4758" spans="24:24" x14ac:dyDescent="0.35">
      <c r="X4758" s="8"/>
    </row>
    <row r="4759" spans="24:24" x14ac:dyDescent="0.35">
      <c r="X4759" s="8"/>
    </row>
    <row r="4760" spans="24:24" x14ac:dyDescent="0.35">
      <c r="X4760" s="8"/>
    </row>
    <row r="4761" spans="24:24" x14ac:dyDescent="0.35">
      <c r="X4761" s="8"/>
    </row>
    <row r="4762" spans="24:24" x14ac:dyDescent="0.35">
      <c r="X4762" s="8"/>
    </row>
    <row r="4763" spans="24:24" x14ac:dyDescent="0.35">
      <c r="X4763" s="8"/>
    </row>
    <row r="4764" spans="24:24" x14ac:dyDescent="0.35">
      <c r="X4764" s="8"/>
    </row>
    <row r="4765" spans="24:24" x14ac:dyDescent="0.35">
      <c r="X4765" s="8"/>
    </row>
    <row r="4766" spans="24:24" x14ac:dyDescent="0.35">
      <c r="X4766" s="8"/>
    </row>
    <row r="4767" spans="24:24" x14ac:dyDescent="0.35">
      <c r="X4767" s="8"/>
    </row>
    <row r="4768" spans="24:24" x14ac:dyDescent="0.35">
      <c r="X4768" s="8"/>
    </row>
    <row r="4769" spans="24:24" x14ac:dyDescent="0.35">
      <c r="X4769" s="8"/>
    </row>
    <row r="4770" spans="24:24" x14ac:dyDescent="0.35">
      <c r="X4770" s="8"/>
    </row>
    <row r="4771" spans="24:24" x14ac:dyDescent="0.35">
      <c r="X4771" s="8"/>
    </row>
    <row r="4772" spans="24:24" x14ac:dyDescent="0.35">
      <c r="X4772" s="8"/>
    </row>
    <row r="4773" spans="24:24" x14ac:dyDescent="0.35">
      <c r="X4773" s="8"/>
    </row>
    <row r="4774" spans="24:24" x14ac:dyDescent="0.35">
      <c r="X4774" s="8"/>
    </row>
    <row r="4775" spans="24:24" x14ac:dyDescent="0.35">
      <c r="X4775" s="8"/>
    </row>
    <row r="4776" spans="24:24" x14ac:dyDescent="0.35">
      <c r="X4776" s="8"/>
    </row>
    <row r="4777" spans="24:24" x14ac:dyDescent="0.35">
      <c r="X4777" s="8"/>
    </row>
    <row r="4778" spans="24:24" x14ac:dyDescent="0.35">
      <c r="X4778" s="8"/>
    </row>
    <row r="4779" spans="24:24" x14ac:dyDescent="0.35">
      <c r="X4779" s="8"/>
    </row>
    <row r="4780" spans="24:24" x14ac:dyDescent="0.35">
      <c r="X4780" s="8"/>
    </row>
    <row r="4781" spans="24:24" x14ac:dyDescent="0.35">
      <c r="X4781" s="8"/>
    </row>
    <row r="4782" spans="24:24" x14ac:dyDescent="0.35">
      <c r="X4782" s="8"/>
    </row>
    <row r="4783" spans="24:24" x14ac:dyDescent="0.35">
      <c r="X4783" s="8"/>
    </row>
    <row r="4784" spans="24:24" x14ac:dyDescent="0.35">
      <c r="X4784" s="8"/>
    </row>
    <row r="4785" spans="24:24" x14ac:dyDescent="0.35">
      <c r="X4785" s="8"/>
    </row>
    <row r="4786" spans="24:24" x14ac:dyDescent="0.35">
      <c r="X4786" s="8"/>
    </row>
    <row r="4787" spans="24:24" x14ac:dyDescent="0.35">
      <c r="X4787" s="8"/>
    </row>
    <row r="4788" spans="24:24" x14ac:dyDescent="0.35">
      <c r="X4788" s="8"/>
    </row>
    <row r="4789" spans="24:24" x14ac:dyDescent="0.35">
      <c r="X4789" s="8"/>
    </row>
    <row r="4790" spans="24:24" x14ac:dyDescent="0.35">
      <c r="X4790" s="8"/>
    </row>
    <row r="4791" spans="24:24" x14ac:dyDescent="0.35">
      <c r="X4791" s="8"/>
    </row>
    <row r="4792" spans="24:24" x14ac:dyDescent="0.35">
      <c r="X4792" s="8"/>
    </row>
    <row r="4793" spans="24:24" x14ac:dyDescent="0.35">
      <c r="X4793" s="8"/>
    </row>
    <row r="4794" spans="24:24" x14ac:dyDescent="0.35">
      <c r="X4794" s="8"/>
    </row>
    <row r="4795" spans="24:24" x14ac:dyDescent="0.35">
      <c r="X4795" s="8"/>
    </row>
    <row r="4796" spans="24:24" x14ac:dyDescent="0.35">
      <c r="X4796" s="8"/>
    </row>
    <row r="4797" spans="24:24" x14ac:dyDescent="0.35">
      <c r="X4797" s="8"/>
    </row>
    <row r="4798" spans="24:24" x14ac:dyDescent="0.35">
      <c r="X4798" s="8"/>
    </row>
    <row r="4799" spans="24:24" x14ac:dyDescent="0.35">
      <c r="X4799" s="8"/>
    </row>
    <row r="4800" spans="24:24" x14ac:dyDescent="0.35">
      <c r="X4800" s="8"/>
    </row>
    <row r="4801" spans="24:24" x14ac:dyDescent="0.35">
      <c r="X4801" s="8"/>
    </row>
    <row r="4802" spans="24:24" x14ac:dyDescent="0.35">
      <c r="X4802" s="8"/>
    </row>
    <row r="4803" spans="24:24" x14ac:dyDescent="0.35">
      <c r="X4803" s="8"/>
    </row>
    <row r="4804" spans="24:24" x14ac:dyDescent="0.35">
      <c r="X4804" s="8"/>
    </row>
    <row r="4805" spans="24:24" x14ac:dyDescent="0.35">
      <c r="X4805" s="8"/>
    </row>
    <row r="4806" spans="24:24" x14ac:dyDescent="0.35">
      <c r="X4806" s="8"/>
    </row>
    <row r="4807" spans="24:24" x14ac:dyDescent="0.35">
      <c r="X4807" s="8"/>
    </row>
    <row r="4808" spans="24:24" x14ac:dyDescent="0.35">
      <c r="X4808" s="8"/>
    </row>
    <row r="4809" spans="24:24" x14ac:dyDescent="0.35">
      <c r="X4809" s="8"/>
    </row>
    <row r="4810" spans="24:24" x14ac:dyDescent="0.35">
      <c r="X4810" s="8"/>
    </row>
    <row r="4811" spans="24:24" x14ac:dyDescent="0.35">
      <c r="X4811" s="8"/>
    </row>
    <row r="4812" spans="24:24" x14ac:dyDescent="0.35">
      <c r="X4812" s="8"/>
    </row>
    <row r="4813" spans="24:24" x14ac:dyDescent="0.35">
      <c r="X4813" s="8"/>
    </row>
    <row r="4814" spans="24:24" x14ac:dyDescent="0.35">
      <c r="X4814" s="8"/>
    </row>
    <row r="4815" spans="24:24" x14ac:dyDescent="0.35">
      <c r="X4815" s="8"/>
    </row>
    <row r="4816" spans="24:24" x14ac:dyDescent="0.35">
      <c r="X4816" s="8"/>
    </row>
    <row r="4817" spans="24:24" x14ac:dyDescent="0.35">
      <c r="X4817" s="8"/>
    </row>
    <row r="4818" spans="24:24" x14ac:dyDescent="0.35">
      <c r="X4818" s="8"/>
    </row>
    <row r="4819" spans="24:24" x14ac:dyDescent="0.35">
      <c r="X4819" s="8"/>
    </row>
    <row r="4820" spans="24:24" x14ac:dyDescent="0.35">
      <c r="X4820" s="8"/>
    </row>
    <row r="4821" spans="24:24" x14ac:dyDescent="0.35">
      <c r="X4821" s="8"/>
    </row>
    <row r="4822" spans="24:24" x14ac:dyDescent="0.35">
      <c r="X4822" s="8"/>
    </row>
    <row r="4823" spans="24:24" x14ac:dyDescent="0.35">
      <c r="X4823" s="8"/>
    </row>
    <row r="4824" spans="24:24" x14ac:dyDescent="0.35">
      <c r="X4824" s="8"/>
    </row>
    <row r="4825" spans="24:24" x14ac:dyDescent="0.35">
      <c r="X4825" s="8"/>
    </row>
    <row r="4826" spans="24:24" x14ac:dyDescent="0.35">
      <c r="X4826" s="8"/>
    </row>
    <row r="4827" spans="24:24" x14ac:dyDescent="0.35">
      <c r="X4827" s="8"/>
    </row>
    <row r="4828" spans="24:24" x14ac:dyDescent="0.35">
      <c r="X4828" s="8"/>
    </row>
    <row r="4829" spans="24:24" x14ac:dyDescent="0.35">
      <c r="X4829" s="8"/>
    </row>
    <row r="4830" spans="24:24" x14ac:dyDescent="0.35">
      <c r="X4830" s="8"/>
    </row>
    <row r="4831" spans="24:24" x14ac:dyDescent="0.35">
      <c r="X4831" s="8"/>
    </row>
    <row r="4832" spans="24:24" x14ac:dyDescent="0.35">
      <c r="X4832" s="8"/>
    </row>
    <row r="4833" spans="24:24" x14ac:dyDescent="0.35">
      <c r="X4833" s="8"/>
    </row>
    <row r="4834" spans="24:24" x14ac:dyDescent="0.35">
      <c r="X4834" s="8"/>
    </row>
    <row r="4835" spans="24:24" x14ac:dyDescent="0.35">
      <c r="X4835" s="8"/>
    </row>
    <row r="4836" spans="24:24" x14ac:dyDescent="0.35">
      <c r="X4836" s="8"/>
    </row>
    <row r="4837" spans="24:24" x14ac:dyDescent="0.35">
      <c r="X4837" s="8"/>
    </row>
    <row r="4838" spans="24:24" x14ac:dyDescent="0.35">
      <c r="X4838" s="8"/>
    </row>
    <row r="4839" spans="24:24" x14ac:dyDescent="0.35">
      <c r="X4839" s="8"/>
    </row>
    <row r="4840" spans="24:24" x14ac:dyDescent="0.35">
      <c r="X4840" s="8"/>
    </row>
    <row r="4841" spans="24:24" x14ac:dyDescent="0.35">
      <c r="X4841" s="8"/>
    </row>
    <row r="4842" spans="24:24" x14ac:dyDescent="0.35">
      <c r="X4842" s="8"/>
    </row>
    <row r="4843" spans="24:24" x14ac:dyDescent="0.35">
      <c r="X4843" s="8"/>
    </row>
    <row r="4844" spans="24:24" x14ac:dyDescent="0.35">
      <c r="X4844" s="8"/>
    </row>
    <row r="4845" spans="24:24" x14ac:dyDescent="0.35">
      <c r="X4845" s="8"/>
    </row>
    <row r="4846" spans="24:24" x14ac:dyDescent="0.35">
      <c r="X4846" s="8"/>
    </row>
    <row r="4847" spans="24:24" x14ac:dyDescent="0.35">
      <c r="X4847" s="8"/>
    </row>
    <row r="4848" spans="24:24" x14ac:dyDescent="0.35">
      <c r="X4848" s="8"/>
    </row>
    <row r="4849" spans="24:24" x14ac:dyDescent="0.35">
      <c r="X4849" s="8"/>
    </row>
    <row r="4850" spans="24:24" x14ac:dyDescent="0.35">
      <c r="X4850" s="8"/>
    </row>
    <row r="4851" spans="24:24" x14ac:dyDescent="0.35">
      <c r="X4851" s="8"/>
    </row>
    <row r="4852" spans="24:24" x14ac:dyDescent="0.35">
      <c r="X4852" s="8"/>
    </row>
    <row r="4853" spans="24:24" x14ac:dyDescent="0.35">
      <c r="X4853" s="8"/>
    </row>
    <row r="4854" spans="24:24" x14ac:dyDescent="0.35">
      <c r="X4854" s="8"/>
    </row>
    <row r="4855" spans="24:24" x14ac:dyDescent="0.35">
      <c r="X4855" s="8"/>
    </row>
    <row r="4856" spans="24:24" x14ac:dyDescent="0.35">
      <c r="X4856" s="8"/>
    </row>
    <row r="4857" spans="24:24" x14ac:dyDescent="0.35">
      <c r="X4857" s="8"/>
    </row>
    <row r="4858" spans="24:24" x14ac:dyDescent="0.35">
      <c r="X4858" s="8"/>
    </row>
    <row r="4859" spans="24:24" x14ac:dyDescent="0.35">
      <c r="X4859" s="8"/>
    </row>
    <row r="4860" spans="24:24" x14ac:dyDescent="0.35">
      <c r="X4860" s="8"/>
    </row>
    <row r="4861" spans="24:24" x14ac:dyDescent="0.35">
      <c r="X4861" s="8"/>
    </row>
    <row r="4862" spans="24:24" x14ac:dyDescent="0.35">
      <c r="X4862" s="8"/>
    </row>
    <row r="4863" spans="24:24" x14ac:dyDescent="0.35">
      <c r="X4863" s="8"/>
    </row>
    <row r="4864" spans="24:24" x14ac:dyDescent="0.35">
      <c r="X4864" s="8"/>
    </row>
    <row r="4865" spans="24:24" x14ac:dyDescent="0.35">
      <c r="X4865" s="8"/>
    </row>
    <row r="4866" spans="24:24" x14ac:dyDescent="0.35">
      <c r="X4866" s="8"/>
    </row>
    <row r="4867" spans="24:24" x14ac:dyDescent="0.35">
      <c r="X4867" s="8"/>
    </row>
    <row r="4868" spans="24:24" x14ac:dyDescent="0.35">
      <c r="X4868" s="8"/>
    </row>
    <row r="4869" spans="24:24" x14ac:dyDescent="0.35">
      <c r="X4869" s="8"/>
    </row>
    <row r="4870" spans="24:24" x14ac:dyDescent="0.35">
      <c r="X4870" s="8"/>
    </row>
    <row r="4871" spans="24:24" x14ac:dyDescent="0.35">
      <c r="X4871" s="8"/>
    </row>
    <row r="4872" spans="24:24" x14ac:dyDescent="0.35">
      <c r="X4872" s="8"/>
    </row>
    <row r="4873" spans="24:24" x14ac:dyDescent="0.35">
      <c r="X4873" s="8"/>
    </row>
    <row r="4874" spans="24:24" x14ac:dyDescent="0.35">
      <c r="X4874" s="8"/>
    </row>
    <row r="4875" spans="24:24" x14ac:dyDescent="0.35">
      <c r="X4875" s="8"/>
    </row>
    <row r="4876" spans="24:24" x14ac:dyDescent="0.35">
      <c r="X4876" s="8"/>
    </row>
    <row r="4877" spans="24:24" x14ac:dyDescent="0.35">
      <c r="X4877" s="8"/>
    </row>
    <row r="4878" spans="24:24" x14ac:dyDescent="0.35">
      <c r="X4878" s="8"/>
    </row>
    <row r="4879" spans="24:24" x14ac:dyDescent="0.35">
      <c r="X4879" s="8"/>
    </row>
    <row r="4880" spans="24:24" x14ac:dyDescent="0.35">
      <c r="X4880" s="8"/>
    </row>
    <row r="4881" spans="24:24" x14ac:dyDescent="0.35">
      <c r="X4881" s="8"/>
    </row>
    <row r="4882" spans="24:24" x14ac:dyDescent="0.35">
      <c r="X4882" s="8"/>
    </row>
    <row r="4883" spans="24:24" x14ac:dyDescent="0.35">
      <c r="X4883" s="8"/>
    </row>
    <row r="4884" spans="24:24" x14ac:dyDescent="0.35">
      <c r="X4884" s="8"/>
    </row>
    <row r="4885" spans="24:24" x14ac:dyDescent="0.35">
      <c r="X4885" s="8"/>
    </row>
    <row r="4886" spans="24:24" x14ac:dyDescent="0.35">
      <c r="X4886" s="8"/>
    </row>
    <row r="4887" spans="24:24" x14ac:dyDescent="0.35">
      <c r="X4887" s="8"/>
    </row>
    <row r="4888" spans="24:24" x14ac:dyDescent="0.35">
      <c r="X4888" s="8"/>
    </row>
    <row r="4889" spans="24:24" x14ac:dyDescent="0.35">
      <c r="X4889" s="8"/>
    </row>
    <row r="4890" spans="24:24" x14ac:dyDescent="0.35">
      <c r="X4890" s="8"/>
    </row>
    <row r="4891" spans="24:24" x14ac:dyDescent="0.35">
      <c r="X4891" s="8"/>
    </row>
    <row r="4892" spans="24:24" x14ac:dyDescent="0.35">
      <c r="X4892" s="8"/>
    </row>
    <row r="4893" spans="24:24" x14ac:dyDescent="0.35">
      <c r="X4893" s="8"/>
    </row>
    <row r="4894" spans="24:24" x14ac:dyDescent="0.35">
      <c r="X4894" s="8"/>
    </row>
    <row r="4895" spans="24:24" x14ac:dyDescent="0.35">
      <c r="X4895" s="8"/>
    </row>
    <row r="4896" spans="24:24" x14ac:dyDescent="0.35">
      <c r="X4896" s="8"/>
    </row>
    <row r="4897" spans="24:24" x14ac:dyDescent="0.35">
      <c r="X4897" s="8"/>
    </row>
    <row r="4898" spans="24:24" x14ac:dyDescent="0.35">
      <c r="X4898" s="8"/>
    </row>
    <row r="4899" spans="24:24" x14ac:dyDescent="0.35">
      <c r="X4899" s="8"/>
    </row>
    <row r="4900" spans="24:24" x14ac:dyDescent="0.35">
      <c r="X4900" s="8"/>
    </row>
    <row r="4901" spans="24:24" x14ac:dyDescent="0.35">
      <c r="X4901" s="8"/>
    </row>
    <row r="4902" spans="24:24" x14ac:dyDescent="0.35">
      <c r="X4902" s="8"/>
    </row>
    <row r="4903" spans="24:24" x14ac:dyDescent="0.35">
      <c r="X4903" s="8"/>
    </row>
    <row r="4904" spans="24:24" x14ac:dyDescent="0.35">
      <c r="X4904" s="8"/>
    </row>
    <row r="4905" spans="24:24" x14ac:dyDescent="0.35">
      <c r="X4905" s="8"/>
    </row>
    <row r="4906" spans="24:24" x14ac:dyDescent="0.35">
      <c r="X4906" s="8"/>
    </row>
    <row r="4907" spans="24:24" x14ac:dyDescent="0.35">
      <c r="X4907" s="8"/>
    </row>
    <row r="4908" spans="24:24" x14ac:dyDescent="0.35">
      <c r="X4908" s="8"/>
    </row>
    <row r="4909" spans="24:24" x14ac:dyDescent="0.35">
      <c r="X4909" s="8"/>
    </row>
    <row r="4910" spans="24:24" x14ac:dyDescent="0.35">
      <c r="X4910" s="8"/>
    </row>
    <row r="4911" spans="24:24" x14ac:dyDescent="0.35">
      <c r="X4911" s="8"/>
    </row>
    <row r="4912" spans="24:24" x14ac:dyDescent="0.35">
      <c r="X4912" s="8"/>
    </row>
    <row r="4913" spans="24:24" x14ac:dyDescent="0.35">
      <c r="X4913" s="8"/>
    </row>
    <row r="4914" spans="24:24" x14ac:dyDescent="0.35">
      <c r="X4914" s="8"/>
    </row>
    <row r="4915" spans="24:24" x14ac:dyDescent="0.35">
      <c r="X4915" s="8"/>
    </row>
    <row r="4916" spans="24:24" x14ac:dyDescent="0.35">
      <c r="X4916" s="8"/>
    </row>
    <row r="4917" spans="24:24" x14ac:dyDescent="0.35">
      <c r="X4917" s="8"/>
    </row>
    <row r="4918" spans="24:24" x14ac:dyDescent="0.35">
      <c r="X4918" s="8"/>
    </row>
    <row r="4919" spans="24:24" x14ac:dyDescent="0.35">
      <c r="X4919" s="8"/>
    </row>
    <row r="4920" spans="24:24" x14ac:dyDescent="0.35">
      <c r="X4920" s="8"/>
    </row>
    <row r="4921" spans="24:24" x14ac:dyDescent="0.35">
      <c r="X4921" s="8"/>
    </row>
    <row r="4922" spans="24:24" x14ac:dyDescent="0.35">
      <c r="X4922" s="8"/>
    </row>
    <row r="4923" spans="24:24" x14ac:dyDescent="0.35">
      <c r="X4923" s="8"/>
    </row>
    <row r="4924" spans="24:24" x14ac:dyDescent="0.35">
      <c r="X4924" s="8"/>
    </row>
    <row r="4925" spans="24:24" x14ac:dyDescent="0.35">
      <c r="X4925" s="8"/>
    </row>
    <row r="4926" spans="24:24" x14ac:dyDescent="0.35">
      <c r="X4926" s="8"/>
    </row>
    <row r="4927" spans="24:24" x14ac:dyDescent="0.35">
      <c r="X4927" s="8"/>
    </row>
    <row r="4928" spans="24:24" x14ac:dyDescent="0.35">
      <c r="X4928" s="8"/>
    </row>
    <row r="4929" spans="24:24" x14ac:dyDescent="0.35">
      <c r="X4929" s="8"/>
    </row>
    <row r="4930" spans="24:24" x14ac:dyDescent="0.35">
      <c r="X4930" s="8"/>
    </row>
    <row r="4931" spans="24:24" x14ac:dyDescent="0.35">
      <c r="X4931" s="8"/>
    </row>
    <row r="4932" spans="24:24" x14ac:dyDescent="0.35">
      <c r="X4932" s="8"/>
    </row>
    <row r="4933" spans="24:24" x14ac:dyDescent="0.35">
      <c r="X4933" s="8"/>
    </row>
    <row r="4934" spans="24:24" x14ac:dyDescent="0.35">
      <c r="X4934" s="8"/>
    </row>
    <row r="4935" spans="24:24" x14ac:dyDescent="0.35">
      <c r="X4935" s="8"/>
    </row>
    <row r="4936" spans="24:24" x14ac:dyDescent="0.35">
      <c r="X4936" s="8"/>
    </row>
    <row r="4937" spans="24:24" x14ac:dyDescent="0.35">
      <c r="X4937" s="8"/>
    </row>
    <row r="4938" spans="24:24" x14ac:dyDescent="0.35">
      <c r="X4938" s="8"/>
    </row>
    <row r="4939" spans="24:24" x14ac:dyDescent="0.35">
      <c r="X4939" s="8"/>
    </row>
    <row r="4940" spans="24:24" x14ac:dyDescent="0.35">
      <c r="X4940" s="8"/>
    </row>
    <row r="4941" spans="24:24" x14ac:dyDescent="0.35">
      <c r="X4941" s="8"/>
    </row>
    <row r="4942" spans="24:24" x14ac:dyDescent="0.35">
      <c r="X4942" s="8"/>
    </row>
    <row r="4943" spans="24:24" x14ac:dyDescent="0.35">
      <c r="X4943" s="8"/>
    </row>
    <row r="4944" spans="24:24" x14ac:dyDescent="0.35">
      <c r="X4944" s="8"/>
    </row>
    <row r="4945" spans="24:24" x14ac:dyDescent="0.35">
      <c r="X4945" s="8"/>
    </row>
    <row r="4946" spans="24:24" x14ac:dyDescent="0.35">
      <c r="X4946" s="8"/>
    </row>
    <row r="4947" spans="24:24" x14ac:dyDescent="0.35">
      <c r="X4947" s="8"/>
    </row>
    <row r="4948" spans="24:24" x14ac:dyDescent="0.35">
      <c r="X4948" s="8"/>
    </row>
    <row r="4949" spans="24:24" x14ac:dyDescent="0.35">
      <c r="X4949" s="8"/>
    </row>
    <row r="4950" spans="24:24" x14ac:dyDescent="0.35">
      <c r="X4950" s="8"/>
    </row>
    <row r="4951" spans="24:24" x14ac:dyDescent="0.35">
      <c r="X4951" s="8"/>
    </row>
    <row r="4952" spans="24:24" x14ac:dyDescent="0.35">
      <c r="X4952" s="8"/>
    </row>
    <row r="4953" spans="24:24" x14ac:dyDescent="0.35">
      <c r="X4953" s="8"/>
    </row>
    <row r="4954" spans="24:24" x14ac:dyDescent="0.35">
      <c r="X4954" s="8"/>
    </row>
    <row r="4955" spans="24:24" x14ac:dyDescent="0.35">
      <c r="X4955" s="8"/>
    </row>
    <row r="4956" spans="24:24" x14ac:dyDescent="0.35">
      <c r="X4956" s="8"/>
    </row>
    <row r="4957" spans="24:24" x14ac:dyDescent="0.35">
      <c r="X4957" s="8"/>
    </row>
    <row r="4958" spans="24:24" x14ac:dyDescent="0.35">
      <c r="X4958" s="8"/>
    </row>
    <row r="4959" spans="24:24" x14ac:dyDescent="0.35">
      <c r="X4959" s="8"/>
    </row>
    <row r="4960" spans="24:24" x14ac:dyDescent="0.35">
      <c r="X4960" s="8"/>
    </row>
    <row r="4961" spans="24:24" x14ac:dyDescent="0.35">
      <c r="X4961" s="8"/>
    </row>
    <row r="4962" spans="24:24" x14ac:dyDescent="0.35">
      <c r="X4962" s="8"/>
    </row>
    <row r="4963" spans="24:24" x14ac:dyDescent="0.35">
      <c r="X4963" s="8"/>
    </row>
    <row r="4964" spans="24:24" x14ac:dyDescent="0.35">
      <c r="X4964" s="8"/>
    </row>
    <row r="4965" spans="24:24" x14ac:dyDescent="0.35">
      <c r="X4965" s="8"/>
    </row>
    <row r="4966" spans="24:24" x14ac:dyDescent="0.35">
      <c r="X4966" s="8"/>
    </row>
    <row r="4967" spans="24:24" x14ac:dyDescent="0.35">
      <c r="X4967" s="8"/>
    </row>
    <row r="4968" spans="24:24" x14ac:dyDescent="0.35">
      <c r="X4968" s="8"/>
    </row>
    <row r="4969" spans="24:24" x14ac:dyDescent="0.35">
      <c r="X4969" s="8"/>
    </row>
    <row r="4970" spans="24:24" x14ac:dyDescent="0.35">
      <c r="X4970" s="8"/>
    </row>
    <row r="4971" spans="24:24" x14ac:dyDescent="0.35">
      <c r="X4971" s="8"/>
    </row>
    <row r="4972" spans="24:24" x14ac:dyDescent="0.35">
      <c r="X4972" s="8"/>
    </row>
    <row r="4973" spans="24:24" x14ac:dyDescent="0.35">
      <c r="X4973" s="8"/>
    </row>
    <row r="4974" spans="24:24" x14ac:dyDescent="0.35">
      <c r="X4974" s="8"/>
    </row>
    <row r="4975" spans="24:24" x14ac:dyDescent="0.35">
      <c r="X4975" s="8"/>
    </row>
    <row r="4976" spans="24:24" x14ac:dyDescent="0.35">
      <c r="X4976" s="8"/>
    </row>
    <row r="4977" spans="24:24" x14ac:dyDescent="0.35">
      <c r="X4977" s="8"/>
    </row>
    <row r="4978" spans="24:24" x14ac:dyDescent="0.35">
      <c r="X4978" s="8"/>
    </row>
    <row r="4979" spans="24:24" x14ac:dyDescent="0.35">
      <c r="X4979" s="8"/>
    </row>
    <row r="4980" spans="24:24" x14ac:dyDescent="0.35">
      <c r="X4980" s="8"/>
    </row>
    <row r="4981" spans="24:24" x14ac:dyDescent="0.35">
      <c r="X4981" s="8"/>
    </row>
    <row r="4982" spans="24:24" x14ac:dyDescent="0.35">
      <c r="X4982" s="8"/>
    </row>
    <row r="4983" spans="24:24" x14ac:dyDescent="0.35">
      <c r="X4983" s="8"/>
    </row>
    <row r="4984" spans="24:24" x14ac:dyDescent="0.35">
      <c r="X4984" s="8"/>
    </row>
    <row r="4985" spans="24:24" x14ac:dyDescent="0.35">
      <c r="X4985" s="8"/>
    </row>
    <row r="4986" spans="24:24" x14ac:dyDescent="0.35">
      <c r="X4986" s="8"/>
    </row>
    <row r="4987" spans="24:24" x14ac:dyDescent="0.35">
      <c r="X4987" s="8"/>
    </row>
    <row r="4988" spans="24:24" x14ac:dyDescent="0.35">
      <c r="X4988" s="8"/>
    </row>
    <row r="4989" spans="24:24" x14ac:dyDescent="0.35">
      <c r="X4989" s="8"/>
    </row>
    <row r="4990" spans="24:24" x14ac:dyDescent="0.35">
      <c r="X4990" s="8"/>
    </row>
    <row r="4991" spans="24:24" x14ac:dyDescent="0.35">
      <c r="X4991" s="8"/>
    </row>
    <row r="4992" spans="24:24" x14ac:dyDescent="0.35">
      <c r="X4992" s="8"/>
    </row>
    <row r="4993" spans="24:24" x14ac:dyDescent="0.35">
      <c r="X4993" s="8"/>
    </row>
    <row r="4994" spans="24:24" x14ac:dyDescent="0.35">
      <c r="X4994" s="8"/>
    </row>
    <row r="4995" spans="24:24" x14ac:dyDescent="0.35">
      <c r="X4995" s="8"/>
    </row>
    <row r="4996" spans="24:24" x14ac:dyDescent="0.35">
      <c r="X4996" s="8"/>
    </row>
    <row r="4997" spans="24:24" x14ac:dyDescent="0.35">
      <c r="X4997" s="8"/>
    </row>
    <row r="4998" spans="24:24" x14ac:dyDescent="0.35">
      <c r="X4998" s="8"/>
    </row>
    <row r="4999" spans="24:24" x14ac:dyDescent="0.35">
      <c r="X4999" s="8"/>
    </row>
    <row r="5000" spans="24:24" x14ac:dyDescent="0.35">
      <c r="X5000" s="8"/>
    </row>
    <row r="5001" spans="24:24" x14ac:dyDescent="0.35">
      <c r="X5001" s="8"/>
    </row>
    <row r="5002" spans="24:24" x14ac:dyDescent="0.35">
      <c r="X5002" s="8"/>
    </row>
    <row r="5003" spans="24:24" x14ac:dyDescent="0.35">
      <c r="X5003" s="8"/>
    </row>
    <row r="5004" spans="24:24" x14ac:dyDescent="0.35">
      <c r="X5004" s="8"/>
    </row>
    <row r="5005" spans="24:24" x14ac:dyDescent="0.35">
      <c r="X5005" s="8"/>
    </row>
    <row r="5006" spans="24:24" x14ac:dyDescent="0.35">
      <c r="X5006" s="8"/>
    </row>
    <row r="5007" spans="24:24" x14ac:dyDescent="0.35">
      <c r="X5007" s="8"/>
    </row>
    <row r="5008" spans="24:24" x14ac:dyDescent="0.35">
      <c r="X5008" s="8"/>
    </row>
    <row r="5009" spans="24:24" x14ac:dyDescent="0.35">
      <c r="X5009" s="8"/>
    </row>
    <row r="5010" spans="24:24" x14ac:dyDescent="0.35">
      <c r="X5010" s="8"/>
    </row>
    <row r="5011" spans="24:24" x14ac:dyDescent="0.35">
      <c r="X5011" s="8"/>
    </row>
    <row r="5012" spans="24:24" x14ac:dyDescent="0.35">
      <c r="X5012" s="8"/>
    </row>
    <row r="5013" spans="24:24" x14ac:dyDescent="0.35">
      <c r="X5013" s="8"/>
    </row>
    <row r="5014" spans="24:24" x14ac:dyDescent="0.35">
      <c r="X5014" s="8"/>
    </row>
    <row r="5015" spans="24:24" x14ac:dyDescent="0.35">
      <c r="X5015" s="8"/>
    </row>
    <row r="5016" spans="24:24" x14ac:dyDescent="0.35">
      <c r="X5016" s="8"/>
    </row>
    <row r="5017" spans="24:24" x14ac:dyDescent="0.35">
      <c r="X5017" s="8"/>
    </row>
    <row r="5018" spans="24:24" x14ac:dyDescent="0.35">
      <c r="X5018" s="8"/>
    </row>
    <row r="5019" spans="24:24" x14ac:dyDescent="0.35">
      <c r="X5019" s="8"/>
    </row>
    <row r="5020" spans="24:24" x14ac:dyDescent="0.35">
      <c r="X5020" s="8"/>
    </row>
    <row r="5021" spans="24:24" x14ac:dyDescent="0.35">
      <c r="X5021" s="8"/>
    </row>
    <row r="5022" spans="24:24" x14ac:dyDescent="0.35">
      <c r="X5022" s="8"/>
    </row>
    <row r="5023" spans="24:24" x14ac:dyDescent="0.35">
      <c r="X5023" s="8"/>
    </row>
    <row r="5024" spans="24:24" x14ac:dyDescent="0.35">
      <c r="X5024" s="8"/>
    </row>
    <row r="5025" spans="24:24" x14ac:dyDescent="0.35">
      <c r="X5025" s="8"/>
    </row>
    <row r="5026" spans="24:24" x14ac:dyDescent="0.35">
      <c r="X5026" s="8"/>
    </row>
    <row r="5027" spans="24:24" x14ac:dyDescent="0.35">
      <c r="X5027" s="8"/>
    </row>
    <row r="5028" spans="24:24" x14ac:dyDescent="0.35">
      <c r="X5028" s="8"/>
    </row>
    <row r="5029" spans="24:24" x14ac:dyDescent="0.35">
      <c r="X5029" s="8"/>
    </row>
    <row r="5030" spans="24:24" x14ac:dyDescent="0.35">
      <c r="X5030" s="8"/>
    </row>
    <row r="5031" spans="24:24" x14ac:dyDescent="0.35">
      <c r="X5031" s="8"/>
    </row>
    <row r="5032" spans="24:24" x14ac:dyDescent="0.35">
      <c r="X5032" s="8"/>
    </row>
    <row r="5033" spans="24:24" x14ac:dyDescent="0.35">
      <c r="X5033" s="8"/>
    </row>
    <row r="5034" spans="24:24" x14ac:dyDescent="0.35">
      <c r="X5034" s="8"/>
    </row>
    <row r="5035" spans="24:24" x14ac:dyDescent="0.35">
      <c r="X5035" s="8"/>
    </row>
    <row r="5036" spans="24:24" x14ac:dyDescent="0.35">
      <c r="X5036" s="8"/>
    </row>
    <row r="5037" spans="24:24" x14ac:dyDescent="0.35">
      <c r="X5037" s="8"/>
    </row>
    <row r="5038" spans="24:24" x14ac:dyDescent="0.35">
      <c r="X5038" s="8"/>
    </row>
    <row r="5039" spans="24:24" x14ac:dyDescent="0.35">
      <c r="X5039" s="8"/>
    </row>
    <row r="5040" spans="24:24" x14ac:dyDescent="0.35">
      <c r="X5040" s="8"/>
    </row>
    <row r="5041" spans="24:24" x14ac:dyDescent="0.35">
      <c r="X5041" s="8"/>
    </row>
    <row r="5042" spans="24:24" x14ac:dyDescent="0.35">
      <c r="X5042" s="8"/>
    </row>
    <row r="5043" spans="24:24" x14ac:dyDescent="0.35">
      <c r="X5043" s="8"/>
    </row>
    <row r="5044" spans="24:24" x14ac:dyDescent="0.35">
      <c r="X5044" s="8"/>
    </row>
    <row r="5045" spans="24:24" x14ac:dyDescent="0.35">
      <c r="X5045" s="8"/>
    </row>
    <row r="5046" spans="24:24" x14ac:dyDescent="0.35">
      <c r="X5046" s="8"/>
    </row>
    <row r="5047" spans="24:24" x14ac:dyDescent="0.35">
      <c r="X5047" s="8"/>
    </row>
    <row r="5048" spans="24:24" x14ac:dyDescent="0.35">
      <c r="X5048" s="8"/>
    </row>
    <row r="5049" spans="24:24" x14ac:dyDescent="0.35">
      <c r="X5049" s="8"/>
    </row>
    <row r="5050" spans="24:24" x14ac:dyDescent="0.35">
      <c r="X5050" s="8"/>
    </row>
    <row r="5051" spans="24:24" x14ac:dyDescent="0.35">
      <c r="X5051" s="8"/>
    </row>
    <row r="5052" spans="24:24" x14ac:dyDescent="0.35">
      <c r="X5052" s="8"/>
    </row>
    <row r="5053" spans="24:24" x14ac:dyDescent="0.35">
      <c r="X5053" s="8"/>
    </row>
    <row r="5054" spans="24:24" x14ac:dyDescent="0.35">
      <c r="X5054" s="8"/>
    </row>
    <row r="5055" spans="24:24" x14ac:dyDescent="0.35">
      <c r="X5055" s="8"/>
    </row>
    <row r="5056" spans="24:24" x14ac:dyDescent="0.35">
      <c r="X5056" s="8"/>
    </row>
    <row r="5057" spans="24:24" x14ac:dyDescent="0.35">
      <c r="X5057" s="8"/>
    </row>
    <row r="5058" spans="24:24" x14ac:dyDescent="0.35">
      <c r="X5058" s="8"/>
    </row>
    <row r="5059" spans="24:24" x14ac:dyDescent="0.35">
      <c r="X5059" s="8"/>
    </row>
    <row r="5060" spans="24:24" x14ac:dyDescent="0.35">
      <c r="X5060" s="8"/>
    </row>
    <row r="5061" spans="24:24" x14ac:dyDescent="0.35">
      <c r="X5061" s="8"/>
    </row>
    <row r="5062" spans="24:24" x14ac:dyDescent="0.35">
      <c r="X5062" s="8"/>
    </row>
    <row r="5063" spans="24:24" x14ac:dyDescent="0.35">
      <c r="X5063" s="8"/>
    </row>
    <row r="5064" spans="24:24" x14ac:dyDescent="0.35">
      <c r="X5064" s="8"/>
    </row>
    <row r="5065" spans="24:24" x14ac:dyDescent="0.35">
      <c r="X5065" s="8"/>
    </row>
    <row r="5066" spans="24:24" x14ac:dyDescent="0.35">
      <c r="X5066" s="8"/>
    </row>
    <row r="5067" spans="24:24" x14ac:dyDescent="0.35">
      <c r="X5067" s="8"/>
    </row>
    <row r="5068" spans="24:24" x14ac:dyDescent="0.35">
      <c r="X5068" s="8"/>
    </row>
    <row r="5069" spans="24:24" x14ac:dyDescent="0.35">
      <c r="X5069" s="8"/>
    </row>
    <row r="5070" spans="24:24" x14ac:dyDescent="0.35">
      <c r="X5070" s="8"/>
    </row>
    <row r="5071" spans="24:24" x14ac:dyDescent="0.35">
      <c r="X5071" s="8"/>
    </row>
    <row r="5072" spans="24:24" x14ac:dyDescent="0.35">
      <c r="X5072" s="8"/>
    </row>
    <row r="5073" spans="24:24" x14ac:dyDescent="0.35">
      <c r="X5073" s="8"/>
    </row>
    <row r="5074" spans="24:24" x14ac:dyDescent="0.35">
      <c r="X5074" s="8"/>
    </row>
    <row r="5075" spans="24:24" x14ac:dyDescent="0.35">
      <c r="X5075" s="8"/>
    </row>
    <row r="5076" spans="24:24" x14ac:dyDescent="0.35">
      <c r="X5076" s="8"/>
    </row>
    <row r="5077" spans="24:24" x14ac:dyDescent="0.35">
      <c r="X5077" s="8"/>
    </row>
    <row r="5078" spans="24:24" x14ac:dyDescent="0.35">
      <c r="X5078" s="8"/>
    </row>
    <row r="5079" spans="24:24" x14ac:dyDescent="0.35">
      <c r="X5079" s="8"/>
    </row>
    <row r="5080" spans="24:24" x14ac:dyDescent="0.35">
      <c r="X5080" s="8"/>
    </row>
    <row r="5081" spans="24:24" x14ac:dyDescent="0.35">
      <c r="X5081" s="8"/>
    </row>
    <row r="5082" spans="24:24" x14ac:dyDescent="0.35">
      <c r="X5082" s="8"/>
    </row>
    <row r="5083" spans="24:24" x14ac:dyDescent="0.35">
      <c r="X5083" s="8"/>
    </row>
    <row r="5084" spans="24:24" x14ac:dyDescent="0.35">
      <c r="X5084" s="8"/>
    </row>
    <row r="5085" spans="24:24" x14ac:dyDescent="0.35">
      <c r="X5085" s="8"/>
    </row>
    <row r="5086" spans="24:24" x14ac:dyDescent="0.35">
      <c r="X5086" s="8"/>
    </row>
    <row r="5087" spans="24:24" x14ac:dyDescent="0.35">
      <c r="X5087" s="8"/>
    </row>
    <row r="5088" spans="24:24" x14ac:dyDescent="0.35">
      <c r="X5088" s="8"/>
    </row>
    <row r="5089" spans="24:24" x14ac:dyDescent="0.35">
      <c r="X5089" s="8"/>
    </row>
    <row r="5090" spans="24:24" x14ac:dyDescent="0.35">
      <c r="X5090" s="8"/>
    </row>
    <row r="5091" spans="24:24" x14ac:dyDescent="0.35">
      <c r="X5091" s="8"/>
    </row>
    <row r="5092" spans="24:24" x14ac:dyDescent="0.35">
      <c r="X5092" s="8"/>
    </row>
    <row r="5093" spans="24:24" x14ac:dyDescent="0.35">
      <c r="X5093" s="8"/>
    </row>
    <row r="5094" spans="24:24" x14ac:dyDescent="0.35">
      <c r="X5094" s="8"/>
    </row>
    <row r="5095" spans="24:24" x14ac:dyDescent="0.35">
      <c r="X5095" s="8"/>
    </row>
    <row r="5096" spans="24:24" x14ac:dyDescent="0.35">
      <c r="X5096" s="8"/>
    </row>
    <row r="5097" spans="24:24" x14ac:dyDescent="0.35">
      <c r="X5097" s="8"/>
    </row>
    <row r="5098" spans="24:24" x14ac:dyDescent="0.35">
      <c r="X5098" s="8"/>
    </row>
    <row r="5099" spans="24:24" x14ac:dyDescent="0.35">
      <c r="X5099" s="8"/>
    </row>
    <row r="5100" spans="24:24" x14ac:dyDescent="0.35">
      <c r="X5100" s="8"/>
    </row>
    <row r="5101" spans="24:24" x14ac:dyDescent="0.35">
      <c r="X5101" s="8"/>
    </row>
    <row r="5102" spans="24:24" x14ac:dyDescent="0.35">
      <c r="X5102" s="8"/>
    </row>
    <row r="5103" spans="24:24" x14ac:dyDescent="0.35">
      <c r="X5103" s="8"/>
    </row>
    <row r="5104" spans="24:24" x14ac:dyDescent="0.35">
      <c r="X5104" s="8"/>
    </row>
    <row r="5105" spans="24:24" x14ac:dyDescent="0.35">
      <c r="X5105" s="8"/>
    </row>
    <row r="5106" spans="24:24" x14ac:dyDescent="0.35">
      <c r="X5106" s="8"/>
    </row>
    <row r="5107" spans="24:24" x14ac:dyDescent="0.35">
      <c r="X5107" s="8"/>
    </row>
    <row r="5108" spans="24:24" x14ac:dyDescent="0.35">
      <c r="X5108" s="8"/>
    </row>
    <row r="5109" spans="24:24" x14ac:dyDescent="0.35">
      <c r="X5109" s="8"/>
    </row>
    <row r="5110" spans="24:24" x14ac:dyDescent="0.35">
      <c r="X5110" s="8"/>
    </row>
    <row r="5111" spans="24:24" x14ac:dyDescent="0.35">
      <c r="X5111" s="8"/>
    </row>
    <row r="5112" spans="24:24" x14ac:dyDescent="0.35">
      <c r="X5112" s="8"/>
    </row>
    <row r="5113" spans="24:24" x14ac:dyDescent="0.35">
      <c r="X5113" s="8"/>
    </row>
    <row r="5114" spans="24:24" x14ac:dyDescent="0.35">
      <c r="X5114" s="8"/>
    </row>
    <row r="5115" spans="24:24" x14ac:dyDescent="0.35">
      <c r="X5115" s="8"/>
    </row>
    <row r="5116" spans="24:24" x14ac:dyDescent="0.35">
      <c r="X5116" s="8"/>
    </row>
    <row r="5117" spans="24:24" x14ac:dyDescent="0.35">
      <c r="X5117" s="8"/>
    </row>
    <row r="5118" spans="24:24" x14ac:dyDescent="0.35">
      <c r="X5118" s="8"/>
    </row>
    <row r="5119" spans="24:24" x14ac:dyDescent="0.35">
      <c r="X5119" s="8"/>
    </row>
    <row r="5120" spans="24:24" x14ac:dyDescent="0.35">
      <c r="X5120" s="8"/>
    </row>
    <row r="5121" spans="24:24" x14ac:dyDescent="0.35">
      <c r="X5121" s="8"/>
    </row>
    <row r="5122" spans="24:24" x14ac:dyDescent="0.35">
      <c r="X5122" s="8"/>
    </row>
    <row r="5123" spans="24:24" x14ac:dyDescent="0.35">
      <c r="X5123" s="8"/>
    </row>
    <row r="5124" spans="24:24" x14ac:dyDescent="0.35">
      <c r="X5124" s="8"/>
    </row>
    <row r="5125" spans="24:24" x14ac:dyDescent="0.35">
      <c r="X5125" s="8"/>
    </row>
    <row r="5126" spans="24:24" x14ac:dyDescent="0.35">
      <c r="X5126" s="8"/>
    </row>
    <row r="5127" spans="24:24" x14ac:dyDescent="0.35">
      <c r="X5127" s="8"/>
    </row>
    <row r="5128" spans="24:24" x14ac:dyDescent="0.35">
      <c r="X5128" s="8"/>
    </row>
    <row r="5129" spans="24:24" x14ac:dyDescent="0.35">
      <c r="X5129" s="8"/>
    </row>
    <row r="5130" spans="24:24" x14ac:dyDescent="0.35">
      <c r="X5130" s="8"/>
    </row>
    <row r="5131" spans="24:24" x14ac:dyDescent="0.35">
      <c r="X5131" s="8"/>
    </row>
    <row r="5132" spans="24:24" x14ac:dyDescent="0.35">
      <c r="X5132" s="8"/>
    </row>
    <row r="5133" spans="24:24" x14ac:dyDescent="0.35">
      <c r="X5133" s="8"/>
    </row>
    <row r="5134" spans="24:24" x14ac:dyDescent="0.35">
      <c r="X5134" s="8"/>
    </row>
    <row r="5135" spans="24:24" x14ac:dyDescent="0.35">
      <c r="X5135" s="8"/>
    </row>
    <row r="5136" spans="24:24" x14ac:dyDescent="0.35">
      <c r="X5136" s="8"/>
    </row>
    <row r="5137" spans="24:24" x14ac:dyDescent="0.35">
      <c r="X5137" s="8"/>
    </row>
    <row r="5138" spans="24:24" x14ac:dyDescent="0.35">
      <c r="X5138" s="8"/>
    </row>
    <row r="5139" spans="24:24" x14ac:dyDescent="0.35">
      <c r="X5139" s="8"/>
    </row>
    <row r="5140" spans="24:24" x14ac:dyDescent="0.35">
      <c r="X5140" s="8"/>
    </row>
    <row r="5141" spans="24:24" x14ac:dyDescent="0.35">
      <c r="X5141" s="8"/>
    </row>
    <row r="5142" spans="24:24" x14ac:dyDescent="0.35">
      <c r="X5142" s="8"/>
    </row>
    <row r="5143" spans="24:24" x14ac:dyDescent="0.35">
      <c r="X5143" s="8"/>
    </row>
    <row r="5144" spans="24:24" x14ac:dyDescent="0.35">
      <c r="X5144" s="8"/>
    </row>
    <row r="5145" spans="24:24" x14ac:dyDescent="0.35">
      <c r="X5145" s="8"/>
    </row>
    <row r="5146" spans="24:24" x14ac:dyDescent="0.35">
      <c r="X5146" s="8"/>
    </row>
    <row r="5147" spans="24:24" x14ac:dyDescent="0.35">
      <c r="X5147" s="8"/>
    </row>
    <row r="5148" spans="24:24" x14ac:dyDescent="0.35">
      <c r="X5148" s="8"/>
    </row>
    <row r="5149" spans="24:24" x14ac:dyDescent="0.35">
      <c r="X5149" s="8"/>
    </row>
    <row r="5150" spans="24:24" x14ac:dyDescent="0.35">
      <c r="X5150" s="8"/>
    </row>
    <row r="5151" spans="24:24" x14ac:dyDescent="0.35">
      <c r="X5151" s="8"/>
    </row>
    <row r="5152" spans="24:24" x14ac:dyDescent="0.35">
      <c r="X5152" s="8"/>
    </row>
    <row r="5153" spans="24:24" x14ac:dyDescent="0.35">
      <c r="X5153" s="8"/>
    </row>
    <row r="5154" spans="24:24" x14ac:dyDescent="0.35">
      <c r="X5154" s="8"/>
    </row>
    <row r="5155" spans="24:24" x14ac:dyDescent="0.35">
      <c r="X5155" s="8"/>
    </row>
    <row r="5156" spans="24:24" x14ac:dyDescent="0.35">
      <c r="X5156" s="8"/>
    </row>
    <row r="5157" spans="24:24" x14ac:dyDescent="0.35">
      <c r="X5157" s="8"/>
    </row>
    <row r="5158" spans="24:24" x14ac:dyDescent="0.35">
      <c r="X5158" s="8"/>
    </row>
    <row r="5159" spans="24:24" x14ac:dyDescent="0.35">
      <c r="X5159" s="8"/>
    </row>
    <row r="5160" spans="24:24" x14ac:dyDescent="0.35">
      <c r="X5160" s="8"/>
    </row>
    <row r="5161" spans="24:24" x14ac:dyDescent="0.35">
      <c r="X5161" s="8"/>
    </row>
    <row r="5162" spans="24:24" x14ac:dyDescent="0.35">
      <c r="X5162" s="8"/>
    </row>
    <row r="5163" spans="24:24" x14ac:dyDescent="0.35">
      <c r="X5163" s="8"/>
    </row>
    <row r="5164" spans="24:24" x14ac:dyDescent="0.35">
      <c r="X5164" s="8"/>
    </row>
    <row r="5165" spans="24:24" x14ac:dyDescent="0.35">
      <c r="X5165" s="8"/>
    </row>
    <row r="5166" spans="24:24" x14ac:dyDescent="0.35">
      <c r="X5166" s="8"/>
    </row>
    <row r="5167" spans="24:24" x14ac:dyDescent="0.35">
      <c r="X5167" s="8"/>
    </row>
    <row r="5168" spans="24:24" x14ac:dyDescent="0.35">
      <c r="X5168" s="8"/>
    </row>
    <row r="5169" spans="24:24" x14ac:dyDescent="0.35">
      <c r="X5169" s="8"/>
    </row>
    <row r="5170" spans="24:24" x14ac:dyDescent="0.35">
      <c r="X5170" s="8"/>
    </row>
    <row r="5171" spans="24:24" x14ac:dyDescent="0.35">
      <c r="X5171" s="8"/>
    </row>
    <row r="5172" spans="24:24" x14ac:dyDescent="0.35">
      <c r="X5172" s="8"/>
    </row>
    <row r="5173" spans="24:24" x14ac:dyDescent="0.35">
      <c r="X5173" s="8"/>
    </row>
    <row r="5174" spans="24:24" x14ac:dyDescent="0.35">
      <c r="X5174" s="8"/>
    </row>
    <row r="5175" spans="24:24" x14ac:dyDescent="0.35">
      <c r="X5175" s="8"/>
    </row>
    <row r="5176" spans="24:24" x14ac:dyDescent="0.35">
      <c r="X5176" s="8"/>
    </row>
    <row r="5177" spans="24:24" x14ac:dyDescent="0.35">
      <c r="X5177" s="8"/>
    </row>
    <row r="5178" spans="24:24" x14ac:dyDescent="0.35">
      <c r="X5178" s="8"/>
    </row>
    <row r="5179" spans="24:24" x14ac:dyDescent="0.35">
      <c r="X5179" s="8"/>
    </row>
    <row r="5180" spans="24:24" x14ac:dyDescent="0.35">
      <c r="X5180" s="8"/>
    </row>
    <row r="5181" spans="24:24" x14ac:dyDescent="0.35">
      <c r="X5181" s="8"/>
    </row>
    <row r="5182" spans="24:24" x14ac:dyDescent="0.35">
      <c r="X5182" s="8"/>
    </row>
    <row r="5183" spans="24:24" x14ac:dyDescent="0.35">
      <c r="X5183" s="8"/>
    </row>
    <row r="5184" spans="24:24" x14ac:dyDescent="0.35">
      <c r="X5184" s="8"/>
    </row>
    <row r="5185" spans="24:24" x14ac:dyDescent="0.35">
      <c r="X5185" s="8"/>
    </row>
    <row r="5186" spans="24:24" x14ac:dyDescent="0.35">
      <c r="X5186" s="8"/>
    </row>
    <row r="5187" spans="24:24" x14ac:dyDescent="0.35">
      <c r="X5187" s="8"/>
    </row>
    <row r="5188" spans="24:24" x14ac:dyDescent="0.35">
      <c r="X5188" s="8"/>
    </row>
    <row r="5189" spans="24:24" x14ac:dyDescent="0.35">
      <c r="X5189" s="8"/>
    </row>
    <row r="5190" spans="24:24" x14ac:dyDescent="0.35">
      <c r="X5190" s="8"/>
    </row>
    <row r="5191" spans="24:24" x14ac:dyDescent="0.35">
      <c r="X5191" s="8"/>
    </row>
    <row r="5192" spans="24:24" x14ac:dyDescent="0.35">
      <c r="X5192" s="8"/>
    </row>
    <row r="5193" spans="24:24" x14ac:dyDescent="0.35">
      <c r="X5193" s="8"/>
    </row>
    <row r="5194" spans="24:24" x14ac:dyDescent="0.35">
      <c r="X5194" s="8"/>
    </row>
    <row r="5195" spans="24:24" x14ac:dyDescent="0.35">
      <c r="X5195" s="8"/>
    </row>
    <row r="5196" spans="24:24" x14ac:dyDescent="0.35">
      <c r="X5196" s="8"/>
    </row>
    <row r="5197" spans="24:24" x14ac:dyDescent="0.35">
      <c r="X5197" s="8"/>
    </row>
    <row r="5198" spans="24:24" x14ac:dyDescent="0.35">
      <c r="X5198" s="8"/>
    </row>
    <row r="5199" spans="24:24" x14ac:dyDescent="0.35">
      <c r="X5199" s="8"/>
    </row>
    <row r="5200" spans="24:24" x14ac:dyDescent="0.35">
      <c r="X5200" s="8"/>
    </row>
    <row r="5201" spans="24:24" x14ac:dyDescent="0.35">
      <c r="X5201" s="8"/>
    </row>
    <row r="5202" spans="24:24" x14ac:dyDescent="0.35">
      <c r="X5202" s="8"/>
    </row>
    <row r="5203" spans="24:24" x14ac:dyDescent="0.35">
      <c r="X5203" s="8"/>
    </row>
    <row r="5204" spans="24:24" x14ac:dyDescent="0.35">
      <c r="X5204" s="8"/>
    </row>
    <row r="5205" spans="24:24" x14ac:dyDescent="0.35">
      <c r="X5205" s="8"/>
    </row>
    <row r="5206" spans="24:24" x14ac:dyDescent="0.35">
      <c r="X5206" s="8"/>
    </row>
    <row r="5207" spans="24:24" x14ac:dyDescent="0.35">
      <c r="X5207" s="8"/>
    </row>
    <row r="5208" spans="24:24" x14ac:dyDescent="0.35">
      <c r="X5208" s="8"/>
    </row>
    <row r="5209" spans="24:24" x14ac:dyDescent="0.35">
      <c r="X5209" s="8"/>
    </row>
    <row r="5210" spans="24:24" x14ac:dyDescent="0.35">
      <c r="X5210" s="8"/>
    </row>
    <row r="5211" spans="24:24" x14ac:dyDescent="0.35">
      <c r="X5211" s="8"/>
    </row>
    <row r="5212" spans="24:24" x14ac:dyDescent="0.35">
      <c r="X5212" s="8"/>
    </row>
    <row r="5213" spans="24:24" x14ac:dyDescent="0.35">
      <c r="X5213" s="8"/>
    </row>
    <row r="5214" spans="24:24" x14ac:dyDescent="0.35">
      <c r="X5214" s="8"/>
    </row>
    <row r="5215" spans="24:24" x14ac:dyDescent="0.35">
      <c r="X5215" s="8"/>
    </row>
    <row r="5216" spans="24:24" x14ac:dyDescent="0.35">
      <c r="X5216" s="8"/>
    </row>
    <row r="5217" spans="24:24" x14ac:dyDescent="0.35">
      <c r="X5217" s="8"/>
    </row>
    <row r="5218" spans="24:24" x14ac:dyDescent="0.35">
      <c r="X5218" s="8"/>
    </row>
    <row r="5219" spans="24:24" x14ac:dyDescent="0.35">
      <c r="X5219" s="8"/>
    </row>
    <row r="5220" spans="24:24" x14ac:dyDescent="0.35">
      <c r="X5220" s="8"/>
    </row>
    <row r="5221" spans="24:24" x14ac:dyDescent="0.35">
      <c r="X5221" s="8"/>
    </row>
    <row r="5222" spans="24:24" x14ac:dyDescent="0.35">
      <c r="X5222" s="8"/>
    </row>
    <row r="5223" spans="24:24" x14ac:dyDescent="0.35">
      <c r="X5223" s="8"/>
    </row>
    <row r="5224" spans="24:24" x14ac:dyDescent="0.35">
      <c r="X5224" s="8"/>
    </row>
    <row r="5225" spans="24:24" x14ac:dyDescent="0.35">
      <c r="X5225" s="8"/>
    </row>
    <row r="5226" spans="24:24" x14ac:dyDescent="0.35">
      <c r="X5226" s="8"/>
    </row>
    <row r="5227" spans="24:24" x14ac:dyDescent="0.35">
      <c r="X5227" s="8"/>
    </row>
    <row r="5228" spans="24:24" x14ac:dyDescent="0.35">
      <c r="X5228" s="8"/>
    </row>
    <row r="5229" spans="24:24" x14ac:dyDescent="0.35">
      <c r="X5229" s="8"/>
    </row>
    <row r="5230" spans="24:24" x14ac:dyDescent="0.35">
      <c r="X5230" s="8"/>
    </row>
    <row r="5231" spans="24:24" x14ac:dyDescent="0.35">
      <c r="X5231" s="8"/>
    </row>
    <row r="5232" spans="24:24" x14ac:dyDescent="0.35">
      <c r="X5232" s="8"/>
    </row>
    <row r="5233" spans="24:24" x14ac:dyDescent="0.35">
      <c r="X5233" s="8"/>
    </row>
    <row r="5234" spans="24:24" x14ac:dyDescent="0.35">
      <c r="X5234" s="8"/>
    </row>
    <row r="5235" spans="24:24" x14ac:dyDescent="0.35">
      <c r="X5235" s="8"/>
    </row>
    <row r="5236" spans="24:24" x14ac:dyDescent="0.35">
      <c r="X5236" s="8"/>
    </row>
    <row r="5237" spans="24:24" x14ac:dyDescent="0.35">
      <c r="X5237" s="8"/>
    </row>
    <row r="5238" spans="24:24" x14ac:dyDescent="0.35">
      <c r="X5238" s="8"/>
    </row>
    <row r="5239" spans="24:24" x14ac:dyDescent="0.35">
      <c r="X5239" s="8"/>
    </row>
    <row r="5240" spans="24:24" x14ac:dyDescent="0.35">
      <c r="X5240" s="8"/>
    </row>
    <row r="5241" spans="24:24" x14ac:dyDescent="0.35">
      <c r="X5241" s="8"/>
    </row>
    <row r="5242" spans="24:24" x14ac:dyDescent="0.35">
      <c r="X5242" s="8"/>
    </row>
    <row r="5243" spans="24:24" x14ac:dyDescent="0.35">
      <c r="X5243" s="8"/>
    </row>
    <row r="5244" spans="24:24" x14ac:dyDescent="0.35">
      <c r="X5244" s="8"/>
    </row>
    <row r="5245" spans="24:24" x14ac:dyDescent="0.35">
      <c r="X5245" s="8"/>
    </row>
    <row r="5246" spans="24:24" x14ac:dyDescent="0.35">
      <c r="X5246" s="8"/>
    </row>
    <row r="5247" spans="24:24" x14ac:dyDescent="0.35">
      <c r="X5247" s="8"/>
    </row>
    <row r="5248" spans="24:24" x14ac:dyDescent="0.35">
      <c r="X5248" s="8"/>
    </row>
    <row r="5249" spans="24:24" x14ac:dyDescent="0.35">
      <c r="X5249" s="8"/>
    </row>
    <row r="5250" spans="24:24" x14ac:dyDescent="0.35">
      <c r="X5250" s="8"/>
    </row>
    <row r="5251" spans="24:24" x14ac:dyDescent="0.35">
      <c r="X5251" s="8"/>
    </row>
    <row r="5252" spans="24:24" x14ac:dyDescent="0.35">
      <c r="X5252" s="8"/>
    </row>
    <row r="5253" spans="24:24" x14ac:dyDescent="0.35">
      <c r="X5253" s="8"/>
    </row>
    <row r="5254" spans="24:24" x14ac:dyDescent="0.35">
      <c r="X5254" s="8"/>
    </row>
    <row r="5255" spans="24:24" x14ac:dyDescent="0.35">
      <c r="X5255" s="8"/>
    </row>
    <row r="5256" spans="24:24" x14ac:dyDescent="0.35">
      <c r="X5256" s="8"/>
    </row>
    <row r="5257" spans="24:24" x14ac:dyDescent="0.35">
      <c r="X5257" s="8"/>
    </row>
    <row r="5258" spans="24:24" x14ac:dyDescent="0.35">
      <c r="X5258" s="8"/>
    </row>
    <row r="5259" spans="24:24" x14ac:dyDescent="0.35">
      <c r="X5259" s="8"/>
    </row>
    <row r="5260" spans="24:24" x14ac:dyDescent="0.35">
      <c r="X5260" s="8"/>
    </row>
    <row r="5261" spans="24:24" x14ac:dyDescent="0.35">
      <c r="X5261" s="8"/>
    </row>
    <row r="5262" spans="24:24" x14ac:dyDescent="0.35">
      <c r="X5262" s="8"/>
    </row>
    <row r="5263" spans="24:24" x14ac:dyDescent="0.35">
      <c r="X5263" s="8"/>
    </row>
    <row r="5264" spans="24:24" x14ac:dyDescent="0.35">
      <c r="X5264" s="8"/>
    </row>
    <row r="5265" spans="24:24" x14ac:dyDescent="0.35">
      <c r="X5265" s="8"/>
    </row>
    <row r="5266" spans="24:24" x14ac:dyDescent="0.35">
      <c r="X5266" s="8"/>
    </row>
    <row r="5267" spans="24:24" x14ac:dyDescent="0.35">
      <c r="X5267" s="8"/>
    </row>
    <row r="5268" spans="24:24" x14ac:dyDescent="0.35">
      <c r="X5268" s="8"/>
    </row>
    <row r="5269" spans="24:24" x14ac:dyDescent="0.35">
      <c r="X5269" s="8"/>
    </row>
    <row r="5270" spans="24:24" x14ac:dyDescent="0.35">
      <c r="X5270" s="8"/>
    </row>
    <row r="5271" spans="24:24" x14ac:dyDescent="0.35">
      <c r="X5271" s="8"/>
    </row>
    <row r="5272" spans="24:24" x14ac:dyDescent="0.35">
      <c r="X5272" s="8"/>
    </row>
    <row r="5273" spans="24:24" x14ac:dyDescent="0.35">
      <c r="X5273" s="8"/>
    </row>
    <row r="5274" spans="24:24" x14ac:dyDescent="0.35">
      <c r="X5274" s="8"/>
    </row>
    <row r="5275" spans="24:24" x14ac:dyDescent="0.35">
      <c r="X5275" s="8"/>
    </row>
    <row r="5276" spans="24:24" x14ac:dyDescent="0.35">
      <c r="X5276" s="8"/>
    </row>
    <row r="5277" spans="24:24" x14ac:dyDescent="0.35">
      <c r="X5277" s="8"/>
    </row>
    <row r="5278" spans="24:24" x14ac:dyDescent="0.35">
      <c r="X5278" s="8"/>
    </row>
    <row r="5279" spans="24:24" x14ac:dyDescent="0.35">
      <c r="X5279" s="8"/>
    </row>
    <row r="5280" spans="24:24" x14ac:dyDescent="0.35">
      <c r="X5280" s="8"/>
    </row>
    <row r="5281" spans="24:24" x14ac:dyDescent="0.35">
      <c r="X5281" s="8"/>
    </row>
    <row r="5282" spans="24:24" x14ac:dyDescent="0.35">
      <c r="X5282" s="8"/>
    </row>
    <row r="5283" spans="24:24" x14ac:dyDescent="0.35">
      <c r="X5283" s="8"/>
    </row>
    <row r="5284" spans="24:24" x14ac:dyDescent="0.35">
      <c r="X5284" s="8"/>
    </row>
    <row r="5285" spans="24:24" x14ac:dyDescent="0.35">
      <c r="X5285" s="8"/>
    </row>
    <row r="5286" spans="24:24" x14ac:dyDescent="0.35">
      <c r="X5286" s="8"/>
    </row>
    <row r="5287" spans="24:24" x14ac:dyDescent="0.35">
      <c r="X5287" s="8"/>
    </row>
    <row r="5288" spans="24:24" x14ac:dyDescent="0.35">
      <c r="X5288" s="8"/>
    </row>
    <row r="5289" spans="24:24" x14ac:dyDescent="0.35">
      <c r="X5289" s="8"/>
    </row>
    <row r="5290" spans="24:24" x14ac:dyDescent="0.35">
      <c r="X5290" s="8"/>
    </row>
    <row r="5291" spans="24:24" x14ac:dyDescent="0.35">
      <c r="X5291" s="8"/>
    </row>
    <row r="5292" spans="24:24" x14ac:dyDescent="0.35">
      <c r="X5292" s="8"/>
    </row>
    <row r="5293" spans="24:24" x14ac:dyDescent="0.35">
      <c r="X5293" s="8"/>
    </row>
    <row r="5294" spans="24:24" x14ac:dyDescent="0.35">
      <c r="X5294" s="8"/>
    </row>
    <row r="5295" spans="24:24" x14ac:dyDescent="0.35">
      <c r="X5295" s="8"/>
    </row>
    <row r="5296" spans="24:24" x14ac:dyDescent="0.35">
      <c r="X5296" s="8"/>
    </row>
    <row r="5297" spans="24:24" x14ac:dyDescent="0.35">
      <c r="X5297" s="8"/>
    </row>
    <row r="5298" spans="24:24" x14ac:dyDescent="0.35">
      <c r="X5298" s="8"/>
    </row>
    <row r="5299" spans="24:24" x14ac:dyDescent="0.35">
      <c r="X5299" s="8"/>
    </row>
    <row r="5300" spans="24:24" x14ac:dyDescent="0.35">
      <c r="X5300" s="8"/>
    </row>
    <row r="5301" spans="24:24" x14ac:dyDescent="0.35">
      <c r="X5301" s="8"/>
    </row>
    <row r="5302" spans="24:24" x14ac:dyDescent="0.35">
      <c r="X5302" s="8"/>
    </row>
    <row r="5303" spans="24:24" x14ac:dyDescent="0.35">
      <c r="X5303" s="8"/>
    </row>
    <row r="5304" spans="24:24" x14ac:dyDescent="0.35">
      <c r="X5304" s="8"/>
    </row>
    <row r="5305" spans="24:24" x14ac:dyDescent="0.35">
      <c r="X5305" s="8"/>
    </row>
    <row r="5306" spans="24:24" x14ac:dyDescent="0.35">
      <c r="X5306" s="8"/>
    </row>
    <row r="5307" spans="24:24" x14ac:dyDescent="0.35">
      <c r="X5307" s="8"/>
    </row>
    <row r="5308" spans="24:24" x14ac:dyDescent="0.35">
      <c r="X5308" s="8"/>
    </row>
    <row r="5309" spans="24:24" x14ac:dyDescent="0.35">
      <c r="X5309" s="8"/>
    </row>
    <row r="5310" spans="24:24" x14ac:dyDescent="0.35">
      <c r="X5310" s="8"/>
    </row>
    <row r="5311" spans="24:24" x14ac:dyDescent="0.35">
      <c r="X5311" s="8"/>
    </row>
    <row r="5312" spans="24:24" x14ac:dyDescent="0.35">
      <c r="X5312" s="8"/>
    </row>
    <row r="5313" spans="24:24" x14ac:dyDescent="0.35">
      <c r="X5313" s="8"/>
    </row>
    <row r="5314" spans="24:24" x14ac:dyDescent="0.35">
      <c r="X5314" s="8"/>
    </row>
    <row r="5315" spans="24:24" x14ac:dyDescent="0.35">
      <c r="X5315" s="8"/>
    </row>
    <row r="5316" spans="24:24" x14ac:dyDescent="0.35">
      <c r="X5316" s="8"/>
    </row>
    <row r="5317" spans="24:24" x14ac:dyDescent="0.35">
      <c r="X5317" s="8"/>
    </row>
    <row r="5318" spans="24:24" x14ac:dyDescent="0.35">
      <c r="X5318" s="8"/>
    </row>
    <row r="5319" spans="24:24" x14ac:dyDescent="0.35">
      <c r="X5319" s="8"/>
    </row>
    <row r="5320" spans="24:24" x14ac:dyDescent="0.35">
      <c r="X5320" s="8"/>
    </row>
    <row r="5321" spans="24:24" x14ac:dyDescent="0.35">
      <c r="X5321" s="8"/>
    </row>
    <row r="5322" spans="24:24" x14ac:dyDescent="0.35">
      <c r="X5322" s="8"/>
    </row>
    <row r="5323" spans="24:24" x14ac:dyDescent="0.35">
      <c r="X5323" s="8"/>
    </row>
    <row r="5324" spans="24:24" x14ac:dyDescent="0.35">
      <c r="X5324" s="8"/>
    </row>
    <row r="5325" spans="24:24" x14ac:dyDescent="0.35">
      <c r="X5325" s="8"/>
    </row>
    <row r="5326" spans="24:24" x14ac:dyDescent="0.35">
      <c r="X5326" s="8"/>
    </row>
    <row r="5327" spans="24:24" x14ac:dyDescent="0.35">
      <c r="X5327" s="8"/>
    </row>
    <row r="5328" spans="24:24" x14ac:dyDescent="0.35">
      <c r="X5328" s="8"/>
    </row>
    <row r="5329" spans="24:24" x14ac:dyDescent="0.35">
      <c r="X5329" s="8"/>
    </row>
    <row r="5330" spans="24:24" x14ac:dyDescent="0.35">
      <c r="X5330" s="8"/>
    </row>
    <row r="5331" spans="24:24" x14ac:dyDescent="0.35">
      <c r="X5331" s="8"/>
    </row>
    <row r="5332" spans="24:24" x14ac:dyDescent="0.35">
      <c r="X5332" s="8"/>
    </row>
    <row r="5333" spans="24:24" x14ac:dyDescent="0.35">
      <c r="X5333" s="8"/>
    </row>
    <row r="5334" spans="24:24" x14ac:dyDescent="0.35">
      <c r="X5334" s="8"/>
    </row>
    <row r="5335" spans="24:24" x14ac:dyDescent="0.35">
      <c r="X5335" s="8"/>
    </row>
    <row r="5336" spans="24:24" x14ac:dyDescent="0.35">
      <c r="X5336" s="8"/>
    </row>
    <row r="5337" spans="24:24" x14ac:dyDescent="0.35">
      <c r="X5337" s="8"/>
    </row>
    <row r="5338" spans="24:24" x14ac:dyDescent="0.35">
      <c r="X5338" s="8"/>
    </row>
    <row r="5339" spans="24:24" x14ac:dyDescent="0.35">
      <c r="X5339" s="8"/>
    </row>
    <row r="5340" spans="24:24" x14ac:dyDescent="0.35">
      <c r="X5340" s="8"/>
    </row>
    <row r="5341" spans="24:24" x14ac:dyDescent="0.35">
      <c r="X5341" s="8"/>
    </row>
    <row r="5342" spans="24:24" x14ac:dyDescent="0.35">
      <c r="X5342" s="8"/>
    </row>
    <row r="5343" spans="24:24" x14ac:dyDescent="0.35">
      <c r="X5343" s="8"/>
    </row>
    <row r="5344" spans="24:24" x14ac:dyDescent="0.35">
      <c r="X5344" s="8"/>
    </row>
    <row r="5345" spans="24:24" x14ac:dyDescent="0.35">
      <c r="X5345" s="8"/>
    </row>
    <row r="5346" spans="24:24" x14ac:dyDescent="0.35">
      <c r="X5346" s="8"/>
    </row>
    <row r="5347" spans="24:24" x14ac:dyDescent="0.35">
      <c r="X5347" s="8"/>
    </row>
    <row r="5348" spans="24:24" x14ac:dyDescent="0.35">
      <c r="X5348" s="8"/>
    </row>
    <row r="5349" spans="24:24" x14ac:dyDescent="0.35">
      <c r="X5349" s="8"/>
    </row>
    <row r="5350" spans="24:24" x14ac:dyDescent="0.35">
      <c r="X5350" s="8"/>
    </row>
    <row r="5351" spans="24:24" x14ac:dyDescent="0.35">
      <c r="X5351" s="8"/>
    </row>
    <row r="5352" spans="24:24" x14ac:dyDescent="0.35">
      <c r="X5352" s="8"/>
    </row>
    <row r="5353" spans="24:24" x14ac:dyDescent="0.35">
      <c r="X5353" s="8"/>
    </row>
    <row r="5354" spans="24:24" x14ac:dyDescent="0.35">
      <c r="X5354" s="8"/>
    </row>
    <row r="5355" spans="24:24" x14ac:dyDescent="0.35">
      <c r="X5355" s="8"/>
    </row>
    <row r="5356" spans="24:24" x14ac:dyDescent="0.35">
      <c r="X5356" s="8"/>
    </row>
    <row r="5357" spans="24:24" x14ac:dyDescent="0.35">
      <c r="X5357" s="8"/>
    </row>
    <row r="5358" spans="24:24" x14ac:dyDescent="0.35">
      <c r="X5358" s="8"/>
    </row>
    <row r="5359" spans="24:24" x14ac:dyDescent="0.35">
      <c r="X5359" s="8"/>
    </row>
    <row r="5360" spans="24:24" x14ac:dyDescent="0.35">
      <c r="X5360" s="8"/>
    </row>
    <row r="5361" spans="24:24" x14ac:dyDescent="0.35">
      <c r="X5361" s="8"/>
    </row>
    <row r="5362" spans="24:24" x14ac:dyDescent="0.35">
      <c r="X5362" s="8"/>
    </row>
    <row r="5363" spans="24:24" x14ac:dyDescent="0.35">
      <c r="X5363" s="8"/>
    </row>
    <row r="5364" spans="24:24" x14ac:dyDescent="0.35">
      <c r="X5364" s="8"/>
    </row>
    <row r="5365" spans="24:24" x14ac:dyDescent="0.35">
      <c r="X5365" s="8"/>
    </row>
    <row r="5366" spans="24:24" x14ac:dyDescent="0.35">
      <c r="X5366" s="8"/>
    </row>
    <row r="5367" spans="24:24" x14ac:dyDescent="0.35">
      <c r="X5367" s="8"/>
    </row>
    <row r="5368" spans="24:24" x14ac:dyDescent="0.35">
      <c r="X5368" s="8"/>
    </row>
    <row r="5369" spans="24:24" x14ac:dyDescent="0.35">
      <c r="X5369" s="8"/>
    </row>
    <row r="5370" spans="24:24" x14ac:dyDescent="0.35">
      <c r="X5370" s="8"/>
    </row>
    <row r="5371" spans="24:24" x14ac:dyDescent="0.35">
      <c r="X5371" s="8"/>
    </row>
    <row r="5372" spans="24:24" x14ac:dyDescent="0.35">
      <c r="X5372" s="8"/>
    </row>
    <row r="5373" spans="24:24" x14ac:dyDescent="0.35">
      <c r="X5373" s="8"/>
    </row>
    <row r="5374" spans="24:24" x14ac:dyDescent="0.35">
      <c r="X5374" s="8"/>
    </row>
    <row r="5375" spans="24:24" x14ac:dyDescent="0.35">
      <c r="X5375" s="8"/>
    </row>
    <row r="5376" spans="24:24" x14ac:dyDescent="0.35">
      <c r="X5376" s="8"/>
    </row>
    <row r="5377" spans="24:24" x14ac:dyDescent="0.35">
      <c r="X5377" s="8"/>
    </row>
    <row r="5378" spans="24:24" x14ac:dyDescent="0.35">
      <c r="X5378" s="8"/>
    </row>
    <row r="5379" spans="24:24" x14ac:dyDescent="0.35">
      <c r="X5379" s="8"/>
    </row>
    <row r="5380" spans="24:24" x14ac:dyDescent="0.35">
      <c r="X5380" s="8"/>
    </row>
    <row r="5381" spans="24:24" x14ac:dyDescent="0.35">
      <c r="X5381" s="8"/>
    </row>
    <row r="5382" spans="24:24" x14ac:dyDescent="0.35">
      <c r="X5382" s="8"/>
    </row>
    <row r="5383" spans="24:24" x14ac:dyDescent="0.35">
      <c r="X5383" s="8"/>
    </row>
    <row r="5384" spans="24:24" x14ac:dyDescent="0.35">
      <c r="X5384" s="8"/>
    </row>
    <row r="5385" spans="24:24" x14ac:dyDescent="0.35">
      <c r="X5385" s="8"/>
    </row>
    <row r="5386" spans="24:24" x14ac:dyDescent="0.35">
      <c r="X5386" s="8"/>
    </row>
    <row r="5387" spans="24:24" x14ac:dyDescent="0.35">
      <c r="X5387" s="8"/>
    </row>
    <row r="5388" spans="24:24" x14ac:dyDescent="0.35">
      <c r="X5388" s="8"/>
    </row>
    <row r="5389" spans="24:24" x14ac:dyDescent="0.35">
      <c r="X5389" s="8"/>
    </row>
    <row r="5390" spans="24:24" x14ac:dyDescent="0.35">
      <c r="X5390" s="8"/>
    </row>
    <row r="5391" spans="24:24" x14ac:dyDescent="0.35">
      <c r="X5391" s="8"/>
    </row>
    <row r="5392" spans="24:24" x14ac:dyDescent="0.35">
      <c r="X5392" s="8"/>
    </row>
    <row r="5393" spans="24:24" x14ac:dyDescent="0.35">
      <c r="X5393" s="8"/>
    </row>
    <row r="5394" spans="24:24" x14ac:dyDescent="0.35">
      <c r="X5394" s="8"/>
    </row>
    <row r="5395" spans="24:24" x14ac:dyDescent="0.35">
      <c r="X5395" s="8"/>
    </row>
    <row r="5396" spans="24:24" x14ac:dyDescent="0.35">
      <c r="X5396" s="8"/>
    </row>
    <row r="5397" spans="24:24" x14ac:dyDescent="0.35">
      <c r="X5397" s="8"/>
    </row>
    <row r="5398" spans="24:24" x14ac:dyDescent="0.35">
      <c r="X5398" s="8"/>
    </row>
    <row r="5399" spans="24:24" x14ac:dyDescent="0.35">
      <c r="X5399" s="8"/>
    </row>
    <row r="5400" spans="24:24" x14ac:dyDescent="0.35">
      <c r="X5400" s="8"/>
    </row>
    <row r="5401" spans="24:24" x14ac:dyDescent="0.35">
      <c r="X5401" s="8"/>
    </row>
    <row r="5402" spans="24:24" x14ac:dyDescent="0.35">
      <c r="X5402" s="8"/>
    </row>
    <row r="5403" spans="24:24" x14ac:dyDescent="0.35">
      <c r="X5403" s="8"/>
    </row>
    <row r="5404" spans="24:24" x14ac:dyDescent="0.35">
      <c r="X5404" s="8"/>
    </row>
    <row r="5405" spans="24:24" x14ac:dyDescent="0.35">
      <c r="X5405" s="8"/>
    </row>
    <row r="5406" spans="24:24" x14ac:dyDescent="0.35">
      <c r="X5406" s="8"/>
    </row>
    <row r="5407" spans="24:24" x14ac:dyDescent="0.35">
      <c r="X5407" s="8"/>
    </row>
    <row r="5408" spans="24:24" x14ac:dyDescent="0.35">
      <c r="X5408" s="8"/>
    </row>
    <row r="5409" spans="24:24" x14ac:dyDescent="0.35">
      <c r="X5409" s="8"/>
    </row>
    <row r="5410" spans="24:24" x14ac:dyDescent="0.35">
      <c r="X5410" s="8"/>
    </row>
    <row r="5411" spans="24:24" x14ac:dyDescent="0.35">
      <c r="X5411" s="8"/>
    </row>
    <row r="5412" spans="24:24" x14ac:dyDescent="0.35">
      <c r="X5412" s="8"/>
    </row>
    <row r="5413" spans="24:24" x14ac:dyDescent="0.35">
      <c r="X5413" s="8"/>
    </row>
    <row r="5414" spans="24:24" x14ac:dyDescent="0.35">
      <c r="X5414" s="8"/>
    </row>
    <row r="5415" spans="24:24" x14ac:dyDescent="0.35">
      <c r="X5415" s="8"/>
    </row>
    <row r="5416" spans="24:24" x14ac:dyDescent="0.35">
      <c r="X5416" s="8"/>
    </row>
    <row r="5417" spans="24:24" x14ac:dyDescent="0.35">
      <c r="X5417" s="8"/>
    </row>
    <row r="5418" spans="24:24" x14ac:dyDescent="0.35">
      <c r="X5418" s="8"/>
    </row>
    <row r="5419" spans="24:24" x14ac:dyDescent="0.35">
      <c r="X5419" s="8"/>
    </row>
    <row r="5420" spans="24:24" x14ac:dyDescent="0.35">
      <c r="X5420" s="8"/>
    </row>
    <row r="5421" spans="24:24" x14ac:dyDescent="0.35">
      <c r="X5421" s="8"/>
    </row>
    <row r="5422" spans="24:24" x14ac:dyDescent="0.35">
      <c r="X5422" s="8"/>
    </row>
    <row r="5423" spans="24:24" x14ac:dyDescent="0.35">
      <c r="X5423" s="8"/>
    </row>
    <row r="5424" spans="24:24" x14ac:dyDescent="0.35">
      <c r="X5424" s="8"/>
    </row>
    <row r="5425" spans="24:24" x14ac:dyDescent="0.35">
      <c r="X5425" s="8"/>
    </row>
    <row r="5426" spans="24:24" x14ac:dyDescent="0.35">
      <c r="X5426" s="8"/>
    </row>
    <row r="5427" spans="24:24" x14ac:dyDescent="0.35">
      <c r="X5427" s="8"/>
    </row>
    <row r="5428" spans="24:24" x14ac:dyDescent="0.35">
      <c r="X5428" s="8"/>
    </row>
    <row r="5429" spans="24:24" x14ac:dyDescent="0.35">
      <c r="X5429" s="8"/>
    </row>
    <row r="5430" spans="24:24" x14ac:dyDescent="0.35">
      <c r="X5430" s="8"/>
    </row>
    <row r="5431" spans="24:24" x14ac:dyDescent="0.35">
      <c r="X5431" s="8"/>
    </row>
    <row r="5432" spans="24:24" x14ac:dyDescent="0.35">
      <c r="X5432" s="8"/>
    </row>
    <row r="5433" spans="24:24" x14ac:dyDescent="0.35">
      <c r="X5433" s="8"/>
    </row>
    <row r="5434" spans="24:24" x14ac:dyDescent="0.35">
      <c r="X5434" s="8"/>
    </row>
    <row r="5435" spans="24:24" x14ac:dyDescent="0.35">
      <c r="X5435" s="8"/>
    </row>
    <row r="5436" spans="24:24" x14ac:dyDescent="0.35">
      <c r="X5436" s="8"/>
    </row>
    <row r="5437" spans="24:24" x14ac:dyDescent="0.35">
      <c r="X5437" s="8"/>
    </row>
    <row r="5438" spans="24:24" x14ac:dyDescent="0.35">
      <c r="X5438" s="8"/>
    </row>
    <row r="5439" spans="24:24" x14ac:dyDescent="0.35">
      <c r="X5439" s="8"/>
    </row>
    <row r="5440" spans="24:24" x14ac:dyDescent="0.35">
      <c r="X5440" s="8"/>
    </row>
    <row r="5441" spans="24:24" x14ac:dyDescent="0.35">
      <c r="X5441" s="8"/>
    </row>
    <row r="5442" spans="24:24" x14ac:dyDescent="0.35">
      <c r="X5442" s="8"/>
    </row>
    <row r="5443" spans="24:24" x14ac:dyDescent="0.35">
      <c r="X5443" s="8"/>
    </row>
    <row r="5444" spans="24:24" x14ac:dyDescent="0.35">
      <c r="X5444" s="8"/>
    </row>
    <row r="5445" spans="24:24" x14ac:dyDescent="0.35">
      <c r="X5445" s="8"/>
    </row>
    <row r="5446" spans="24:24" x14ac:dyDescent="0.35">
      <c r="X5446" s="8"/>
    </row>
    <row r="5447" spans="24:24" x14ac:dyDescent="0.35">
      <c r="X5447" s="8"/>
    </row>
    <row r="5448" spans="24:24" x14ac:dyDescent="0.35">
      <c r="X5448" s="8"/>
    </row>
    <row r="5449" spans="24:24" x14ac:dyDescent="0.35">
      <c r="X5449" s="8"/>
    </row>
    <row r="5450" spans="24:24" x14ac:dyDescent="0.35">
      <c r="X5450" s="8"/>
    </row>
    <row r="5451" spans="24:24" x14ac:dyDescent="0.35">
      <c r="X5451" s="8"/>
    </row>
    <row r="5452" spans="24:24" x14ac:dyDescent="0.35">
      <c r="X5452" s="8"/>
    </row>
    <row r="5453" spans="24:24" x14ac:dyDescent="0.35">
      <c r="X5453" s="8"/>
    </row>
    <row r="5454" spans="24:24" x14ac:dyDescent="0.35">
      <c r="X5454" s="8"/>
    </row>
    <row r="5455" spans="24:24" x14ac:dyDescent="0.35">
      <c r="X5455" s="8"/>
    </row>
    <row r="5456" spans="24:24" x14ac:dyDescent="0.35">
      <c r="X5456" s="8"/>
    </row>
    <row r="5457" spans="24:24" x14ac:dyDescent="0.35">
      <c r="X5457" s="8"/>
    </row>
    <row r="5458" spans="24:24" x14ac:dyDescent="0.35">
      <c r="X5458" s="8"/>
    </row>
    <row r="5459" spans="24:24" x14ac:dyDescent="0.35">
      <c r="X5459" s="8"/>
    </row>
    <row r="5460" spans="24:24" x14ac:dyDescent="0.35">
      <c r="X5460" s="8"/>
    </row>
    <row r="5461" spans="24:24" x14ac:dyDescent="0.35">
      <c r="X5461" s="8"/>
    </row>
    <row r="5462" spans="24:24" x14ac:dyDescent="0.35">
      <c r="X5462" s="8"/>
    </row>
    <row r="5463" spans="24:24" x14ac:dyDescent="0.35">
      <c r="X5463" s="8"/>
    </row>
    <row r="5464" spans="24:24" x14ac:dyDescent="0.35">
      <c r="X5464" s="8"/>
    </row>
    <row r="5465" spans="24:24" x14ac:dyDescent="0.35">
      <c r="X5465" s="8"/>
    </row>
    <row r="5466" spans="24:24" x14ac:dyDescent="0.35">
      <c r="X5466" s="8"/>
    </row>
    <row r="5467" spans="24:24" x14ac:dyDescent="0.35">
      <c r="X5467" s="8"/>
    </row>
    <row r="5468" spans="24:24" x14ac:dyDescent="0.35">
      <c r="X5468" s="8"/>
    </row>
    <row r="5469" spans="24:24" x14ac:dyDescent="0.35">
      <c r="X5469" s="8"/>
    </row>
    <row r="5470" spans="24:24" x14ac:dyDescent="0.35">
      <c r="X5470" s="8"/>
    </row>
    <row r="5471" spans="24:24" x14ac:dyDescent="0.35">
      <c r="X5471" s="8"/>
    </row>
    <row r="5472" spans="24:24" x14ac:dyDescent="0.35">
      <c r="X5472" s="8"/>
    </row>
    <row r="5473" spans="24:24" x14ac:dyDescent="0.35">
      <c r="X5473" s="8"/>
    </row>
    <row r="5474" spans="24:24" x14ac:dyDescent="0.35">
      <c r="X5474" s="8"/>
    </row>
    <row r="5475" spans="24:24" x14ac:dyDescent="0.35">
      <c r="X5475" s="8"/>
    </row>
    <row r="5476" spans="24:24" x14ac:dyDescent="0.35">
      <c r="X5476" s="8"/>
    </row>
    <row r="5477" spans="24:24" x14ac:dyDescent="0.35">
      <c r="X5477" s="8"/>
    </row>
    <row r="5478" spans="24:24" x14ac:dyDescent="0.35">
      <c r="X5478" s="8"/>
    </row>
    <row r="5479" spans="24:24" x14ac:dyDescent="0.35">
      <c r="X5479" s="8"/>
    </row>
    <row r="5480" spans="24:24" x14ac:dyDescent="0.35">
      <c r="X5480" s="8"/>
    </row>
    <row r="5481" spans="24:24" x14ac:dyDescent="0.35">
      <c r="X5481" s="8"/>
    </row>
    <row r="5482" spans="24:24" x14ac:dyDescent="0.35">
      <c r="X5482" s="8"/>
    </row>
    <row r="5483" spans="24:24" x14ac:dyDescent="0.35">
      <c r="X5483" s="8"/>
    </row>
    <row r="5484" spans="24:24" x14ac:dyDescent="0.35">
      <c r="X5484" s="8"/>
    </row>
    <row r="5485" spans="24:24" x14ac:dyDescent="0.35">
      <c r="X5485" s="8"/>
    </row>
    <row r="5486" spans="24:24" x14ac:dyDescent="0.35">
      <c r="X5486" s="8"/>
    </row>
    <row r="5487" spans="24:24" x14ac:dyDescent="0.35">
      <c r="X5487" s="8"/>
    </row>
    <row r="5488" spans="24:24" x14ac:dyDescent="0.35">
      <c r="X5488" s="8"/>
    </row>
    <row r="5489" spans="24:24" x14ac:dyDescent="0.35">
      <c r="X5489" s="8"/>
    </row>
    <row r="5490" spans="24:24" x14ac:dyDescent="0.35">
      <c r="X5490" s="8"/>
    </row>
    <row r="5491" spans="24:24" x14ac:dyDescent="0.35">
      <c r="X5491" s="8"/>
    </row>
    <row r="5492" spans="24:24" x14ac:dyDescent="0.35">
      <c r="X5492" s="8"/>
    </row>
    <row r="5493" spans="24:24" x14ac:dyDescent="0.35">
      <c r="X5493" s="8"/>
    </row>
    <row r="5494" spans="24:24" x14ac:dyDescent="0.35">
      <c r="X5494" s="8"/>
    </row>
    <row r="5495" spans="24:24" x14ac:dyDescent="0.35">
      <c r="X5495" s="8"/>
    </row>
    <row r="5496" spans="24:24" x14ac:dyDescent="0.35">
      <c r="X5496" s="8"/>
    </row>
    <row r="5497" spans="24:24" x14ac:dyDescent="0.35">
      <c r="X5497" s="8"/>
    </row>
    <row r="5498" spans="24:24" x14ac:dyDescent="0.35">
      <c r="X5498" s="8"/>
    </row>
    <row r="5499" spans="24:24" x14ac:dyDescent="0.35">
      <c r="X5499" s="8"/>
    </row>
    <row r="5500" spans="24:24" x14ac:dyDescent="0.35">
      <c r="X5500" s="8"/>
    </row>
    <row r="5501" spans="24:24" x14ac:dyDescent="0.35">
      <c r="X5501" s="8"/>
    </row>
    <row r="5502" spans="24:24" x14ac:dyDescent="0.35">
      <c r="X5502" s="8"/>
    </row>
    <row r="5503" spans="24:24" x14ac:dyDescent="0.35">
      <c r="X5503" s="8"/>
    </row>
    <row r="5504" spans="24:24" x14ac:dyDescent="0.35">
      <c r="X5504" s="8"/>
    </row>
    <row r="5505" spans="24:24" x14ac:dyDescent="0.35">
      <c r="X5505" s="8"/>
    </row>
    <row r="5506" spans="24:24" x14ac:dyDescent="0.35">
      <c r="X5506" s="8"/>
    </row>
    <row r="5507" spans="24:24" x14ac:dyDescent="0.35">
      <c r="X5507" s="8"/>
    </row>
    <row r="5508" spans="24:24" x14ac:dyDescent="0.35">
      <c r="X5508" s="8"/>
    </row>
    <row r="5509" spans="24:24" x14ac:dyDescent="0.35">
      <c r="X5509" s="8"/>
    </row>
    <row r="5510" spans="24:24" x14ac:dyDescent="0.35">
      <c r="X5510" s="8"/>
    </row>
    <row r="5511" spans="24:24" x14ac:dyDescent="0.35">
      <c r="X5511" s="8"/>
    </row>
    <row r="5512" spans="24:24" x14ac:dyDescent="0.35">
      <c r="X5512" s="8"/>
    </row>
    <row r="5513" spans="24:24" x14ac:dyDescent="0.35">
      <c r="X5513" s="8"/>
    </row>
    <row r="5514" spans="24:24" x14ac:dyDescent="0.35">
      <c r="X5514" s="8"/>
    </row>
    <row r="5515" spans="24:24" x14ac:dyDescent="0.35">
      <c r="X5515" s="8"/>
    </row>
    <row r="5516" spans="24:24" x14ac:dyDescent="0.35">
      <c r="X5516" s="8"/>
    </row>
    <row r="5517" spans="24:24" x14ac:dyDescent="0.35">
      <c r="X5517" s="8"/>
    </row>
    <row r="5518" spans="24:24" x14ac:dyDescent="0.35">
      <c r="X5518" s="8"/>
    </row>
    <row r="5519" spans="24:24" x14ac:dyDescent="0.35">
      <c r="X5519" s="8"/>
    </row>
    <row r="5520" spans="24:24" x14ac:dyDescent="0.35">
      <c r="X5520" s="8"/>
    </row>
    <row r="5521" spans="24:24" x14ac:dyDescent="0.35">
      <c r="X5521" s="8"/>
    </row>
    <row r="5522" spans="24:24" x14ac:dyDescent="0.35">
      <c r="X5522" s="8"/>
    </row>
    <row r="5523" spans="24:24" x14ac:dyDescent="0.35">
      <c r="X5523" s="8"/>
    </row>
    <row r="5524" spans="24:24" x14ac:dyDescent="0.35">
      <c r="X5524" s="8"/>
    </row>
    <row r="5525" spans="24:24" x14ac:dyDescent="0.35">
      <c r="X5525" s="8"/>
    </row>
    <row r="5526" spans="24:24" x14ac:dyDescent="0.35">
      <c r="X5526" s="8"/>
    </row>
    <row r="5527" spans="24:24" x14ac:dyDescent="0.35">
      <c r="X5527" s="8"/>
    </row>
    <row r="5528" spans="24:24" x14ac:dyDescent="0.35">
      <c r="X5528" s="8"/>
    </row>
    <row r="5529" spans="24:24" x14ac:dyDescent="0.35">
      <c r="X5529" s="8"/>
    </row>
    <row r="5530" spans="24:24" x14ac:dyDescent="0.35">
      <c r="X5530" s="8"/>
    </row>
    <row r="5531" spans="24:24" x14ac:dyDescent="0.35">
      <c r="X5531" s="8"/>
    </row>
    <row r="5532" spans="24:24" x14ac:dyDescent="0.35">
      <c r="X5532" s="8"/>
    </row>
    <row r="5533" spans="24:24" x14ac:dyDescent="0.35">
      <c r="X5533" s="8"/>
    </row>
    <row r="5534" spans="24:24" x14ac:dyDescent="0.35">
      <c r="X5534" s="8"/>
    </row>
    <row r="5535" spans="24:24" x14ac:dyDescent="0.35">
      <c r="X5535" s="8"/>
    </row>
    <row r="5536" spans="24:24" x14ac:dyDescent="0.35">
      <c r="X5536" s="8"/>
    </row>
    <row r="5537" spans="24:24" x14ac:dyDescent="0.35">
      <c r="X5537" s="8"/>
    </row>
    <row r="5538" spans="24:24" x14ac:dyDescent="0.35">
      <c r="X5538" s="8"/>
    </row>
    <row r="5539" spans="24:24" x14ac:dyDescent="0.35">
      <c r="X5539" s="8"/>
    </row>
    <row r="5540" spans="24:24" x14ac:dyDescent="0.35">
      <c r="X5540" s="8"/>
    </row>
    <row r="5541" spans="24:24" x14ac:dyDescent="0.35">
      <c r="X5541" s="8"/>
    </row>
    <row r="5542" spans="24:24" x14ac:dyDescent="0.35">
      <c r="X5542" s="8"/>
    </row>
    <row r="5543" spans="24:24" x14ac:dyDescent="0.35">
      <c r="X5543" s="8"/>
    </row>
    <row r="5544" spans="24:24" x14ac:dyDescent="0.35">
      <c r="X5544" s="8"/>
    </row>
    <row r="5545" spans="24:24" x14ac:dyDescent="0.35">
      <c r="X5545" s="8"/>
    </row>
    <row r="5546" spans="24:24" x14ac:dyDescent="0.35">
      <c r="X5546" s="8"/>
    </row>
    <row r="5547" spans="24:24" x14ac:dyDescent="0.35">
      <c r="X5547" s="8"/>
    </row>
    <row r="5548" spans="24:24" x14ac:dyDescent="0.35">
      <c r="X5548" s="8"/>
    </row>
    <row r="5549" spans="24:24" x14ac:dyDescent="0.35">
      <c r="X5549" s="8"/>
    </row>
    <row r="5550" spans="24:24" x14ac:dyDescent="0.35">
      <c r="X5550" s="8"/>
    </row>
    <row r="5551" spans="24:24" x14ac:dyDescent="0.35">
      <c r="X5551" s="8"/>
    </row>
    <row r="5552" spans="24:24" x14ac:dyDescent="0.35">
      <c r="X5552" s="8"/>
    </row>
    <row r="5553" spans="24:24" x14ac:dyDescent="0.35">
      <c r="X5553" s="8"/>
    </row>
    <row r="5554" spans="24:24" x14ac:dyDescent="0.35">
      <c r="X5554" s="8"/>
    </row>
    <row r="5555" spans="24:24" x14ac:dyDescent="0.35">
      <c r="X5555" s="8"/>
    </row>
    <row r="5556" spans="24:24" x14ac:dyDescent="0.35">
      <c r="X5556" s="8"/>
    </row>
    <row r="5557" spans="24:24" x14ac:dyDescent="0.35">
      <c r="X5557" s="8"/>
    </row>
    <row r="5558" spans="24:24" x14ac:dyDescent="0.35">
      <c r="X5558" s="8"/>
    </row>
    <row r="5559" spans="24:24" x14ac:dyDescent="0.35">
      <c r="X5559" s="8"/>
    </row>
    <row r="5560" spans="24:24" x14ac:dyDescent="0.35">
      <c r="X5560" s="8"/>
    </row>
    <row r="5561" spans="24:24" x14ac:dyDescent="0.35">
      <c r="X5561" s="8"/>
    </row>
    <row r="5562" spans="24:24" x14ac:dyDescent="0.35">
      <c r="X5562" s="8"/>
    </row>
    <row r="5563" spans="24:24" x14ac:dyDescent="0.35">
      <c r="X5563" s="8"/>
    </row>
    <row r="5564" spans="24:24" x14ac:dyDescent="0.35">
      <c r="X5564" s="8"/>
    </row>
    <row r="5565" spans="24:24" x14ac:dyDescent="0.35">
      <c r="X5565" s="8"/>
    </row>
    <row r="5566" spans="24:24" x14ac:dyDescent="0.35">
      <c r="X5566" s="8"/>
    </row>
    <row r="5567" spans="24:24" x14ac:dyDescent="0.35">
      <c r="X5567" s="8"/>
    </row>
    <row r="5568" spans="24:24" x14ac:dyDescent="0.35">
      <c r="X5568" s="8"/>
    </row>
    <row r="5569" spans="24:24" x14ac:dyDescent="0.35">
      <c r="X5569" s="8"/>
    </row>
    <row r="5570" spans="24:24" x14ac:dyDescent="0.35">
      <c r="X5570" s="8"/>
    </row>
    <row r="5571" spans="24:24" x14ac:dyDescent="0.35">
      <c r="X5571" s="8"/>
    </row>
    <row r="5572" spans="24:24" x14ac:dyDescent="0.35">
      <c r="X5572" s="8"/>
    </row>
    <row r="5573" spans="24:24" x14ac:dyDescent="0.35">
      <c r="X5573" s="8"/>
    </row>
    <row r="5574" spans="24:24" x14ac:dyDescent="0.35">
      <c r="X5574" s="8"/>
    </row>
    <row r="5575" spans="24:24" x14ac:dyDescent="0.35">
      <c r="X5575" s="8"/>
    </row>
    <row r="5576" spans="24:24" x14ac:dyDescent="0.35">
      <c r="X5576" s="8"/>
    </row>
    <row r="5577" spans="24:24" x14ac:dyDescent="0.35">
      <c r="X5577" s="8"/>
    </row>
    <row r="5578" spans="24:24" x14ac:dyDescent="0.35">
      <c r="X5578" s="8"/>
    </row>
    <row r="5579" spans="24:24" x14ac:dyDescent="0.35">
      <c r="X5579" s="8"/>
    </row>
    <row r="5580" spans="24:24" x14ac:dyDescent="0.35">
      <c r="X5580" s="8"/>
    </row>
    <row r="5581" spans="24:24" x14ac:dyDescent="0.35">
      <c r="X5581" s="8"/>
    </row>
    <row r="5582" spans="24:24" x14ac:dyDescent="0.35">
      <c r="X5582" s="8"/>
    </row>
    <row r="5583" spans="24:24" x14ac:dyDescent="0.35">
      <c r="X5583" s="8"/>
    </row>
    <row r="5584" spans="24:24" x14ac:dyDescent="0.35">
      <c r="X5584" s="8"/>
    </row>
    <row r="5585" spans="24:24" x14ac:dyDescent="0.35">
      <c r="X5585" s="8"/>
    </row>
    <row r="5586" spans="24:24" x14ac:dyDescent="0.35">
      <c r="X5586" s="8"/>
    </row>
    <row r="5587" spans="24:24" x14ac:dyDescent="0.35">
      <c r="X5587" s="8"/>
    </row>
    <row r="5588" spans="24:24" x14ac:dyDescent="0.35">
      <c r="X5588" s="8"/>
    </row>
    <row r="5589" spans="24:24" x14ac:dyDescent="0.35">
      <c r="X5589" s="8"/>
    </row>
    <row r="5590" spans="24:24" x14ac:dyDescent="0.35">
      <c r="X5590" s="8"/>
    </row>
    <row r="5591" spans="24:24" x14ac:dyDescent="0.35">
      <c r="X5591" s="8"/>
    </row>
    <row r="5592" spans="24:24" x14ac:dyDescent="0.35">
      <c r="X5592" s="8"/>
    </row>
    <row r="5593" spans="24:24" x14ac:dyDescent="0.35">
      <c r="X5593" s="8"/>
    </row>
    <row r="5594" spans="24:24" x14ac:dyDescent="0.35">
      <c r="X5594" s="8"/>
    </row>
    <row r="5595" spans="24:24" x14ac:dyDescent="0.35">
      <c r="X5595" s="8"/>
    </row>
    <row r="5596" spans="24:24" x14ac:dyDescent="0.35">
      <c r="X5596" s="8"/>
    </row>
    <row r="5597" spans="24:24" x14ac:dyDescent="0.35">
      <c r="X5597" s="8"/>
    </row>
    <row r="5598" spans="24:24" x14ac:dyDescent="0.35">
      <c r="X5598" s="8"/>
    </row>
    <row r="5599" spans="24:24" x14ac:dyDescent="0.35">
      <c r="X5599" s="8"/>
    </row>
    <row r="5600" spans="24:24" x14ac:dyDescent="0.35">
      <c r="X5600" s="8"/>
    </row>
    <row r="5601" spans="24:24" x14ac:dyDescent="0.35">
      <c r="X5601" s="8"/>
    </row>
    <row r="5602" spans="24:24" x14ac:dyDescent="0.35">
      <c r="X5602" s="8"/>
    </row>
    <row r="5603" spans="24:24" x14ac:dyDescent="0.35">
      <c r="X5603" s="8"/>
    </row>
    <row r="5604" spans="24:24" x14ac:dyDescent="0.35">
      <c r="X5604" s="8"/>
    </row>
    <row r="5605" spans="24:24" x14ac:dyDescent="0.35">
      <c r="X5605" s="8"/>
    </row>
    <row r="5606" spans="24:24" x14ac:dyDescent="0.35">
      <c r="X5606" s="8"/>
    </row>
    <row r="5607" spans="24:24" x14ac:dyDescent="0.35">
      <c r="X5607" s="8"/>
    </row>
    <row r="5608" spans="24:24" x14ac:dyDescent="0.35">
      <c r="X5608" s="8"/>
    </row>
    <row r="5609" spans="24:24" x14ac:dyDescent="0.35">
      <c r="X5609" s="8"/>
    </row>
    <row r="5610" spans="24:24" x14ac:dyDescent="0.35">
      <c r="X5610" s="8"/>
    </row>
    <row r="5611" spans="24:24" x14ac:dyDescent="0.35">
      <c r="X5611" s="8"/>
    </row>
    <row r="5612" spans="24:24" x14ac:dyDescent="0.35">
      <c r="X5612" s="8"/>
    </row>
    <row r="5613" spans="24:24" x14ac:dyDescent="0.35">
      <c r="X5613" s="8"/>
    </row>
    <row r="5614" spans="24:24" x14ac:dyDescent="0.35">
      <c r="X5614" s="8"/>
    </row>
    <row r="5615" spans="24:24" x14ac:dyDescent="0.35">
      <c r="X5615" s="8"/>
    </row>
    <row r="5616" spans="24:24" x14ac:dyDescent="0.35">
      <c r="X5616" s="8"/>
    </row>
    <row r="5617" spans="24:24" x14ac:dyDescent="0.35">
      <c r="X5617" s="8"/>
    </row>
    <row r="5618" spans="24:24" x14ac:dyDescent="0.35">
      <c r="X5618" s="8"/>
    </row>
    <row r="5619" spans="24:24" x14ac:dyDescent="0.35">
      <c r="X5619" s="8"/>
    </row>
    <row r="5620" spans="24:24" x14ac:dyDescent="0.35">
      <c r="X5620" s="8"/>
    </row>
    <row r="5621" spans="24:24" x14ac:dyDescent="0.35">
      <c r="X5621" s="8"/>
    </row>
    <row r="5622" spans="24:24" x14ac:dyDescent="0.35">
      <c r="X5622" s="8"/>
    </row>
    <row r="5623" spans="24:24" x14ac:dyDescent="0.35">
      <c r="X5623" s="8"/>
    </row>
    <row r="5624" spans="24:24" x14ac:dyDescent="0.35">
      <c r="X5624" s="8"/>
    </row>
    <row r="5625" spans="24:24" x14ac:dyDescent="0.35">
      <c r="X5625" s="8"/>
    </row>
    <row r="5626" spans="24:24" x14ac:dyDescent="0.35">
      <c r="X5626" s="8"/>
    </row>
    <row r="5627" spans="24:24" x14ac:dyDescent="0.35">
      <c r="X5627" s="8"/>
    </row>
    <row r="5628" spans="24:24" x14ac:dyDescent="0.35">
      <c r="X5628" s="8"/>
    </row>
    <row r="5629" spans="24:24" x14ac:dyDescent="0.35">
      <c r="X5629" s="8"/>
    </row>
    <row r="5630" spans="24:24" x14ac:dyDescent="0.35">
      <c r="X5630" s="8"/>
    </row>
    <row r="5631" spans="24:24" x14ac:dyDescent="0.35">
      <c r="X5631" s="8"/>
    </row>
    <row r="5632" spans="24:24" x14ac:dyDescent="0.35">
      <c r="X5632" s="8"/>
    </row>
    <row r="5633" spans="24:24" x14ac:dyDescent="0.35">
      <c r="X5633" s="8"/>
    </row>
    <row r="5634" spans="24:24" x14ac:dyDescent="0.35">
      <c r="X5634" s="8"/>
    </row>
    <row r="5635" spans="24:24" x14ac:dyDescent="0.35">
      <c r="X5635" s="8"/>
    </row>
    <row r="5636" spans="24:24" x14ac:dyDescent="0.35">
      <c r="X5636" s="8"/>
    </row>
    <row r="5637" spans="24:24" x14ac:dyDescent="0.35">
      <c r="X5637" s="8"/>
    </row>
    <row r="5638" spans="24:24" x14ac:dyDescent="0.35">
      <c r="X5638" s="8"/>
    </row>
    <row r="5639" spans="24:24" x14ac:dyDescent="0.35">
      <c r="X5639" s="8"/>
    </row>
    <row r="5640" spans="24:24" x14ac:dyDescent="0.35">
      <c r="X5640" s="8"/>
    </row>
    <row r="5641" spans="24:24" x14ac:dyDescent="0.35">
      <c r="X5641" s="8"/>
    </row>
    <row r="5642" spans="24:24" x14ac:dyDescent="0.35">
      <c r="X5642" s="8"/>
    </row>
    <row r="5643" spans="24:24" x14ac:dyDescent="0.35">
      <c r="X5643" s="8"/>
    </row>
    <row r="5644" spans="24:24" x14ac:dyDescent="0.35">
      <c r="X5644" s="8"/>
    </row>
    <row r="5645" spans="24:24" x14ac:dyDescent="0.35">
      <c r="X5645" s="8"/>
    </row>
    <row r="5646" spans="24:24" x14ac:dyDescent="0.35">
      <c r="X5646" s="8"/>
    </row>
    <row r="5647" spans="24:24" x14ac:dyDescent="0.35">
      <c r="X5647" s="8"/>
    </row>
    <row r="5648" spans="24:24" x14ac:dyDescent="0.35">
      <c r="X5648" s="8"/>
    </row>
    <row r="5649" spans="24:24" x14ac:dyDescent="0.35">
      <c r="X5649" s="8"/>
    </row>
    <row r="5650" spans="24:24" x14ac:dyDescent="0.35">
      <c r="X5650" s="8"/>
    </row>
    <row r="5651" spans="24:24" x14ac:dyDescent="0.35">
      <c r="X5651" s="8"/>
    </row>
    <row r="5652" spans="24:24" x14ac:dyDescent="0.35">
      <c r="X5652" s="8"/>
    </row>
    <row r="5653" spans="24:24" x14ac:dyDescent="0.35">
      <c r="X5653" s="8"/>
    </row>
    <row r="5654" spans="24:24" x14ac:dyDescent="0.35">
      <c r="X5654" s="8"/>
    </row>
    <row r="5655" spans="24:24" x14ac:dyDescent="0.35">
      <c r="X5655" s="8"/>
    </row>
    <row r="5656" spans="24:24" x14ac:dyDescent="0.35">
      <c r="X5656" s="8"/>
    </row>
    <row r="5657" spans="24:24" x14ac:dyDescent="0.35">
      <c r="X5657" s="8"/>
    </row>
    <row r="5658" spans="24:24" x14ac:dyDescent="0.35">
      <c r="X5658" s="8"/>
    </row>
    <row r="5659" spans="24:24" x14ac:dyDescent="0.35">
      <c r="X5659" s="8"/>
    </row>
    <row r="5660" spans="24:24" x14ac:dyDescent="0.35">
      <c r="X5660" s="8"/>
    </row>
    <row r="5661" spans="24:24" x14ac:dyDescent="0.35">
      <c r="X5661" s="8"/>
    </row>
    <row r="5662" spans="24:24" x14ac:dyDescent="0.35">
      <c r="X5662" s="8"/>
    </row>
    <row r="5663" spans="24:24" x14ac:dyDescent="0.35">
      <c r="X5663" s="8"/>
    </row>
    <row r="5664" spans="24:24" x14ac:dyDescent="0.35">
      <c r="X5664" s="8"/>
    </row>
    <row r="5665" spans="24:24" x14ac:dyDescent="0.35">
      <c r="X5665" s="8"/>
    </row>
    <row r="5666" spans="24:24" x14ac:dyDescent="0.35">
      <c r="X5666" s="8"/>
    </row>
    <row r="5667" spans="24:24" x14ac:dyDescent="0.35">
      <c r="X5667" s="8"/>
    </row>
    <row r="5668" spans="24:24" x14ac:dyDescent="0.35">
      <c r="X5668" s="8"/>
    </row>
    <row r="5669" spans="24:24" x14ac:dyDescent="0.35">
      <c r="X5669" s="8"/>
    </row>
    <row r="5670" spans="24:24" x14ac:dyDescent="0.35">
      <c r="X5670" s="8"/>
    </row>
    <row r="5671" spans="24:24" x14ac:dyDescent="0.35">
      <c r="X5671" s="8"/>
    </row>
    <row r="5672" spans="24:24" x14ac:dyDescent="0.35">
      <c r="X5672" s="8"/>
    </row>
    <row r="5673" spans="24:24" x14ac:dyDescent="0.35">
      <c r="X5673" s="8"/>
    </row>
    <row r="5674" spans="24:24" x14ac:dyDescent="0.35">
      <c r="X5674" s="8"/>
    </row>
    <row r="5675" spans="24:24" x14ac:dyDescent="0.35">
      <c r="X5675" s="8"/>
    </row>
    <row r="5676" spans="24:24" x14ac:dyDescent="0.35">
      <c r="X5676" s="8"/>
    </row>
    <row r="5677" spans="24:24" x14ac:dyDescent="0.35">
      <c r="X5677" s="8"/>
    </row>
    <row r="5678" spans="24:24" x14ac:dyDescent="0.35">
      <c r="X5678" s="8"/>
    </row>
    <row r="5679" spans="24:24" x14ac:dyDescent="0.35">
      <c r="X5679" s="8"/>
    </row>
    <row r="5680" spans="24:24" x14ac:dyDescent="0.35">
      <c r="X5680" s="8"/>
    </row>
    <row r="5681" spans="24:24" x14ac:dyDescent="0.35">
      <c r="X5681" s="8"/>
    </row>
    <row r="5682" spans="24:24" x14ac:dyDescent="0.35">
      <c r="X5682" s="8"/>
    </row>
    <row r="5683" spans="24:24" x14ac:dyDescent="0.35">
      <c r="X5683" s="8"/>
    </row>
    <row r="5684" spans="24:24" x14ac:dyDescent="0.35">
      <c r="X5684" s="8"/>
    </row>
    <row r="5685" spans="24:24" x14ac:dyDescent="0.35">
      <c r="X5685" s="8"/>
    </row>
    <row r="5686" spans="24:24" x14ac:dyDescent="0.35">
      <c r="X5686" s="8"/>
    </row>
    <row r="5687" spans="24:24" x14ac:dyDescent="0.35">
      <c r="X5687" s="8"/>
    </row>
    <row r="5688" spans="24:24" x14ac:dyDescent="0.35">
      <c r="X5688" s="8"/>
    </row>
    <row r="5689" spans="24:24" x14ac:dyDescent="0.35">
      <c r="X5689" s="8"/>
    </row>
    <row r="5690" spans="24:24" x14ac:dyDescent="0.35">
      <c r="X5690" s="8"/>
    </row>
    <row r="5691" spans="24:24" x14ac:dyDescent="0.35">
      <c r="X5691" s="8"/>
    </row>
    <row r="5692" spans="24:24" x14ac:dyDescent="0.35">
      <c r="X5692" s="8"/>
    </row>
    <row r="5693" spans="24:24" x14ac:dyDescent="0.35">
      <c r="X5693" s="8"/>
    </row>
    <row r="5694" spans="24:24" x14ac:dyDescent="0.35">
      <c r="X5694" s="8"/>
    </row>
    <row r="5695" spans="24:24" x14ac:dyDescent="0.35">
      <c r="X5695" s="8"/>
    </row>
    <row r="5696" spans="24:24" x14ac:dyDescent="0.35">
      <c r="X5696" s="8"/>
    </row>
    <row r="5697" spans="24:24" x14ac:dyDescent="0.35">
      <c r="X5697" s="8"/>
    </row>
    <row r="5698" spans="24:24" x14ac:dyDescent="0.35">
      <c r="X5698" s="8"/>
    </row>
    <row r="5699" spans="24:24" x14ac:dyDescent="0.35">
      <c r="X5699" s="8"/>
    </row>
    <row r="5700" spans="24:24" x14ac:dyDescent="0.35">
      <c r="X5700" s="8"/>
    </row>
    <row r="5701" spans="24:24" x14ac:dyDescent="0.35">
      <c r="X5701" s="8"/>
    </row>
    <row r="5702" spans="24:24" x14ac:dyDescent="0.35">
      <c r="X5702" s="8"/>
    </row>
    <row r="5703" spans="24:24" x14ac:dyDescent="0.35">
      <c r="X5703" s="8"/>
    </row>
    <row r="5704" spans="24:24" x14ac:dyDescent="0.35">
      <c r="X5704" s="8"/>
    </row>
    <row r="5705" spans="24:24" x14ac:dyDescent="0.35">
      <c r="X5705" s="8"/>
    </row>
    <row r="5706" spans="24:24" x14ac:dyDescent="0.35">
      <c r="X5706" s="8"/>
    </row>
    <row r="5707" spans="24:24" x14ac:dyDescent="0.35">
      <c r="X5707" s="8"/>
    </row>
    <row r="5708" spans="24:24" x14ac:dyDescent="0.35">
      <c r="X5708" s="8"/>
    </row>
    <row r="5709" spans="24:24" x14ac:dyDescent="0.35">
      <c r="X5709" s="8"/>
    </row>
    <row r="5710" spans="24:24" x14ac:dyDescent="0.35">
      <c r="X5710" s="8"/>
    </row>
    <row r="5711" spans="24:24" x14ac:dyDescent="0.35">
      <c r="X5711" s="8"/>
    </row>
    <row r="5712" spans="24:24" x14ac:dyDescent="0.35">
      <c r="X5712" s="8"/>
    </row>
    <row r="5713" spans="24:24" x14ac:dyDescent="0.35">
      <c r="X5713" s="8"/>
    </row>
    <row r="5714" spans="24:24" x14ac:dyDescent="0.35">
      <c r="X5714" s="8"/>
    </row>
    <row r="5715" spans="24:24" x14ac:dyDescent="0.35">
      <c r="X5715" s="8"/>
    </row>
    <row r="5716" spans="24:24" x14ac:dyDescent="0.35">
      <c r="X5716" s="8"/>
    </row>
    <row r="5717" spans="24:24" x14ac:dyDescent="0.35">
      <c r="X5717" s="8"/>
    </row>
    <row r="5718" spans="24:24" x14ac:dyDescent="0.35">
      <c r="X5718" s="8"/>
    </row>
    <row r="5719" spans="24:24" x14ac:dyDescent="0.35">
      <c r="X5719" s="8"/>
    </row>
    <row r="5720" spans="24:24" x14ac:dyDescent="0.35">
      <c r="X5720" s="8"/>
    </row>
    <row r="5721" spans="24:24" x14ac:dyDescent="0.35">
      <c r="X5721" s="8"/>
    </row>
    <row r="5722" spans="24:24" x14ac:dyDescent="0.35">
      <c r="X5722" s="8"/>
    </row>
    <row r="5723" spans="24:24" x14ac:dyDescent="0.35">
      <c r="X5723" s="8"/>
    </row>
    <row r="5724" spans="24:24" x14ac:dyDescent="0.35">
      <c r="X5724" s="8"/>
    </row>
    <row r="5725" spans="24:24" x14ac:dyDescent="0.35">
      <c r="X5725" s="8"/>
    </row>
    <row r="5726" spans="24:24" x14ac:dyDescent="0.35">
      <c r="X5726" s="8"/>
    </row>
    <row r="5727" spans="24:24" x14ac:dyDescent="0.35">
      <c r="X5727" s="8"/>
    </row>
    <row r="5728" spans="24:24" x14ac:dyDescent="0.35">
      <c r="X5728" s="8"/>
    </row>
    <row r="5729" spans="24:24" x14ac:dyDescent="0.35">
      <c r="X5729" s="8"/>
    </row>
    <row r="5730" spans="24:24" x14ac:dyDescent="0.35">
      <c r="X5730" s="8"/>
    </row>
    <row r="5731" spans="24:24" x14ac:dyDescent="0.35">
      <c r="X5731" s="8"/>
    </row>
    <row r="5732" spans="24:24" x14ac:dyDescent="0.35">
      <c r="X5732" s="8"/>
    </row>
    <row r="5733" spans="24:24" x14ac:dyDescent="0.35">
      <c r="X5733" s="8"/>
    </row>
    <row r="5734" spans="24:24" x14ac:dyDescent="0.35">
      <c r="X5734" s="8"/>
    </row>
    <row r="5735" spans="24:24" x14ac:dyDescent="0.35">
      <c r="X5735" s="8"/>
    </row>
    <row r="5736" spans="24:24" x14ac:dyDescent="0.35">
      <c r="X5736" s="8"/>
    </row>
    <row r="5737" spans="24:24" x14ac:dyDescent="0.35">
      <c r="X5737" s="8"/>
    </row>
    <row r="5738" spans="24:24" x14ac:dyDescent="0.35">
      <c r="X5738" s="8"/>
    </row>
    <row r="5739" spans="24:24" x14ac:dyDescent="0.35">
      <c r="X5739" s="8"/>
    </row>
    <row r="5740" spans="24:24" x14ac:dyDescent="0.35">
      <c r="X5740" s="8"/>
    </row>
    <row r="5741" spans="24:24" x14ac:dyDescent="0.35">
      <c r="X5741" s="8"/>
    </row>
    <row r="5742" spans="24:24" x14ac:dyDescent="0.35">
      <c r="X5742" s="8"/>
    </row>
    <row r="5743" spans="24:24" x14ac:dyDescent="0.35">
      <c r="X5743" s="8"/>
    </row>
    <row r="5744" spans="24:24" x14ac:dyDescent="0.35">
      <c r="X5744" s="8"/>
    </row>
    <row r="5745" spans="24:24" x14ac:dyDescent="0.35">
      <c r="X5745" s="8"/>
    </row>
    <row r="5746" spans="24:24" x14ac:dyDescent="0.35">
      <c r="X5746" s="8"/>
    </row>
    <row r="5747" spans="24:24" x14ac:dyDescent="0.35">
      <c r="X5747" s="8"/>
    </row>
    <row r="5748" spans="24:24" x14ac:dyDescent="0.35">
      <c r="X5748" s="8"/>
    </row>
    <row r="5749" spans="24:24" x14ac:dyDescent="0.35">
      <c r="X5749" s="8"/>
    </row>
    <row r="5750" spans="24:24" x14ac:dyDescent="0.35">
      <c r="X5750" s="8"/>
    </row>
    <row r="5751" spans="24:24" x14ac:dyDescent="0.35">
      <c r="X5751" s="8"/>
    </row>
    <row r="5752" spans="24:24" x14ac:dyDescent="0.35">
      <c r="X5752" s="8"/>
    </row>
    <row r="5753" spans="24:24" x14ac:dyDescent="0.35">
      <c r="X5753" s="8"/>
    </row>
    <row r="5754" spans="24:24" x14ac:dyDescent="0.35">
      <c r="X5754" s="8"/>
    </row>
    <row r="5755" spans="24:24" x14ac:dyDescent="0.35">
      <c r="X5755" s="8"/>
    </row>
    <row r="5756" spans="24:24" x14ac:dyDescent="0.35">
      <c r="X5756" s="8"/>
    </row>
    <row r="5757" spans="24:24" x14ac:dyDescent="0.35">
      <c r="X5757" s="8"/>
    </row>
    <row r="5758" spans="24:24" x14ac:dyDescent="0.35">
      <c r="X5758" s="8"/>
    </row>
    <row r="5759" spans="24:24" x14ac:dyDescent="0.35">
      <c r="X5759" s="8"/>
    </row>
    <row r="5760" spans="24:24" x14ac:dyDescent="0.35">
      <c r="X5760" s="8"/>
    </row>
    <row r="5761" spans="24:24" x14ac:dyDescent="0.35">
      <c r="X5761" s="8"/>
    </row>
    <row r="5762" spans="24:24" x14ac:dyDescent="0.35">
      <c r="X5762" s="8"/>
    </row>
    <row r="5763" spans="24:24" x14ac:dyDescent="0.35">
      <c r="X5763" s="8"/>
    </row>
    <row r="5764" spans="24:24" x14ac:dyDescent="0.35">
      <c r="X5764" s="8"/>
    </row>
    <row r="5765" spans="24:24" x14ac:dyDescent="0.35">
      <c r="X5765" s="8"/>
    </row>
    <row r="5766" spans="24:24" x14ac:dyDescent="0.35">
      <c r="X5766" s="8"/>
    </row>
    <row r="5767" spans="24:24" x14ac:dyDescent="0.35">
      <c r="X5767" s="8"/>
    </row>
    <row r="5768" spans="24:24" x14ac:dyDescent="0.35">
      <c r="X5768" s="8"/>
    </row>
    <row r="5769" spans="24:24" x14ac:dyDescent="0.35">
      <c r="X5769" s="8"/>
    </row>
    <row r="5770" spans="24:24" x14ac:dyDescent="0.35">
      <c r="X5770" s="8"/>
    </row>
    <row r="5771" spans="24:24" x14ac:dyDescent="0.35">
      <c r="X5771" s="8"/>
    </row>
    <row r="5772" spans="24:24" x14ac:dyDescent="0.35">
      <c r="X5772" s="8"/>
    </row>
    <row r="5773" spans="24:24" x14ac:dyDescent="0.35">
      <c r="X5773" s="8"/>
    </row>
    <row r="5774" spans="24:24" x14ac:dyDescent="0.35">
      <c r="X5774" s="8"/>
    </row>
    <row r="5775" spans="24:24" x14ac:dyDescent="0.35">
      <c r="X5775" s="8"/>
    </row>
    <row r="5776" spans="24:24" x14ac:dyDescent="0.35">
      <c r="X5776" s="8"/>
    </row>
    <row r="5777" spans="24:24" x14ac:dyDescent="0.35">
      <c r="X5777" s="8"/>
    </row>
    <row r="5778" spans="24:24" x14ac:dyDescent="0.35">
      <c r="X5778" s="8"/>
    </row>
    <row r="5779" spans="24:24" x14ac:dyDescent="0.35">
      <c r="X5779" s="8"/>
    </row>
    <row r="5780" spans="24:24" x14ac:dyDescent="0.35">
      <c r="X5780" s="8"/>
    </row>
    <row r="5781" spans="24:24" x14ac:dyDescent="0.35">
      <c r="X5781" s="8"/>
    </row>
    <row r="5782" spans="24:24" x14ac:dyDescent="0.35">
      <c r="X5782" s="8"/>
    </row>
    <row r="5783" spans="24:24" x14ac:dyDescent="0.35">
      <c r="X5783" s="8"/>
    </row>
    <row r="5784" spans="24:24" x14ac:dyDescent="0.35">
      <c r="X5784" s="8"/>
    </row>
    <row r="5785" spans="24:24" x14ac:dyDescent="0.35">
      <c r="X5785" s="8"/>
    </row>
    <row r="5786" spans="24:24" x14ac:dyDescent="0.35">
      <c r="X5786" s="8"/>
    </row>
    <row r="5787" spans="24:24" x14ac:dyDescent="0.35">
      <c r="X5787" s="8"/>
    </row>
    <row r="5788" spans="24:24" x14ac:dyDescent="0.35">
      <c r="X5788" s="8"/>
    </row>
    <row r="5789" spans="24:24" x14ac:dyDescent="0.35">
      <c r="X5789" s="8"/>
    </row>
    <row r="5790" spans="24:24" x14ac:dyDescent="0.35">
      <c r="X5790" s="8"/>
    </row>
    <row r="5791" spans="24:24" x14ac:dyDescent="0.35">
      <c r="X5791" s="8"/>
    </row>
    <row r="5792" spans="24:24" x14ac:dyDescent="0.35">
      <c r="X5792" s="8"/>
    </row>
    <row r="5793" spans="24:24" x14ac:dyDescent="0.35">
      <c r="X5793" s="8"/>
    </row>
    <row r="5794" spans="24:24" x14ac:dyDescent="0.35">
      <c r="X5794" s="8"/>
    </row>
    <row r="5795" spans="24:24" x14ac:dyDescent="0.35">
      <c r="X5795" s="8"/>
    </row>
    <row r="5796" spans="24:24" x14ac:dyDescent="0.35">
      <c r="X5796" s="8"/>
    </row>
    <row r="5797" spans="24:24" x14ac:dyDescent="0.35">
      <c r="X5797" s="8"/>
    </row>
    <row r="5798" spans="24:24" x14ac:dyDescent="0.35">
      <c r="X5798" s="8"/>
    </row>
    <row r="5799" spans="24:24" x14ac:dyDescent="0.35">
      <c r="X5799" s="8"/>
    </row>
    <row r="5800" spans="24:24" x14ac:dyDescent="0.35">
      <c r="X5800" s="8"/>
    </row>
    <row r="5801" spans="24:24" x14ac:dyDescent="0.35">
      <c r="X5801" s="8"/>
    </row>
    <row r="5802" spans="24:24" x14ac:dyDescent="0.35">
      <c r="X5802" s="8"/>
    </row>
    <row r="5803" spans="24:24" x14ac:dyDescent="0.35">
      <c r="X5803" s="8"/>
    </row>
    <row r="5804" spans="24:24" x14ac:dyDescent="0.35">
      <c r="X5804" s="8"/>
    </row>
    <row r="5805" spans="24:24" x14ac:dyDescent="0.35">
      <c r="X5805" s="8"/>
    </row>
    <row r="5806" spans="24:24" x14ac:dyDescent="0.35">
      <c r="X5806" s="8"/>
    </row>
    <row r="5807" spans="24:24" x14ac:dyDescent="0.35">
      <c r="X5807" s="8"/>
    </row>
    <row r="5808" spans="24:24" x14ac:dyDescent="0.35">
      <c r="X5808" s="8"/>
    </row>
    <row r="5809" spans="24:24" x14ac:dyDescent="0.35">
      <c r="X5809" s="8"/>
    </row>
    <row r="5810" spans="24:24" x14ac:dyDescent="0.35">
      <c r="X5810" s="8"/>
    </row>
    <row r="5811" spans="24:24" x14ac:dyDescent="0.35">
      <c r="X5811" s="8"/>
    </row>
    <row r="5812" spans="24:24" x14ac:dyDescent="0.35">
      <c r="X5812" s="8"/>
    </row>
    <row r="5813" spans="24:24" x14ac:dyDescent="0.35">
      <c r="X5813" s="8"/>
    </row>
    <row r="5814" spans="24:24" x14ac:dyDescent="0.35">
      <c r="X5814" s="8"/>
    </row>
    <row r="5815" spans="24:24" x14ac:dyDescent="0.35">
      <c r="X5815" s="8"/>
    </row>
    <row r="5816" spans="24:24" x14ac:dyDescent="0.35">
      <c r="X5816" s="8"/>
    </row>
    <row r="5817" spans="24:24" x14ac:dyDescent="0.35">
      <c r="X5817" s="8"/>
    </row>
    <row r="5818" spans="24:24" x14ac:dyDescent="0.35">
      <c r="X5818" s="8"/>
    </row>
    <row r="5819" spans="24:24" x14ac:dyDescent="0.35">
      <c r="X5819" s="8"/>
    </row>
    <row r="5820" spans="24:24" x14ac:dyDescent="0.35">
      <c r="X5820" s="8"/>
    </row>
    <row r="5821" spans="24:24" x14ac:dyDescent="0.35">
      <c r="X5821" s="8"/>
    </row>
    <row r="5822" spans="24:24" x14ac:dyDescent="0.35">
      <c r="X5822" s="8"/>
    </row>
    <row r="5823" spans="24:24" x14ac:dyDescent="0.35">
      <c r="X5823" s="8"/>
    </row>
    <row r="5824" spans="24:24" x14ac:dyDescent="0.35">
      <c r="X5824" s="8"/>
    </row>
    <row r="5825" spans="24:24" x14ac:dyDescent="0.35">
      <c r="X5825" s="8"/>
    </row>
    <row r="5826" spans="24:24" x14ac:dyDescent="0.35">
      <c r="X5826" s="8"/>
    </row>
    <row r="5827" spans="24:24" x14ac:dyDescent="0.35">
      <c r="X5827" s="8"/>
    </row>
    <row r="5828" spans="24:24" x14ac:dyDescent="0.35">
      <c r="X5828" s="8"/>
    </row>
    <row r="5829" spans="24:24" x14ac:dyDescent="0.35">
      <c r="X5829" s="8"/>
    </row>
    <row r="5830" spans="24:24" x14ac:dyDescent="0.35">
      <c r="X5830" s="8"/>
    </row>
    <row r="5831" spans="24:24" x14ac:dyDescent="0.35">
      <c r="X5831" s="8"/>
    </row>
    <row r="5832" spans="24:24" x14ac:dyDescent="0.35">
      <c r="X5832" s="8"/>
    </row>
    <row r="5833" spans="24:24" x14ac:dyDescent="0.35">
      <c r="X5833" s="8"/>
    </row>
    <row r="5834" spans="24:24" x14ac:dyDescent="0.35">
      <c r="X5834" s="8"/>
    </row>
    <row r="5835" spans="24:24" x14ac:dyDescent="0.35">
      <c r="X5835" s="8"/>
    </row>
    <row r="5836" spans="24:24" x14ac:dyDescent="0.35">
      <c r="X5836" s="8"/>
    </row>
    <row r="5837" spans="24:24" x14ac:dyDescent="0.35">
      <c r="X5837" s="8"/>
    </row>
    <row r="5838" spans="24:24" x14ac:dyDescent="0.35">
      <c r="X5838" s="8"/>
    </row>
    <row r="5839" spans="24:24" x14ac:dyDescent="0.35">
      <c r="X5839" s="8"/>
    </row>
    <row r="5840" spans="24:24" x14ac:dyDescent="0.35">
      <c r="X5840" s="8"/>
    </row>
    <row r="5841" spans="24:24" x14ac:dyDescent="0.35">
      <c r="X5841" s="8"/>
    </row>
    <row r="5842" spans="24:24" x14ac:dyDescent="0.35">
      <c r="X5842" s="8"/>
    </row>
    <row r="5843" spans="24:24" x14ac:dyDescent="0.35">
      <c r="X5843" s="8"/>
    </row>
    <row r="5844" spans="24:24" x14ac:dyDescent="0.35">
      <c r="X5844" s="8"/>
    </row>
    <row r="5845" spans="24:24" x14ac:dyDescent="0.35">
      <c r="X5845" s="8"/>
    </row>
    <row r="5846" spans="24:24" x14ac:dyDescent="0.35">
      <c r="X5846" s="8"/>
    </row>
    <row r="5847" spans="24:24" x14ac:dyDescent="0.35">
      <c r="X5847" s="8"/>
    </row>
    <row r="5848" spans="24:24" x14ac:dyDescent="0.35">
      <c r="X5848" s="8"/>
    </row>
    <row r="5849" spans="24:24" x14ac:dyDescent="0.35">
      <c r="X5849" s="8"/>
    </row>
    <row r="5850" spans="24:24" x14ac:dyDescent="0.35">
      <c r="X5850" s="8"/>
    </row>
    <row r="5851" spans="24:24" x14ac:dyDescent="0.35">
      <c r="X5851" s="8"/>
    </row>
    <row r="5852" spans="24:24" x14ac:dyDescent="0.35">
      <c r="X5852" s="8"/>
    </row>
    <row r="5853" spans="24:24" x14ac:dyDescent="0.35">
      <c r="X5853" s="8"/>
    </row>
    <row r="5854" spans="24:24" x14ac:dyDescent="0.35">
      <c r="X5854" s="8"/>
    </row>
    <row r="5855" spans="24:24" x14ac:dyDescent="0.35">
      <c r="X5855" s="8"/>
    </row>
    <row r="5856" spans="24:24" x14ac:dyDescent="0.35">
      <c r="X5856" s="8"/>
    </row>
    <row r="5857" spans="24:24" x14ac:dyDescent="0.35">
      <c r="X5857" s="8"/>
    </row>
    <row r="5858" spans="24:24" x14ac:dyDescent="0.35">
      <c r="X5858" s="8"/>
    </row>
    <row r="5859" spans="24:24" x14ac:dyDescent="0.35">
      <c r="X5859" s="8"/>
    </row>
    <row r="5860" spans="24:24" x14ac:dyDescent="0.35">
      <c r="X5860" s="8"/>
    </row>
    <row r="5861" spans="24:24" x14ac:dyDescent="0.35">
      <c r="X5861" s="8"/>
    </row>
    <row r="5862" spans="24:24" x14ac:dyDescent="0.35">
      <c r="X5862" s="8"/>
    </row>
    <row r="5863" spans="24:24" x14ac:dyDescent="0.35">
      <c r="X5863" s="8"/>
    </row>
    <row r="5864" spans="24:24" x14ac:dyDescent="0.35">
      <c r="X5864" s="8"/>
    </row>
    <row r="5865" spans="24:24" x14ac:dyDescent="0.35">
      <c r="X5865" s="8"/>
    </row>
    <row r="5866" spans="24:24" x14ac:dyDescent="0.35">
      <c r="X5866" s="8"/>
    </row>
    <row r="5867" spans="24:24" x14ac:dyDescent="0.35">
      <c r="X5867" s="8"/>
    </row>
    <row r="5868" spans="24:24" x14ac:dyDescent="0.35">
      <c r="X5868" s="8"/>
    </row>
    <row r="5869" spans="24:24" x14ac:dyDescent="0.35">
      <c r="X5869" s="8"/>
    </row>
    <row r="5870" spans="24:24" x14ac:dyDescent="0.35">
      <c r="X5870" s="8"/>
    </row>
    <row r="5871" spans="24:24" x14ac:dyDescent="0.35">
      <c r="X5871" s="8"/>
    </row>
    <row r="5872" spans="24:24" x14ac:dyDescent="0.35">
      <c r="X5872" s="8"/>
    </row>
    <row r="5873" spans="24:24" x14ac:dyDescent="0.35">
      <c r="X5873" s="8"/>
    </row>
    <row r="5874" spans="24:24" x14ac:dyDescent="0.35">
      <c r="X5874" s="8"/>
    </row>
    <row r="5875" spans="24:24" x14ac:dyDescent="0.35">
      <c r="X5875" s="8"/>
    </row>
    <row r="5876" spans="24:24" x14ac:dyDescent="0.35">
      <c r="X5876" s="8"/>
    </row>
    <row r="5877" spans="24:24" x14ac:dyDescent="0.35">
      <c r="X5877" s="8"/>
    </row>
    <row r="5878" spans="24:24" x14ac:dyDescent="0.35">
      <c r="X5878" s="8"/>
    </row>
    <row r="5879" spans="24:24" x14ac:dyDescent="0.35">
      <c r="X5879" s="8"/>
    </row>
    <row r="5880" spans="24:24" x14ac:dyDescent="0.35">
      <c r="X5880" s="8"/>
    </row>
    <row r="5881" spans="24:24" x14ac:dyDescent="0.35">
      <c r="X5881" s="8"/>
    </row>
    <row r="5882" spans="24:24" x14ac:dyDescent="0.35">
      <c r="X5882" s="8"/>
    </row>
    <row r="5883" spans="24:24" x14ac:dyDescent="0.35">
      <c r="X5883" s="8"/>
    </row>
    <row r="5884" spans="24:24" x14ac:dyDescent="0.35">
      <c r="X5884" s="8"/>
    </row>
    <row r="5885" spans="24:24" x14ac:dyDescent="0.35">
      <c r="X5885" s="8"/>
    </row>
    <row r="5886" spans="24:24" x14ac:dyDescent="0.35">
      <c r="X5886" s="8"/>
    </row>
    <row r="5887" spans="24:24" x14ac:dyDescent="0.35">
      <c r="X5887" s="8"/>
    </row>
    <row r="5888" spans="24:24" x14ac:dyDescent="0.35">
      <c r="X5888" s="8"/>
    </row>
    <row r="5889" spans="24:24" x14ac:dyDescent="0.35">
      <c r="X5889" s="8"/>
    </row>
    <row r="5890" spans="24:24" x14ac:dyDescent="0.35">
      <c r="X5890" s="8"/>
    </row>
    <row r="5891" spans="24:24" x14ac:dyDescent="0.35">
      <c r="X5891" s="8"/>
    </row>
    <row r="5892" spans="24:24" x14ac:dyDescent="0.35">
      <c r="X5892" s="8"/>
    </row>
    <row r="5893" spans="24:24" x14ac:dyDescent="0.35">
      <c r="X5893" s="8"/>
    </row>
    <row r="5894" spans="24:24" x14ac:dyDescent="0.35">
      <c r="X5894" s="8"/>
    </row>
    <row r="5895" spans="24:24" x14ac:dyDescent="0.35">
      <c r="X5895" s="8"/>
    </row>
    <row r="5896" spans="24:24" x14ac:dyDescent="0.35">
      <c r="X5896" s="8"/>
    </row>
    <row r="5897" spans="24:24" x14ac:dyDescent="0.35">
      <c r="X5897" s="8"/>
    </row>
    <row r="5898" spans="24:24" x14ac:dyDescent="0.35">
      <c r="X5898" s="8"/>
    </row>
    <row r="5899" spans="24:24" x14ac:dyDescent="0.35">
      <c r="X5899" s="8"/>
    </row>
    <row r="5900" spans="24:24" x14ac:dyDescent="0.35">
      <c r="X5900" s="8"/>
    </row>
    <row r="5901" spans="24:24" x14ac:dyDescent="0.35">
      <c r="X5901" s="8"/>
    </row>
    <row r="5902" spans="24:24" x14ac:dyDescent="0.35">
      <c r="X5902" s="8"/>
    </row>
    <row r="5903" spans="24:24" x14ac:dyDescent="0.35">
      <c r="X5903" s="8"/>
    </row>
    <row r="5904" spans="24:24" x14ac:dyDescent="0.35">
      <c r="X5904" s="8"/>
    </row>
    <row r="5905" spans="24:24" x14ac:dyDescent="0.35">
      <c r="X5905" s="8"/>
    </row>
    <row r="5906" spans="24:24" x14ac:dyDescent="0.35">
      <c r="X5906" s="8"/>
    </row>
    <row r="5907" spans="24:24" x14ac:dyDescent="0.35">
      <c r="X5907" s="8"/>
    </row>
    <row r="5908" spans="24:24" x14ac:dyDescent="0.35">
      <c r="X5908" s="8"/>
    </row>
    <row r="5909" spans="24:24" x14ac:dyDescent="0.35">
      <c r="X5909" s="8"/>
    </row>
    <row r="5910" spans="24:24" x14ac:dyDescent="0.35">
      <c r="X5910" s="8"/>
    </row>
    <row r="5911" spans="24:24" x14ac:dyDescent="0.35">
      <c r="X5911" s="8"/>
    </row>
    <row r="5912" spans="24:24" x14ac:dyDescent="0.35">
      <c r="X5912" s="8"/>
    </row>
    <row r="5913" spans="24:24" x14ac:dyDescent="0.35">
      <c r="X5913" s="8"/>
    </row>
    <row r="5914" spans="24:24" x14ac:dyDescent="0.35">
      <c r="X5914" s="8"/>
    </row>
    <row r="5915" spans="24:24" x14ac:dyDescent="0.35">
      <c r="X5915" s="8"/>
    </row>
    <row r="5916" spans="24:24" x14ac:dyDescent="0.35">
      <c r="X5916" s="8"/>
    </row>
    <row r="5917" spans="24:24" x14ac:dyDescent="0.35">
      <c r="X5917" s="8"/>
    </row>
    <row r="5918" spans="24:24" x14ac:dyDescent="0.35">
      <c r="X5918" s="8"/>
    </row>
    <row r="5919" spans="24:24" x14ac:dyDescent="0.35">
      <c r="X5919" s="8"/>
    </row>
    <row r="5920" spans="24:24" x14ac:dyDescent="0.35">
      <c r="X5920" s="8"/>
    </row>
    <row r="5921" spans="24:24" x14ac:dyDescent="0.35">
      <c r="X5921" s="8"/>
    </row>
    <row r="5922" spans="24:24" x14ac:dyDescent="0.35">
      <c r="X5922" s="8"/>
    </row>
    <row r="5923" spans="24:24" x14ac:dyDescent="0.35">
      <c r="X5923" s="8"/>
    </row>
    <row r="5924" spans="24:24" x14ac:dyDescent="0.35">
      <c r="X5924" s="8"/>
    </row>
    <row r="5925" spans="24:24" x14ac:dyDescent="0.35">
      <c r="X5925" s="8"/>
    </row>
    <row r="5926" spans="24:24" x14ac:dyDescent="0.35">
      <c r="X5926" s="8"/>
    </row>
    <row r="5927" spans="24:24" x14ac:dyDescent="0.35">
      <c r="X5927" s="8"/>
    </row>
    <row r="5928" spans="24:24" x14ac:dyDescent="0.35">
      <c r="X5928" s="8"/>
    </row>
    <row r="5929" spans="24:24" x14ac:dyDescent="0.35">
      <c r="X5929" s="8"/>
    </row>
    <row r="5930" spans="24:24" x14ac:dyDescent="0.35">
      <c r="X5930" s="8"/>
    </row>
    <row r="5931" spans="24:24" x14ac:dyDescent="0.35">
      <c r="X5931" s="8"/>
    </row>
    <row r="5932" spans="24:24" x14ac:dyDescent="0.35">
      <c r="X5932" s="8"/>
    </row>
    <row r="5933" spans="24:24" x14ac:dyDescent="0.35">
      <c r="X5933" s="8"/>
    </row>
    <row r="5934" spans="24:24" x14ac:dyDescent="0.35">
      <c r="X5934" s="8"/>
    </row>
    <row r="5935" spans="24:24" x14ac:dyDescent="0.35">
      <c r="X5935" s="8"/>
    </row>
    <row r="5936" spans="24:24" x14ac:dyDescent="0.35">
      <c r="X5936" s="8"/>
    </row>
    <row r="5937" spans="24:24" x14ac:dyDescent="0.35">
      <c r="X5937" s="8"/>
    </row>
    <row r="5938" spans="24:24" x14ac:dyDescent="0.35">
      <c r="X5938" s="8"/>
    </row>
    <row r="5939" spans="24:24" x14ac:dyDescent="0.35">
      <c r="X5939" s="8"/>
    </row>
    <row r="5940" spans="24:24" x14ac:dyDescent="0.35">
      <c r="X5940" s="8"/>
    </row>
    <row r="5941" spans="24:24" x14ac:dyDescent="0.35">
      <c r="X5941" s="8"/>
    </row>
    <row r="5942" spans="24:24" x14ac:dyDescent="0.35">
      <c r="X5942" s="8"/>
    </row>
    <row r="5943" spans="24:24" x14ac:dyDescent="0.35">
      <c r="X5943" s="8"/>
    </row>
    <row r="5944" spans="24:24" x14ac:dyDescent="0.35">
      <c r="X5944" s="8"/>
    </row>
    <row r="5945" spans="24:24" x14ac:dyDescent="0.35">
      <c r="X5945" s="8"/>
    </row>
    <row r="5946" spans="24:24" x14ac:dyDescent="0.35">
      <c r="X5946" s="8"/>
    </row>
    <row r="5947" spans="24:24" x14ac:dyDescent="0.35">
      <c r="X5947" s="8"/>
    </row>
    <row r="5948" spans="24:24" x14ac:dyDescent="0.35">
      <c r="X5948" s="8"/>
    </row>
    <row r="5949" spans="24:24" x14ac:dyDescent="0.35">
      <c r="X5949" s="8"/>
    </row>
    <row r="5950" spans="24:24" x14ac:dyDescent="0.35">
      <c r="X5950" s="8"/>
    </row>
    <row r="5951" spans="24:24" x14ac:dyDescent="0.35">
      <c r="X5951" s="8"/>
    </row>
    <row r="5952" spans="24:24" x14ac:dyDescent="0.35">
      <c r="X5952" s="8"/>
    </row>
    <row r="5953" spans="24:24" x14ac:dyDescent="0.35">
      <c r="X5953" s="8"/>
    </row>
    <row r="5954" spans="24:24" x14ac:dyDescent="0.35">
      <c r="X5954" s="8"/>
    </row>
    <row r="5955" spans="24:24" x14ac:dyDescent="0.35">
      <c r="X5955" s="8"/>
    </row>
    <row r="5956" spans="24:24" x14ac:dyDescent="0.35">
      <c r="X5956" s="8"/>
    </row>
    <row r="5957" spans="24:24" x14ac:dyDescent="0.35">
      <c r="X5957" s="8"/>
    </row>
    <row r="5958" spans="24:24" x14ac:dyDescent="0.35">
      <c r="X5958" s="8"/>
    </row>
    <row r="5959" spans="24:24" x14ac:dyDescent="0.35">
      <c r="X5959" s="8"/>
    </row>
    <row r="5960" spans="24:24" x14ac:dyDescent="0.35">
      <c r="X5960" s="8"/>
    </row>
    <row r="5961" spans="24:24" x14ac:dyDescent="0.35">
      <c r="X5961" s="8"/>
    </row>
    <row r="5962" spans="24:24" x14ac:dyDescent="0.35">
      <c r="X5962" s="8"/>
    </row>
    <row r="5963" spans="24:24" x14ac:dyDescent="0.35">
      <c r="X5963" s="8"/>
    </row>
    <row r="5964" spans="24:24" x14ac:dyDescent="0.35">
      <c r="X5964" s="8"/>
    </row>
    <row r="5965" spans="24:24" x14ac:dyDescent="0.35">
      <c r="X5965" s="8"/>
    </row>
    <row r="5966" spans="24:24" x14ac:dyDescent="0.35">
      <c r="X5966" s="8"/>
    </row>
    <row r="5967" spans="24:24" x14ac:dyDescent="0.35">
      <c r="X5967" s="8"/>
    </row>
    <row r="5968" spans="24:24" x14ac:dyDescent="0.35">
      <c r="X5968" s="8"/>
    </row>
    <row r="5969" spans="24:24" x14ac:dyDescent="0.35">
      <c r="X5969" s="8"/>
    </row>
    <row r="5970" spans="24:24" x14ac:dyDescent="0.35">
      <c r="X5970" s="8"/>
    </row>
    <row r="5971" spans="24:24" x14ac:dyDescent="0.35">
      <c r="X5971" s="8"/>
    </row>
    <row r="5972" spans="24:24" x14ac:dyDescent="0.35">
      <c r="X5972" s="8"/>
    </row>
    <row r="5973" spans="24:24" x14ac:dyDescent="0.35">
      <c r="X5973" s="8"/>
    </row>
    <row r="5974" spans="24:24" x14ac:dyDescent="0.35">
      <c r="X5974" s="8"/>
    </row>
    <row r="5975" spans="24:24" x14ac:dyDescent="0.35">
      <c r="X5975" s="8"/>
    </row>
    <row r="5976" spans="24:24" x14ac:dyDescent="0.35">
      <c r="X5976" s="8"/>
    </row>
    <row r="5977" spans="24:24" x14ac:dyDescent="0.35">
      <c r="X5977" s="8"/>
    </row>
    <row r="5978" spans="24:24" x14ac:dyDescent="0.35">
      <c r="X5978" s="8"/>
    </row>
    <row r="5979" spans="24:24" x14ac:dyDescent="0.35">
      <c r="X5979" s="8"/>
    </row>
    <row r="5980" spans="24:24" x14ac:dyDescent="0.35">
      <c r="X5980" s="8"/>
    </row>
    <row r="5981" spans="24:24" x14ac:dyDescent="0.35">
      <c r="X5981" s="8"/>
    </row>
    <row r="5982" spans="24:24" x14ac:dyDescent="0.35">
      <c r="X5982" s="8"/>
    </row>
    <row r="5983" spans="24:24" x14ac:dyDescent="0.35">
      <c r="X5983" s="8"/>
    </row>
    <row r="5984" spans="24:24" x14ac:dyDescent="0.35">
      <c r="X5984" s="8"/>
    </row>
    <row r="5985" spans="24:24" x14ac:dyDescent="0.35">
      <c r="X5985" s="8"/>
    </row>
    <row r="5986" spans="24:24" x14ac:dyDescent="0.35">
      <c r="X5986" s="8"/>
    </row>
    <row r="5987" spans="24:24" x14ac:dyDescent="0.35">
      <c r="X5987" s="8"/>
    </row>
    <row r="5988" spans="24:24" x14ac:dyDescent="0.35">
      <c r="X5988" s="8"/>
    </row>
    <row r="5989" spans="24:24" x14ac:dyDescent="0.35">
      <c r="X5989" s="8"/>
    </row>
    <row r="5990" spans="24:24" x14ac:dyDescent="0.35">
      <c r="X5990" s="8"/>
    </row>
    <row r="5991" spans="24:24" x14ac:dyDescent="0.35">
      <c r="X5991" s="8"/>
    </row>
    <row r="5992" spans="24:24" x14ac:dyDescent="0.35">
      <c r="X5992" s="8"/>
    </row>
    <row r="5993" spans="24:24" x14ac:dyDescent="0.35">
      <c r="X5993" s="8"/>
    </row>
    <row r="5994" spans="24:24" x14ac:dyDescent="0.35">
      <c r="X5994" s="8"/>
    </row>
    <row r="5995" spans="24:24" x14ac:dyDescent="0.35">
      <c r="X5995" s="8"/>
    </row>
    <row r="5996" spans="24:24" x14ac:dyDescent="0.35">
      <c r="X5996" s="8"/>
    </row>
    <row r="5997" spans="24:24" x14ac:dyDescent="0.35">
      <c r="X5997" s="8"/>
    </row>
    <row r="5998" spans="24:24" x14ac:dyDescent="0.35">
      <c r="X5998" s="8"/>
    </row>
    <row r="5999" spans="24:24" x14ac:dyDescent="0.35">
      <c r="X5999" s="8"/>
    </row>
    <row r="6000" spans="24:24" x14ac:dyDescent="0.35">
      <c r="X6000" s="8"/>
    </row>
    <row r="6001" spans="24:24" x14ac:dyDescent="0.35">
      <c r="X6001" s="8"/>
    </row>
    <row r="6002" spans="24:24" x14ac:dyDescent="0.35">
      <c r="X6002" s="8"/>
    </row>
    <row r="6003" spans="24:24" x14ac:dyDescent="0.35">
      <c r="X6003" s="8"/>
    </row>
    <row r="6004" spans="24:24" x14ac:dyDescent="0.35">
      <c r="X6004" s="8"/>
    </row>
    <row r="6005" spans="24:24" x14ac:dyDescent="0.35">
      <c r="X6005" s="8"/>
    </row>
    <row r="6006" spans="24:24" x14ac:dyDescent="0.35">
      <c r="X6006" s="8"/>
    </row>
    <row r="6007" spans="24:24" x14ac:dyDescent="0.35">
      <c r="X6007" s="8"/>
    </row>
    <row r="6008" spans="24:24" x14ac:dyDescent="0.35">
      <c r="X6008" s="8"/>
    </row>
    <row r="6009" spans="24:24" x14ac:dyDescent="0.35">
      <c r="X6009" s="8"/>
    </row>
    <row r="6010" spans="24:24" x14ac:dyDescent="0.35">
      <c r="X6010" s="8"/>
    </row>
    <row r="6011" spans="24:24" x14ac:dyDescent="0.35">
      <c r="X6011" s="8"/>
    </row>
    <row r="6012" spans="24:24" x14ac:dyDescent="0.35">
      <c r="X6012" s="8"/>
    </row>
    <row r="6013" spans="24:24" x14ac:dyDescent="0.35">
      <c r="X6013" s="8"/>
    </row>
    <row r="6014" spans="24:24" x14ac:dyDescent="0.35">
      <c r="X6014" s="8"/>
    </row>
    <row r="6015" spans="24:24" x14ac:dyDescent="0.35">
      <c r="X6015" s="8"/>
    </row>
    <row r="6016" spans="24:24" x14ac:dyDescent="0.35">
      <c r="X6016" s="8"/>
    </row>
    <row r="6017" spans="24:24" x14ac:dyDescent="0.35">
      <c r="X6017" s="8"/>
    </row>
    <row r="6018" spans="24:24" x14ac:dyDescent="0.35">
      <c r="X6018" s="8"/>
    </row>
    <row r="6019" spans="24:24" x14ac:dyDescent="0.35">
      <c r="X6019" s="8"/>
    </row>
    <row r="6020" spans="24:24" x14ac:dyDescent="0.35">
      <c r="X6020" s="8"/>
    </row>
    <row r="6021" spans="24:24" x14ac:dyDescent="0.35">
      <c r="X6021" s="8"/>
    </row>
    <row r="6022" spans="24:24" x14ac:dyDescent="0.35">
      <c r="X6022" s="8"/>
    </row>
    <row r="6023" spans="24:24" x14ac:dyDescent="0.35">
      <c r="X6023" s="8"/>
    </row>
    <row r="6024" spans="24:24" x14ac:dyDescent="0.35">
      <c r="X6024" s="8"/>
    </row>
    <row r="6025" spans="24:24" x14ac:dyDescent="0.35">
      <c r="X6025" s="8"/>
    </row>
    <row r="6026" spans="24:24" x14ac:dyDescent="0.35">
      <c r="X6026" s="8"/>
    </row>
    <row r="6027" spans="24:24" x14ac:dyDescent="0.35">
      <c r="X6027" s="8"/>
    </row>
    <row r="6028" spans="24:24" x14ac:dyDescent="0.35">
      <c r="X6028" s="8"/>
    </row>
    <row r="6029" spans="24:24" x14ac:dyDescent="0.35">
      <c r="X6029" s="8"/>
    </row>
    <row r="6030" spans="24:24" x14ac:dyDescent="0.35">
      <c r="X6030" s="8"/>
    </row>
    <row r="6031" spans="24:24" x14ac:dyDescent="0.35">
      <c r="X6031" s="8"/>
    </row>
    <row r="6032" spans="24:24" x14ac:dyDescent="0.35">
      <c r="X6032" s="8"/>
    </row>
    <row r="6033" spans="24:24" x14ac:dyDescent="0.35">
      <c r="X6033" s="8"/>
    </row>
    <row r="6034" spans="24:24" x14ac:dyDescent="0.35">
      <c r="X6034" s="8"/>
    </row>
    <row r="6035" spans="24:24" x14ac:dyDescent="0.35">
      <c r="X6035" s="8"/>
    </row>
    <row r="6036" spans="24:24" x14ac:dyDescent="0.35">
      <c r="X6036" s="8"/>
    </row>
    <row r="6037" spans="24:24" x14ac:dyDescent="0.35">
      <c r="X6037" s="8"/>
    </row>
    <row r="6038" spans="24:24" x14ac:dyDescent="0.35">
      <c r="X6038" s="8"/>
    </row>
    <row r="6039" spans="24:24" x14ac:dyDescent="0.35">
      <c r="X6039" s="8"/>
    </row>
    <row r="6040" spans="24:24" x14ac:dyDescent="0.35">
      <c r="X6040" s="8"/>
    </row>
    <row r="6041" spans="24:24" x14ac:dyDescent="0.35">
      <c r="X6041" s="8"/>
    </row>
    <row r="6042" spans="24:24" x14ac:dyDescent="0.35">
      <c r="X6042" s="8"/>
    </row>
    <row r="6043" spans="24:24" x14ac:dyDescent="0.35">
      <c r="X6043" s="8"/>
    </row>
    <row r="6044" spans="24:24" x14ac:dyDescent="0.35">
      <c r="X6044" s="8"/>
    </row>
    <row r="6045" spans="24:24" x14ac:dyDescent="0.35">
      <c r="X6045" s="8"/>
    </row>
    <row r="6046" spans="24:24" x14ac:dyDescent="0.35">
      <c r="X6046" s="8"/>
    </row>
    <row r="6047" spans="24:24" x14ac:dyDescent="0.35">
      <c r="X6047" s="8"/>
    </row>
    <row r="6048" spans="24:24" x14ac:dyDescent="0.35">
      <c r="X6048" s="8"/>
    </row>
    <row r="6049" spans="24:24" x14ac:dyDescent="0.35">
      <c r="X6049" s="8"/>
    </row>
    <row r="6050" spans="24:24" x14ac:dyDescent="0.35">
      <c r="X6050" s="8"/>
    </row>
    <row r="6051" spans="24:24" x14ac:dyDescent="0.35">
      <c r="X6051" s="8"/>
    </row>
    <row r="6052" spans="24:24" x14ac:dyDescent="0.35">
      <c r="X6052" s="8"/>
    </row>
    <row r="6053" spans="24:24" x14ac:dyDescent="0.35">
      <c r="X6053" s="8"/>
    </row>
    <row r="6054" spans="24:24" x14ac:dyDescent="0.35">
      <c r="X6054" s="8"/>
    </row>
    <row r="6055" spans="24:24" x14ac:dyDescent="0.35">
      <c r="X6055" s="8"/>
    </row>
    <row r="6056" spans="24:24" x14ac:dyDescent="0.35">
      <c r="X6056" s="8"/>
    </row>
    <row r="6057" spans="24:24" x14ac:dyDescent="0.35">
      <c r="X6057" s="8"/>
    </row>
    <row r="6058" spans="24:24" x14ac:dyDescent="0.35">
      <c r="X6058" s="8"/>
    </row>
    <row r="6059" spans="24:24" x14ac:dyDescent="0.35">
      <c r="X6059" s="8"/>
    </row>
    <row r="6060" spans="24:24" x14ac:dyDescent="0.35">
      <c r="X6060" s="8"/>
    </row>
    <row r="6061" spans="24:24" x14ac:dyDescent="0.35">
      <c r="X6061" s="8"/>
    </row>
    <row r="6062" spans="24:24" x14ac:dyDescent="0.35">
      <c r="X6062" s="8"/>
    </row>
    <row r="6063" spans="24:24" x14ac:dyDescent="0.35">
      <c r="X6063" s="8"/>
    </row>
    <row r="6064" spans="24:24" x14ac:dyDescent="0.35">
      <c r="X6064" s="8"/>
    </row>
    <row r="6065" spans="24:24" x14ac:dyDescent="0.35">
      <c r="X6065" s="8"/>
    </row>
    <row r="6066" spans="24:24" x14ac:dyDescent="0.35">
      <c r="X6066" s="8"/>
    </row>
    <row r="6067" spans="24:24" x14ac:dyDescent="0.35">
      <c r="X6067" s="8"/>
    </row>
    <row r="6068" spans="24:24" x14ac:dyDescent="0.35">
      <c r="X6068" s="8"/>
    </row>
    <row r="6069" spans="24:24" x14ac:dyDescent="0.35">
      <c r="X6069" s="8"/>
    </row>
    <row r="6070" spans="24:24" x14ac:dyDescent="0.35">
      <c r="X6070" s="8"/>
    </row>
    <row r="6071" spans="24:24" x14ac:dyDescent="0.35">
      <c r="X6071" s="8"/>
    </row>
    <row r="6072" spans="24:24" x14ac:dyDescent="0.35">
      <c r="X6072" s="8"/>
    </row>
    <row r="6073" spans="24:24" x14ac:dyDescent="0.35">
      <c r="X6073" s="8"/>
    </row>
    <row r="6074" spans="24:24" x14ac:dyDescent="0.35">
      <c r="X6074" s="8"/>
    </row>
    <row r="6075" spans="24:24" x14ac:dyDescent="0.35">
      <c r="X6075" s="8"/>
    </row>
    <row r="6076" spans="24:24" x14ac:dyDescent="0.35">
      <c r="X6076" s="8"/>
    </row>
    <row r="6077" spans="24:24" x14ac:dyDescent="0.35">
      <c r="X6077" s="8"/>
    </row>
    <row r="6078" spans="24:24" x14ac:dyDescent="0.35">
      <c r="X6078" s="8"/>
    </row>
    <row r="6079" spans="24:24" x14ac:dyDescent="0.35">
      <c r="X6079" s="8"/>
    </row>
    <row r="6080" spans="24:24" x14ac:dyDescent="0.35">
      <c r="X6080" s="8"/>
    </row>
    <row r="6081" spans="24:24" x14ac:dyDescent="0.35">
      <c r="X6081" s="8"/>
    </row>
    <row r="6082" spans="24:24" x14ac:dyDescent="0.35">
      <c r="X6082" s="8"/>
    </row>
    <row r="6083" spans="24:24" x14ac:dyDescent="0.35">
      <c r="X6083" s="8"/>
    </row>
    <row r="6084" spans="24:24" x14ac:dyDescent="0.35">
      <c r="X6084" s="8"/>
    </row>
    <row r="6085" spans="24:24" x14ac:dyDescent="0.35">
      <c r="X6085" s="8"/>
    </row>
    <row r="6086" spans="24:24" x14ac:dyDescent="0.35">
      <c r="X6086" s="8"/>
    </row>
    <row r="6087" spans="24:24" x14ac:dyDescent="0.35">
      <c r="X6087" s="8"/>
    </row>
    <row r="6088" spans="24:24" x14ac:dyDescent="0.35">
      <c r="X6088" s="8"/>
    </row>
    <row r="6089" spans="24:24" x14ac:dyDescent="0.35">
      <c r="X6089" s="8"/>
    </row>
    <row r="6090" spans="24:24" x14ac:dyDescent="0.35">
      <c r="X6090" s="8"/>
    </row>
    <row r="6091" spans="24:24" x14ac:dyDescent="0.35">
      <c r="X6091" s="8"/>
    </row>
    <row r="6092" spans="24:24" x14ac:dyDescent="0.35">
      <c r="X6092" s="8"/>
    </row>
    <row r="6093" spans="24:24" x14ac:dyDescent="0.35">
      <c r="X6093" s="8"/>
    </row>
    <row r="6094" spans="24:24" x14ac:dyDescent="0.35">
      <c r="X6094" s="8"/>
    </row>
    <row r="6095" spans="24:24" x14ac:dyDescent="0.35">
      <c r="X6095" s="8"/>
    </row>
    <row r="6096" spans="24:24" x14ac:dyDescent="0.35">
      <c r="X6096" s="8"/>
    </row>
    <row r="6097" spans="24:24" x14ac:dyDescent="0.35">
      <c r="X6097" s="8"/>
    </row>
    <row r="6098" spans="24:24" x14ac:dyDescent="0.35">
      <c r="X6098" s="8"/>
    </row>
    <row r="6099" spans="24:24" x14ac:dyDescent="0.35">
      <c r="X6099" s="8"/>
    </row>
    <row r="6100" spans="24:24" x14ac:dyDescent="0.35">
      <c r="X6100" s="8"/>
    </row>
    <row r="6101" spans="24:24" x14ac:dyDescent="0.35">
      <c r="X6101" s="8"/>
    </row>
    <row r="6102" spans="24:24" x14ac:dyDescent="0.35">
      <c r="X6102" s="8"/>
    </row>
    <row r="6103" spans="24:24" x14ac:dyDescent="0.35">
      <c r="X6103" s="8"/>
    </row>
    <row r="6104" spans="24:24" x14ac:dyDescent="0.35">
      <c r="X6104" s="8"/>
    </row>
    <row r="6105" spans="24:24" x14ac:dyDescent="0.35">
      <c r="X6105" s="8"/>
    </row>
    <row r="6106" spans="24:24" x14ac:dyDescent="0.35">
      <c r="X6106" s="8"/>
    </row>
    <row r="6107" spans="24:24" x14ac:dyDescent="0.35">
      <c r="X6107" s="8"/>
    </row>
    <row r="6108" spans="24:24" x14ac:dyDescent="0.35">
      <c r="X6108" s="8"/>
    </row>
    <row r="6109" spans="24:24" x14ac:dyDescent="0.35">
      <c r="X6109" s="8"/>
    </row>
    <row r="6110" spans="24:24" x14ac:dyDescent="0.35">
      <c r="X6110" s="8"/>
    </row>
    <row r="6111" spans="24:24" x14ac:dyDescent="0.35">
      <c r="X6111" s="8"/>
    </row>
    <row r="6112" spans="24:24" x14ac:dyDescent="0.35">
      <c r="X6112" s="8"/>
    </row>
    <row r="6113" spans="24:24" x14ac:dyDescent="0.35">
      <c r="X6113" s="8"/>
    </row>
    <row r="6114" spans="24:24" x14ac:dyDescent="0.35">
      <c r="X6114" s="8"/>
    </row>
    <row r="6115" spans="24:24" x14ac:dyDescent="0.35">
      <c r="X6115" s="8"/>
    </row>
    <row r="6116" spans="24:24" x14ac:dyDescent="0.35">
      <c r="X6116" s="8"/>
    </row>
    <row r="6117" spans="24:24" x14ac:dyDescent="0.35">
      <c r="X6117" s="8"/>
    </row>
    <row r="6118" spans="24:24" x14ac:dyDescent="0.35">
      <c r="X6118" s="8"/>
    </row>
    <row r="6119" spans="24:24" x14ac:dyDescent="0.35">
      <c r="X6119" s="8"/>
    </row>
    <row r="6120" spans="24:24" x14ac:dyDescent="0.35">
      <c r="X6120" s="8"/>
    </row>
    <row r="6121" spans="24:24" x14ac:dyDescent="0.35">
      <c r="X6121" s="8"/>
    </row>
    <row r="6122" spans="24:24" x14ac:dyDescent="0.35">
      <c r="X6122" s="8"/>
    </row>
    <row r="6123" spans="24:24" x14ac:dyDescent="0.35">
      <c r="X6123" s="8"/>
    </row>
    <row r="6124" spans="24:24" x14ac:dyDescent="0.35">
      <c r="X6124" s="8"/>
    </row>
    <row r="6125" spans="24:24" x14ac:dyDescent="0.35">
      <c r="X6125" s="8"/>
    </row>
    <row r="6126" spans="24:24" x14ac:dyDescent="0.35">
      <c r="X6126" s="8"/>
    </row>
    <row r="6127" spans="24:24" x14ac:dyDescent="0.35">
      <c r="X6127" s="8"/>
    </row>
    <row r="6128" spans="24:24" x14ac:dyDescent="0.35">
      <c r="X6128" s="8"/>
    </row>
    <row r="6129" spans="24:24" x14ac:dyDescent="0.35">
      <c r="X6129" s="8"/>
    </row>
    <row r="6130" spans="24:24" x14ac:dyDescent="0.35">
      <c r="X6130" s="8"/>
    </row>
    <row r="6131" spans="24:24" x14ac:dyDescent="0.35">
      <c r="X6131" s="8"/>
    </row>
    <row r="6132" spans="24:24" x14ac:dyDescent="0.35">
      <c r="X6132" s="8"/>
    </row>
    <row r="6133" spans="24:24" x14ac:dyDescent="0.35">
      <c r="X6133" s="8"/>
    </row>
    <row r="6134" spans="24:24" x14ac:dyDescent="0.35">
      <c r="X6134" s="8"/>
    </row>
    <row r="6135" spans="24:24" x14ac:dyDescent="0.35">
      <c r="X6135" s="8"/>
    </row>
    <row r="6136" spans="24:24" x14ac:dyDescent="0.35">
      <c r="X6136" s="8"/>
    </row>
    <row r="6137" spans="24:24" x14ac:dyDescent="0.35">
      <c r="X6137" s="8"/>
    </row>
    <row r="6138" spans="24:24" x14ac:dyDescent="0.35">
      <c r="X6138" s="8"/>
    </row>
    <row r="6139" spans="24:24" x14ac:dyDescent="0.35">
      <c r="X6139" s="8"/>
    </row>
    <row r="6140" spans="24:24" x14ac:dyDescent="0.35">
      <c r="X6140" s="8"/>
    </row>
    <row r="6141" spans="24:24" x14ac:dyDescent="0.35">
      <c r="X6141" s="8"/>
    </row>
    <row r="6142" spans="24:24" x14ac:dyDescent="0.35">
      <c r="X6142" s="8"/>
    </row>
    <row r="6143" spans="24:24" x14ac:dyDescent="0.35">
      <c r="X6143" s="8"/>
    </row>
    <row r="6144" spans="24:24" x14ac:dyDescent="0.35">
      <c r="X6144" s="8"/>
    </row>
    <row r="6145" spans="24:24" x14ac:dyDescent="0.35">
      <c r="X6145" s="8"/>
    </row>
    <row r="6146" spans="24:24" x14ac:dyDescent="0.35">
      <c r="X6146" s="8"/>
    </row>
    <row r="6147" spans="24:24" x14ac:dyDescent="0.35">
      <c r="X6147" s="8"/>
    </row>
    <row r="6148" spans="24:24" x14ac:dyDescent="0.35">
      <c r="X6148" s="8"/>
    </row>
    <row r="6149" spans="24:24" x14ac:dyDescent="0.35">
      <c r="X6149" s="8"/>
    </row>
    <row r="6150" spans="24:24" x14ac:dyDescent="0.35">
      <c r="X6150" s="8"/>
    </row>
    <row r="6151" spans="24:24" x14ac:dyDescent="0.35">
      <c r="X6151" s="8"/>
    </row>
    <row r="6152" spans="24:24" x14ac:dyDescent="0.35">
      <c r="X6152" s="8"/>
    </row>
    <row r="6153" spans="24:24" x14ac:dyDescent="0.35">
      <c r="X6153" s="8"/>
    </row>
    <row r="6154" spans="24:24" x14ac:dyDescent="0.35">
      <c r="X6154" s="8"/>
    </row>
    <row r="6155" spans="24:24" x14ac:dyDescent="0.35">
      <c r="X6155" s="8"/>
    </row>
    <row r="6156" spans="24:24" x14ac:dyDescent="0.35">
      <c r="X6156" s="8"/>
    </row>
    <row r="6157" spans="24:24" x14ac:dyDescent="0.35">
      <c r="X6157" s="8"/>
    </row>
    <row r="6158" spans="24:24" x14ac:dyDescent="0.35">
      <c r="X6158" s="8"/>
    </row>
    <row r="6159" spans="24:24" x14ac:dyDescent="0.35">
      <c r="X6159" s="8"/>
    </row>
    <row r="6160" spans="24:24" x14ac:dyDescent="0.35">
      <c r="X6160" s="8"/>
    </row>
    <row r="6161" spans="24:24" x14ac:dyDescent="0.35">
      <c r="X6161" s="8"/>
    </row>
    <row r="6162" spans="24:24" x14ac:dyDescent="0.35">
      <c r="X6162" s="8"/>
    </row>
    <row r="6163" spans="24:24" x14ac:dyDescent="0.35">
      <c r="X6163" s="8"/>
    </row>
    <row r="6164" spans="24:24" x14ac:dyDescent="0.35">
      <c r="X6164" s="8"/>
    </row>
    <row r="6165" spans="24:24" x14ac:dyDescent="0.35">
      <c r="X6165" s="8"/>
    </row>
    <row r="6166" spans="24:24" x14ac:dyDescent="0.35">
      <c r="X6166" s="8"/>
    </row>
    <row r="6167" spans="24:24" x14ac:dyDescent="0.35">
      <c r="X6167" s="8"/>
    </row>
    <row r="6168" spans="24:24" x14ac:dyDescent="0.35">
      <c r="X6168" s="8"/>
    </row>
    <row r="6169" spans="24:24" x14ac:dyDescent="0.35">
      <c r="X6169" s="8"/>
    </row>
    <row r="6170" spans="24:24" x14ac:dyDescent="0.35">
      <c r="X6170" s="8"/>
    </row>
    <row r="6171" spans="24:24" x14ac:dyDescent="0.35">
      <c r="X6171" s="8"/>
    </row>
    <row r="6172" spans="24:24" x14ac:dyDescent="0.35">
      <c r="X6172" s="8"/>
    </row>
    <row r="6173" spans="24:24" x14ac:dyDescent="0.35">
      <c r="X6173" s="8"/>
    </row>
    <row r="6174" spans="24:24" x14ac:dyDescent="0.35">
      <c r="X6174" s="8"/>
    </row>
    <row r="6175" spans="24:24" x14ac:dyDescent="0.35">
      <c r="X6175" s="8"/>
    </row>
    <row r="6176" spans="24:24" x14ac:dyDescent="0.35">
      <c r="X6176" s="8"/>
    </row>
    <row r="6177" spans="24:24" x14ac:dyDescent="0.35">
      <c r="X6177" s="8"/>
    </row>
    <row r="6178" spans="24:24" x14ac:dyDescent="0.35">
      <c r="X6178" s="8"/>
    </row>
    <row r="6179" spans="24:24" x14ac:dyDescent="0.35">
      <c r="X6179" s="8"/>
    </row>
    <row r="6180" spans="24:24" x14ac:dyDescent="0.35">
      <c r="X6180" s="8"/>
    </row>
    <row r="6181" spans="24:24" x14ac:dyDescent="0.35">
      <c r="X6181" s="8"/>
    </row>
    <row r="6182" spans="24:24" x14ac:dyDescent="0.35">
      <c r="X6182" s="8"/>
    </row>
    <row r="6183" spans="24:24" x14ac:dyDescent="0.35">
      <c r="X6183" s="8"/>
    </row>
    <row r="6184" spans="24:24" x14ac:dyDescent="0.35">
      <c r="X6184" s="8"/>
    </row>
    <row r="6185" spans="24:24" x14ac:dyDescent="0.35">
      <c r="X6185" s="8"/>
    </row>
    <row r="6186" spans="24:24" x14ac:dyDescent="0.35">
      <c r="X6186" s="8"/>
    </row>
    <row r="6187" spans="24:24" x14ac:dyDescent="0.35">
      <c r="X6187" s="8"/>
    </row>
    <row r="6188" spans="24:24" x14ac:dyDescent="0.35">
      <c r="X6188" s="8"/>
    </row>
    <row r="6189" spans="24:24" x14ac:dyDescent="0.35">
      <c r="X6189" s="8"/>
    </row>
    <row r="6190" spans="24:24" x14ac:dyDescent="0.35">
      <c r="X6190" s="8"/>
    </row>
    <row r="6191" spans="24:24" x14ac:dyDescent="0.35">
      <c r="X6191" s="8"/>
    </row>
    <row r="6192" spans="24:24" x14ac:dyDescent="0.35">
      <c r="X6192" s="8"/>
    </row>
    <row r="6193" spans="24:24" x14ac:dyDescent="0.35">
      <c r="X6193" s="8"/>
    </row>
    <row r="6194" spans="24:24" x14ac:dyDescent="0.35">
      <c r="X6194" s="8"/>
    </row>
    <row r="6195" spans="24:24" x14ac:dyDescent="0.35">
      <c r="X6195" s="8"/>
    </row>
    <row r="6196" spans="24:24" x14ac:dyDescent="0.35">
      <c r="X6196" s="8"/>
    </row>
    <row r="6197" spans="24:24" x14ac:dyDescent="0.35">
      <c r="X6197" s="8"/>
    </row>
    <row r="6198" spans="24:24" x14ac:dyDescent="0.35">
      <c r="X6198" s="8"/>
    </row>
    <row r="6199" spans="24:24" x14ac:dyDescent="0.35">
      <c r="X6199" s="8"/>
    </row>
    <row r="6200" spans="24:24" x14ac:dyDescent="0.35">
      <c r="X6200" s="8"/>
    </row>
    <row r="6201" spans="24:24" x14ac:dyDescent="0.35">
      <c r="X6201" s="8"/>
    </row>
    <row r="6202" spans="24:24" x14ac:dyDescent="0.35">
      <c r="X6202" s="8"/>
    </row>
    <row r="6203" spans="24:24" x14ac:dyDescent="0.35">
      <c r="X6203" s="8"/>
    </row>
    <row r="6204" spans="24:24" x14ac:dyDescent="0.35">
      <c r="X6204" s="8"/>
    </row>
    <row r="6205" spans="24:24" x14ac:dyDescent="0.35">
      <c r="X6205" s="8"/>
    </row>
    <row r="6206" spans="24:24" x14ac:dyDescent="0.35">
      <c r="X6206" s="8"/>
    </row>
    <row r="6207" spans="24:24" x14ac:dyDescent="0.35">
      <c r="X6207" s="8"/>
    </row>
    <row r="6208" spans="24:24" x14ac:dyDescent="0.35">
      <c r="X6208" s="8"/>
    </row>
    <row r="6209" spans="24:24" x14ac:dyDescent="0.35">
      <c r="X6209" s="8"/>
    </row>
    <row r="6210" spans="24:24" x14ac:dyDescent="0.35">
      <c r="X6210" s="8"/>
    </row>
    <row r="6211" spans="24:24" x14ac:dyDescent="0.35">
      <c r="X6211" s="8"/>
    </row>
    <row r="6212" spans="24:24" x14ac:dyDescent="0.35">
      <c r="X6212" s="8"/>
    </row>
    <row r="6213" spans="24:24" x14ac:dyDescent="0.35">
      <c r="X6213" s="8"/>
    </row>
    <row r="6214" spans="24:24" x14ac:dyDescent="0.35">
      <c r="X6214" s="8"/>
    </row>
    <row r="6215" spans="24:24" x14ac:dyDescent="0.35">
      <c r="X6215" s="8"/>
    </row>
    <row r="6216" spans="24:24" x14ac:dyDescent="0.35">
      <c r="X6216" s="8"/>
    </row>
    <row r="6217" spans="24:24" x14ac:dyDescent="0.35">
      <c r="X6217" s="8"/>
    </row>
    <row r="6218" spans="24:24" x14ac:dyDescent="0.35">
      <c r="X6218" s="8"/>
    </row>
    <row r="6219" spans="24:24" x14ac:dyDescent="0.35">
      <c r="X6219" s="8"/>
    </row>
    <row r="6220" spans="24:24" x14ac:dyDescent="0.35">
      <c r="X6220" s="8"/>
    </row>
    <row r="6221" spans="24:24" x14ac:dyDescent="0.35">
      <c r="X6221" s="8"/>
    </row>
    <row r="6222" spans="24:24" x14ac:dyDescent="0.35">
      <c r="X6222" s="8"/>
    </row>
    <row r="6223" spans="24:24" x14ac:dyDescent="0.35">
      <c r="X6223" s="8"/>
    </row>
    <row r="6224" spans="24:24" x14ac:dyDescent="0.35">
      <c r="X6224" s="8"/>
    </row>
    <row r="6225" spans="24:24" x14ac:dyDescent="0.35">
      <c r="X6225" s="8"/>
    </row>
    <row r="6226" spans="24:24" x14ac:dyDescent="0.35">
      <c r="X6226" s="8"/>
    </row>
    <row r="6227" spans="24:24" x14ac:dyDescent="0.35">
      <c r="X6227" s="8"/>
    </row>
    <row r="6228" spans="24:24" x14ac:dyDescent="0.35">
      <c r="X6228" s="8"/>
    </row>
    <row r="6229" spans="24:24" x14ac:dyDescent="0.35">
      <c r="X6229" s="8"/>
    </row>
    <row r="6230" spans="24:24" x14ac:dyDescent="0.35">
      <c r="X6230" s="8"/>
    </row>
    <row r="6231" spans="24:24" x14ac:dyDescent="0.35">
      <c r="X6231" s="8"/>
    </row>
    <row r="6232" spans="24:24" x14ac:dyDescent="0.35">
      <c r="X6232" s="8"/>
    </row>
    <row r="6233" spans="24:24" x14ac:dyDescent="0.35">
      <c r="X6233" s="8"/>
    </row>
    <row r="6234" spans="24:24" x14ac:dyDescent="0.35">
      <c r="X6234" s="8"/>
    </row>
    <row r="6235" spans="24:24" x14ac:dyDescent="0.35">
      <c r="X6235" s="8"/>
    </row>
    <row r="6236" spans="24:24" x14ac:dyDescent="0.35">
      <c r="X6236" s="8"/>
    </row>
    <row r="6237" spans="24:24" x14ac:dyDescent="0.35">
      <c r="X6237" s="8"/>
    </row>
    <row r="6238" spans="24:24" x14ac:dyDescent="0.35">
      <c r="X6238" s="8"/>
    </row>
    <row r="6239" spans="24:24" x14ac:dyDescent="0.35">
      <c r="X6239" s="8"/>
    </row>
    <row r="6240" spans="24:24" x14ac:dyDescent="0.35">
      <c r="X6240" s="8"/>
    </row>
    <row r="6241" spans="24:24" x14ac:dyDescent="0.35">
      <c r="X6241" s="8"/>
    </row>
    <row r="6242" spans="24:24" x14ac:dyDescent="0.35">
      <c r="X6242" s="8"/>
    </row>
    <row r="6243" spans="24:24" x14ac:dyDescent="0.35">
      <c r="X6243" s="8"/>
    </row>
    <row r="6244" spans="24:24" x14ac:dyDescent="0.35">
      <c r="X6244" s="8"/>
    </row>
    <row r="6245" spans="24:24" x14ac:dyDescent="0.35">
      <c r="X6245" s="8"/>
    </row>
    <row r="6246" spans="24:24" x14ac:dyDescent="0.35">
      <c r="X6246" s="8"/>
    </row>
    <row r="6247" spans="24:24" x14ac:dyDescent="0.35">
      <c r="X6247" s="8"/>
    </row>
    <row r="6248" spans="24:24" x14ac:dyDescent="0.35">
      <c r="X6248" s="8"/>
    </row>
    <row r="6249" spans="24:24" x14ac:dyDescent="0.35">
      <c r="X6249" s="8"/>
    </row>
    <row r="6250" spans="24:24" x14ac:dyDescent="0.35">
      <c r="X6250" s="8"/>
    </row>
    <row r="6251" spans="24:24" x14ac:dyDescent="0.35">
      <c r="X6251" s="8"/>
    </row>
    <row r="6252" spans="24:24" x14ac:dyDescent="0.35">
      <c r="X6252" s="8"/>
    </row>
    <row r="6253" spans="24:24" x14ac:dyDescent="0.35">
      <c r="X6253" s="8"/>
    </row>
    <row r="6254" spans="24:24" x14ac:dyDescent="0.35">
      <c r="X6254" s="8"/>
    </row>
    <row r="6255" spans="24:24" x14ac:dyDescent="0.35">
      <c r="X6255" s="8"/>
    </row>
    <row r="6256" spans="24:24" x14ac:dyDescent="0.35">
      <c r="X6256" s="8"/>
    </row>
    <row r="6257" spans="24:24" x14ac:dyDescent="0.35">
      <c r="X6257" s="8"/>
    </row>
    <row r="6258" spans="24:24" x14ac:dyDescent="0.35">
      <c r="X6258" s="8"/>
    </row>
    <row r="6259" spans="24:24" x14ac:dyDescent="0.35">
      <c r="X6259" s="8"/>
    </row>
    <row r="6260" spans="24:24" x14ac:dyDescent="0.35">
      <c r="X6260" s="8"/>
    </row>
    <row r="6261" spans="24:24" x14ac:dyDescent="0.35">
      <c r="X6261" s="8"/>
    </row>
    <row r="6262" spans="24:24" x14ac:dyDescent="0.35">
      <c r="X6262" s="8"/>
    </row>
    <row r="6263" spans="24:24" x14ac:dyDescent="0.35">
      <c r="X6263" s="8"/>
    </row>
    <row r="6264" spans="24:24" x14ac:dyDescent="0.35">
      <c r="X6264" s="8"/>
    </row>
    <row r="6265" spans="24:24" x14ac:dyDescent="0.35">
      <c r="X6265" s="8"/>
    </row>
    <row r="6266" spans="24:24" x14ac:dyDescent="0.35">
      <c r="X6266" s="8"/>
    </row>
    <row r="6267" spans="24:24" x14ac:dyDescent="0.35">
      <c r="X6267" s="8"/>
    </row>
    <row r="6268" spans="24:24" x14ac:dyDescent="0.35">
      <c r="X6268" s="8"/>
    </row>
    <row r="6269" spans="24:24" x14ac:dyDescent="0.35">
      <c r="X6269" s="8"/>
    </row>
    <row r="6270" spans="24:24" x14ac:dyDescent="0.35">
      <c r="X6270" s="8"/>
    </row>
    <row r="6271" spans="24:24" x14ac:dyDescent="0.35">
      <c r="X6271" s="8"/>
    </row>
    <row r="6272" spans="24:24" x14ac:dyDescent="0.35">
      <c r="X6272" s="8"/>
    </row>
    <row r="6273" spans="24:24" x14ac:dyDescent="0.35">
      <c r="X6273" s="8"/>
    </row>
    <row r="6274" spans="24:24" x14ac:dyDescent="0.35">
      <c r="X6274" s="8"/>
    </row>
    <row r="6275" spans="24:24" x14ac:dyDescent="0.35">
      <c r="X6275" s="8"/>
    </row>
    <row r="6276" spans="24:24" x14ac:dyDescent="0.35">
      <c r="X6276" s="8"/>
    </row>
    <row r="6277" spans="24:24" x14ac:dyDescent="0.35">
      <c r="X6277" s="8"/>
    </row>
    <row r="6278" spans="24:24" x14ac:dyDescent="0.35">
      <c r="X6278" s="8"/>
    </row>
    <row r="6279" spans="24:24" x14ac:dyDescent="0.35">
      <c r="X6279" s="8"/>
    </row>
    <row r="6280" spans="24:24" x14ac:dyDescent="0.35">
      <c r="X6280" s="8"/>
    </row>
    <row r="6281" spans="24:24" x14ac:dyDescent="0.35">
      <c r="X6281" s="8"/>
    </row>
    <row r="6282" spans="24:24" x14ac:dyDescent="0.35">
      <c r="X6282" s="8"/>
    </row>
    <row r="6283" spans="24:24" x14ac:dyDescent="0.35">
      <c r="X6283" s="8"/>
    </row>
    <row r="6284" spans="24:24" x14ac:dyDescent="0.35">
      <c r="X6284" s="8"/>
    </row>
    <row r="6285" spans="24:24" x14ac:dyDescent="0.35">
      <c r="X6285" s="8"/>
    </row>
    <row r="6286" spans="24:24" x14ac:dyDescent="0.35">
      <c r="X6286" s="8"/>
    </row>
    <row r="6287" spans="24:24" x14ac:dyDescent="0.35">
      <c r="X6287" s="8"/>
    </row>
    <row r="6288" spans="24:24" x14ac:dyDescent="0.35">
      <c r="X6288" s="8"/>
    </row>
    <row r="6289" spans="24:24" x14ac:dyDescent="0.35">
      <c r="X6289" s="8"/>
    </row>
    <row r="6290" spans="24:24" x14ac:dyDescent="0.35">
      <c r="X6290" s="8"/>
    </row>
    <row r="6291" spans="24:24" x14ac:dyDescent="0.35">
      <c r="X6291" s="8"/>
    </row>
    <row r="6292" spans="24:24" x14ac:dyDescent="0.35">
      <c r="X6292" s="8"/>
    </row>
    <row r="6293" spans="24:24" x14ac:dyDescent="0.35">
      <c r="X6293" s="8"/>
    </row>
    <row r="6294" spans="24:24" x14ac:dyDescent="0.35">
      <c r="X6294" s="8"/>
    </row>
    <row r="6295" spans="24:24" x14ac:dyDescent="0.35">
      <c r="X6295" s="8"/>
    </row>
    <row r="6296" spans="24:24" x14ac:dyDescent="0.35">
      <c r="X6296" s="8"/>
    </row>
    <row r="6297" spans="24:24" x14ac:dyDescent="0.35">
      <c r="X6297" s="8"/>
    </row>
    <row r="6298" spans="24:24" x14ac:dyDescent="0.35">
      <c r="X6298" s="8"/>
    </row>
    <row r="6299" spans="24:24" x14ac:dyDescent="0.35">
      <c r="X6299" s="8"/>
    </row>
    <row r="6300" spans="24:24" x14ac:dyDescent="0.35">
      <c r="X6300" s="8"/>
    </row>
    <row r="6301" spans="24:24" x14ac:dyDescent="0.35">
      <c r="X6301" s="8"/>
    </row>
    <row r="6302" spans="24:24" x14ac:dyDescent="0.35">
      <c r="X6302" s="8"/>
    </row>
    <row r="6303" spans="24:24" x14ac:dyDescent="0.35">
      <c r="X6303" s="8"/>
    </row>
    <row r="6304" spans="24:24" x14ac:dyDescent="0.35">
      <c r="X6304" s="8"/>
    </row>
    <row r="6305" spans="24:24" x14ac:dyDescent="0.35">
      <c r="X6305" s="8"/>
    </row>
    <row r="6306" spans="24:24" x14ac:dyDescent="0.35">
      <c r="X6306" s="8"/>
    </row>
    <row r="6307" spans="24:24" x14ac:dyDescent="0.35">
      <c r="X6307" s="8"/>
    </row>
    <row r="6308" spans="24:24" x14ac:dyDescent="0.35">
      <c r="X6308" s="8"/>
    </row>
    <row r="6309" spans="24:24" x14ac:dyDescent="0.35">
      <c r="X6309" s="8"/>
    </row>
    <row r="6310" spans="24:24" x14ac:dyDescent="0.35">
      <c r="X6310" s="8"/>
    </row>
    <row r="6311" spans="24:24" x14ac:dyDescent="0.35">
      <c r="X6311" s="8"/>
    </row>
    <row r="6312" spans="24:24" x14ac:dyDescent="0.35">
      <c r="X6312" s="8"/>
    </row>
    <row r="6313" spans="24:24" x14ac:dyDescent="0.35">
      <c r="X6313" s="8"/>
    </row>
    <row r="6314" spans="24:24" x14ac:dyDescent="0.35">
      <c r="X6314" s="8"/>
    </row>
    <row r="6315" spans="24:24" x14ac:dyDescent="0.35">
      <c r="X6315" s="8"/>
    </row>
    <row r="6316" spans="24:24" x14ac:dyDescent="0.35">
      <c r="X6316" s="8"/>
    </row>
    <row r="6317" spans="24:24" x14ac:dyDescent="0.35">
      <c r="X6317" s="8"/>
    </row>
    <row r="6318" spans="24:24" x14ac:dyDescent="0.35">
      <c r="X6318" s="8"/>
    </row>
    <row r="6319" spans="24:24" x14ac:dyDescent="0.35">
      <c r="X6319" s="8"/>
    </row>
    <row r="6320" spans="24:24" x14ac:dyDescent="0.35">
      <c r="X6320" s="8"/>
    </row>
    <row r="6321" spans="24:24" x14ac:dyDescent="0.35">
      <c r="X6321" s="8"/>
    </row>
    <row r="6322" spans="24:24" x14ac:dyDescent="0.35">
      <c r="X6322" s="8"/>
    </row>
    <row r="6323" spans="24:24" x14ac:dyDescent="0.35">
      <c r="X6323" s="8"/>
    </row>
    <row r="6324" spans="24:24" x14ac:dyDescent="0.35">
      <c r="X6324" s="8"/>
    </row>
    <row r="6325" spans="24:24" x14ac:dyDescent="0.35">
      <c r="X6325" s="8"/>
    </row>
    <row r="6326" spans="24:24" x14ac:dyDescent="0.35">
      <c r="X6326" s="8"/>
    </row>
    <row r="6327" spans="24:24" x14ac:dyDescent="0.35">
      <c r="X6327" s="8"/>
    </row>
    <row r="6328" spans="24:24" x14ac:dyDescent="0.35">
      <c r="X6328" s="8"/>
    </row>
    <row r="6329" spans="24:24" x14ac:dyDescent="0.35">
      <c r="X6329" s="8"/>
    </row>
    <row r="6330" spans="24:24" x14ac:dyDescent="0.35">
      <c r="X6330" s="8"/>
    </row>
    <row r="6331" spans="24:24" x14ac:dyDescent="0.35">
      <c r="X6331" s="8"/>
    </row>
    <row r="6332" spans="24:24" x14ac:dyDescent="0.35">
      <c r="X6332" s="8"/>
    </row>
    <row r="6333" spans="24:24" x14ac:dyDescent="0.35">
      <c r="X6333" s="8"/>
    </row>
    <row r="6334" spans="24:24" x14ac:dyDescent="0.35">
      <c r="X6334" s="8"/>
    </row>
    <row r="6335" spans="24:24" x14ac:dyDescent="0.35">
      <c r="X6335" s="8"/>
    </row>
    <row r="6336" spans="24:24" x14ac:dyDescent="0.35">
      <c r="X6336" s="8"/>
    </row>
    <row r="6337" spans="24:24" x14ac:dyDescent="0.35">
      <c r="X6337" s="8"/>
    </row>
    <row r="6338" spans="24:24" x14ac:dyDescent="0.35">
      <c r="X6338" s="8"/>
    </row>
    <row r="6339" spans="24:24" x14ac:dyDescent="0.35">
      <c r="X6339" s="8"/>
    </row>
    <row r="6340" spans="24:24" x14ac:dyDescent="0.35">
      <c r="X6340" s="8"/>
    </row>
    <row r="6341" spans="24:24" x14ac:dyDescent="0.35">
      <c r="X6341" s="8"/>
    </row>
    <row r="6342" spans="24:24" x14ac:dyDescent="0.35">
      <c r="X6342" s="8"/>
    </row>
    <row r="6343" spans="24:24" x14ac:dyDescent="0.35">
      <c r="X6343" s="8"/>
    </row>
    <row r="6344" spans="24:24" x14ac:dyDescent="0.35">
      <c r="X6344" s="8"/>
    </row>
    <row r="6345" spans="24:24" x14ac:dyDescent="0.35">
      <c r="X6345" s="8"/>
    </row>
    <row r="6346" spans="24:24" x14ac:dyDescent="0.35">
      <c r="X6346" s="8"/>
    </row>
    <row r="6347" spans="24:24" x14ac:dyDescent="0.35">
      <c r="X6347" s="8"/>
    </row>
    <row r="6348" spans="24:24" x14ac:dyDescent="0.35">
      <c r="X6348" s="8"/>
    </row>
    <row r="6349" spans="24:24" x14ac:dyDescent="0.35">
      <c r="X6349" s="8"/>
    </row>
    <row r="6350" spans="24:24" x14ac:dyDescent="0.35">
      <c r="X6350" s="8"/>
    </row>
    <row r="6351" spans="24:24" x14ac:dyDescent="0.35">
      <c r="X6351" s="8"/>
    </row>
    <row r="6352" spans="24:24" x14ac:dyDescent="0.35">
      <c r="X6352" s="8"/>
    </row>
    <row r="6353" spans="24:24" x14ac:dyDescent="0.35">
      <c r="X6353" s="8"/>
    </row>
    <row r="6354" spans="24:24" x14ac:dyDescent="0.35">
      <c r="X6354" s="8"/>
    </row>
    <row r="6355" spans="24:24" x14ac:dyDescent="0.35">
      <c r="X6355" s="8"/>
    </row>
    <row r="6356" spans="24:24" x14ac:dyDescent="0.35">
      <c r="X6356" s="8"/>
    </row>
    <row r="6357" spans="24:24" x14ac:dyDescent="0.35">
      <c r="X6357" s="8"/>
    </row>
    <row r="6358" spans="24:24" x14ac:dyDescent="0.35">
      <c r="X6358" s="8"/>
    </row>
    <row r="6359" spans="24:24" x14ac:dyDescent="0.35">
      <c r="X6359" s="8"/>
    </row>
    <row r="6360" spans="24:24" x14ac:dyDescent="0.35">
      <c r="X6360" s="8"/>
    </row>
    <row r="6361" spans="24:24" x14ac:dyDescent="0.35">
      <c r="X6361" s="8"/>
    </row>
    <row r="6362" spans="24:24" x14ac:dyDescent="0.35">
      <c r="X6362" s="8"/>
    </row>
    <row r="6363" spans="24:24" x14ac:dyDescent="0.35">
      <c r="X6363" s="8"/>
    </row>
    <row r="6364" spans="24:24" x14ac:dyDescent="0.35">
      <c r="X6364" s="8"/>
    </row>
    <row r="6365" spans="24:24" x14ac:dyDescent="0.35">
      <c r="X6365" s="8"/>
    </row>
    <row r="6366" spans="24:24" x14ac:dyDescent="0.35">
      <c r="X6366" s="8"/>
    </row>
    <row r="6367" spans="24:24" x14ac:dyDescent="0.35">
      <c r="X6367" s="8"/>
    </row>
    <row r="6368" spans="24:24" x14ac:dyDescent="0.35">
      <c r="X6368" s="8"/>
    </row>
    <row r="6369" spans="24:24" x14ac:dyDescent="0.35">
      <c r="X6369" s="8"/>
    </row>
    <row r="6370" spans="24:24" x14ac:dyDescent="0.35">
      <c r="X6370" s="8"/>
    </row>
    <row r="6371" spans="24:24" x14ac:dyDescent="0.35">
      <c r="X6371" s="8"/>
    </row>
    <row r="6372" spans="24:24" x14ac:dyDescent="0.35">
      <c r="X6372" s="8"/>
    </row>
    <row r="6373" spans="24:24" x14ac:dyDescent="0.35">
      <c r="X6373" s="8"/>
    </row>
    <row r="6374" spans="24:24" x14ac:dyDescent="0.35">
      <c r="X6374" s="8"/>
    </row>
    <row r="6375" spans="24:24" x14ac:dyDescent="0.35">
      <c r="X6375" s="8"/>
    </row>
    <row r="6376" spans="24:24" x14ac:dyDescent="0.35">
      <c r="X6376" s="8"/>
    </row>
    <row r="6377" spans="24:24" x14ac:dyDescent="0.35">
      <c r="X6377" s="8"/>
    </row>
    <row r="6378" spans="24:24" x14ac:dyDescent="0.35">
      <c r="X6378" s="8"/>
    </row>
    <row r="6379" spans="24:24" x14ac:dyDescent="0.35">
      <c r="X6379" s="8"/>
    </row>
    <row r="6380" spans="24:24" x14ac:dyDescent="0.35">
      <c r="X6380" s="8"/>
    </row>
    <row r="6381" spans="24:24" x14ac:dyDescent="0.35">
      <c r="X6381" s="8"/>
    </row>
    <row r="6382" spans="24:24" x14ac:dyDescent="0.35">
      <c r="X6382" s="8"/>
    </row>
    <row r="6383" spans="24:24" x14ac:dyDescent="0.35">
      <c r="X6383" s="8"/>
    </row>
    <row r="6384" spans="24:24" x14ac:dyDescent="0.35">
      <c r="X6384" s="8"/>
    </row>
    <row r="6385" spans="24:24" x14ac:dyDescent="0.35">
      <c r="X6385" s="8"/>
    </row>
    <row r="6386" spans="24:24" x14ac:dyDescent="0.35">
      <c r="X6386" s="8"/>
    </row>
    <row r="6387" spans="24:24" x14ac:dyDescent="0.35">
      <c r="X6387" s="8"/>
    </row>
    <row r="6388" spans="24:24" x14ac:dyDescent="0.35">
      <c r="X6388" s="8"/>
    </row>
    <row r="6389" spans="24:24" x14ac:dyDescent="0.35">
      <c r="X6389" s="8"/>
    </row>
    <row r="6390" spans="24:24" x14ac:dyDescent="0.35">
      <c r="X6390" s="8"/>
    </row>
    <row r="6391" spans="24:24" x14ac:dyDescent="0.35">
      <c r="X6391" s="8"/>
    </row>
    <row r="6392" spans="24:24" x14ac:dyDescent="0.35">
      <c r="X6392" s="8"/>
    </row>
    <row r="6393" spans="24:24" x14ac:dyDescent="0.35">
      <c r="X6393" s="8"/>
    </row>
    <row r="6394" spans="24:24" x14ac:dyDescent="0.35">
      <c r="X6394" s="8"/>
    </row>
    <row r="6395" spans="24:24" x14ac:dyDescent="0.35">
      <c r="X6395" s="8"/>
    </row>
    <row r="6396" spans="24:24" x14ac:dyDescent="0.35">
      <c r="X6396" s="8"/>
    </row>
    <row r="6397" spans="24:24" x14ac:dyDescent="0.35">
      <c r="X6397" s="8"/>
    </row>
    <row r="6398" spans="24:24" x14ac:dyDescent="0.35">
      <c r="X6398" s="8"/>
    </row>
    <row r="6399" spans="24:24" x14ac:dyDescent="0.35">
      <c r="X6399" s="8"/>
    </row>
    <row r="6400" spans="24:24" x14ac:dyDescent="0.35">
      <c r="X6400" s="8"/>
    </row>
    <row r="6401" spans="24:24" x14ac:dyDescent="0.35">
      <c r="X6401" s="8"/>
    </row>
    <row r="6402" spans="24:24" x14ac:dyDescent="0.35">
      <c r="X6402" s="8"/>
    </row>
    <row r="6403" spans="24:24" x14ac:dyDescent="0.35">
      <c r="X6403" s="8"/>
    </row>
    <row r="6404" spans="24:24" x14ac:dyDescent="0.35">
      <c r="X6404" s="8"/>
    </row>
    <row r="6405" spans="24:24" x14ac:dyDescent="0.35">
      <c r="X6405" s="8"/>
    </row>
    <row r="6406" spans="24:24" x14ac:dyDescent="0.35">
      <c r="X6406" s="8"/>
    </row>
    <row r="6407" spans="24:24" x14ac:dyDescent="0.35">
      <c r="X6407" s="8"/>
    </row>
    <row r="6408" spans="24:24" x14ac:dyDescent="0.35">
      <c r="X6408" s="8"/>
    </row>
    <row r="6409" spans="24:24" x14ac:dyDescent="0.35">
      <c r="X6409" s="8"/>
    </row>
    <row r="6410" spans="24:24" x14ac:dyDescent="0.35">
      <c r="X6410" s="8"/>
    </row>
    <row r="6411" spans="24:24" x14ac:dyDescent="0.35">
      <c r="X6411" s="8"/>
    </row>
    <row r="6412" spans="24:24" x14ac:dyDescent="0.35">
      <c r="X6412" s="8"/>
    </row>
    <row r="6413" spans="24:24" x14ac:dyDescent="0.35">
      <c r="X6413" s="8"/>
    </row>
    <row r="6414" spans="24:24" x14ac:dyDescent="0.35">
      <c r="X6414" s="8"/>
    </row>
    <row r="6415" spans="24:24" x14ac:dyDescent="0.35">
      <c r="X6415" s="8"/>
    </row>
    <row r="6416" spans="24:24" x14ac:dyDescent="0.35">
      <c r="X6416" s="8"/>
    </row>
    <row r="6417" spans="24:24" x14ac:dyDescent="0.35">
      <c r="X6417" s="8"/>
    </row>
    <row r="6418" spans="24:24" x14ac:dyDescent="0.35">
      <c r="X6418" s="8"/>
    </row>
    <row r="6419" spans="24:24" x14ac:dyDescent="0.35">
      <c r="X6419" s="8"/>
    </row>
    <row r="6420" spans="24:24" x14ac:dyDescent="0.35">
      <c r="X6420" s="8"/>
    </row>
    <row r="6421" spans="24:24" x14ac:dyDescent="0.35">
      <c r="X6421" s="8"/>
    </row>
    <row r="6422" spans="24:24" x14ac:dyDescent="0.35">
      <c r="X6422" s="8"/>
    </row>
    <row r="6423" spans="24:24" x14ac:dyDescent="0.35">
      <c r="X6423" s="8"/>
    </row>
    <row r="6424" spans="24:24" x14ac:dyDescent="0.35">
      <c r="X6424" s="8"/>
    </row>
    <row r="6425" spans="24:24" x14ac:dyDescent="0.35">
      <c r="X6425" s="8"/>
    </row>
    <row r="6426" spans="24:24" x14ac:dyDescent="0.35">
      <c r="X6426" s="8"/>
    </row>
    <row r="6427" spans="24:24" x14ac:dyDescent="0.35">
      <c r="X6427" s="8"/>
    </row>
    <row r="6428" spans="24:24" x14ac:dyDescent="0.35">
      <c r="X6428" s="8"/>
    </row>
    <row r="6429" spans="24:24" x14ac:dyDescent="0.35">
      <c r="X6429" s="8"/>
    </row>
    <row r="6430" spans="24:24" x14ac:dyDescent="0.35">
      <c r="X6430" s="8"/>
    </row>
    <row r="6431" spans="24:24" x14ac:dyDescent="0.35">
      <c r="X6431" s="8"/>
    </row>
    <row r="6432" spans="24:24" x14ac:dyDescent="0.35">
      <c r="X6432" s="8"/>
    </row>
    <row r="6433" spans="24:24" x14ac:dyDescent="0.35">
      <c r="X6433" s="8"/>
    </row>
    <row r="6434" spans="24:24" x14ac:dyDescent="0.35">
      <c r="X6434" s="8"/>
    </row>
    <row r="6435" spans="24:24" x14ac:dyDescent="0.35">
      <c r="X6435" s="8"/>
    </row>
    <row r="6436" spans="24:24" x14ac:dyDescent="0.35">
      <c r="X6436" s="8"/>
    </row>
    <row r="6437" spans="24:24" x14ac:dyDescent="0.35">
      <c r="X6437" s="8"/>
    </row>
    <row r="6438" spans="24:24" x14ac:dyDescent="0.35">
      <c r="X6438" s="8"/>
    </row>
    <row r="6439" spans="24:24" x14ac:dyDescent="0.35">
      <c r="X6439" s="8"/>
    </row>
    <row r="6440" spans="24:24" x14ac:dyDescent="0.35">
      <c r="X6440" s="8"/>
    </row>
    <row r="6441" spans="24:24" x14ac:dyDescent="0.35">
      <c r="X6441" s="8"/>
    </row>
    <row r="6442" spans="24:24" x14ac:dyDescent="0.35">
      <c r="X6442" s="8"/>
    </row>
    <row r="6443" spans="24:24" x14ac:dyDescent="0.35">
      <c r="X6443" s="8"/>
    </row>
    <row r="6444" spans="24:24" x14ac:dyDescent="0.35">
      <c r="X6444" s="8"/>
    </row>
    <row r="6445" spans="24:24" x14ac:dyDescent="0.35">
      <c r="X6445" s="8"/>
    </row>
    <row r="6446" spans="24:24" x14ac:dyDescent="0.35">
      <c r="X6446" s="8"/>
    </row>
    <row r="6447" spans="24:24" x14ac:dyDescent="0.35">
      <c r="X6447" s="8"/>
    </row>
    <row r="6448" spans="24:24" x14ac:dyDescent="0.35">
      <c r="X6448" s="8"/>
    </row>
    <row r="6449" spans="24:24" x14ac:dyDescent="0.35">
      <c r="X6449" s="8"/>
    </row>
    <row r="6450" spans="24:24" x14ac:dyDescent="0.35">
      <c r="X6450" s="8"/>
    </row>
    <row r="6451" spans="24:24" x14ac:dyDescent="0.35">
      <c r="X6451" s="8"/>
    </row>
    <row r="6452" spans="24:24" x14ac:dyDescent="0.35">
      <c r="X6452" s="8"/>
    </row>
    <row r="6453" spans="24:24" x14ac:dyDescent="0.35">
      <c r="X6453" s="8"/>
    </row>
    <row r="6454" spans="24:24" x14ac:dyDescent="0.35">
      <c r="X6454" s="8"/>
    </row>
    <row r="6455" spans="24:24" x14ac:dyDescent="0.35">
      <c r="X6455" s="8"/>
    </row>
    <row r="6456" spans="24:24" x14ac:dyDescent="0.35">
      <c r="X6456" s="8"/>
    </row>
    <row r="6457" spans="24:24" x14ac:dyDescent="0.35">
      <c r="X6457" s="8"/>
    </row>
    <row r="6458" spans="24:24" x14ac:dyDescent="0.35">
      <c r="X6458" s="8"/>
    </row>
    <row r="6459" spans="24:24" x14ac:dyDescent="0.35">
      <c r="X6459" s="8"/>
    </row>
    <row r="6460" spans="24:24" x14ac:dyDescent="0.35">
      <c r="X6460" s="8"/>
    </row>
    <row r="6461" spans="24:24" x14ac:dyDescent="0.35">
      <c r="X6461" s="8"/>
    </row>
    <row r="6462" spans="24:24" x14ac:dyDescent="0.35">
      <c r="X6462" s="8"/>
    </row>
    <row r="6463" spans="24:24" x14ac:dyDescent="0.35">
      <c r="X6463" s="8"/>
    </row>
    <row r="6464" spans="24:24" x14ac:dyDescent="0.35">
      <c r="X6464" s="8"/>
    </row>
    <row r="6465" spans="24:24" x14ac:dyDescent="0.35">
      <c r="X6465" s="8"/>
    </row>
    <row r="6466" spans="24:24" x14ac:dyDescent="0.35">
      <c r="X6466" s="8"/>
    </row>
    <row r="6467" spans="24:24" x14ac:dyDescent="0.35">
      <c r="X6467" s="8"/>
    </row>
    <row r="6468" spans="24:24" x14ac:dyDescent="0.35">
      <c r="X6468" s="8"/>
    </row>
    <row r="6469" spans="24:24" x14ac:dyDescent="0.35">
      <c r="X6469" s="8"/>
    </row>
    <row r="6470" spans="24:24" x14ac:dyDescent="0.35">
      <c r="X6470" s="8"/>
    </row>
    <row r="6471" spans="24:24" x14ac:dyDescent="0.35">
      <c r="X6471" s="8"/>
    </row>
    <row r="6472" spans="24:24" x14ac:dyDescent="0.35">
      <c r="X6472" s="8"/>
    </row>
    <row r="6473" spans="24:24" x14ac:dyDescent="0.35">
      <c r="X6473" s="8"/>
    </row>
    <row r="6474" spans="24:24" x14ac:dyDescent="0.35">
      <c r="X6474" s="8"/>
    </row>
    <row r="6475" spans="24:24" x14ac:dyDescent="0.35">
      <c r="X6475" s="8"/>
    </row>
    <row r="6476" spans="24:24" x14ac:dyDescent="0.35">
      <c r="X6476" s="8"/>
    </row>
    <row r="6477" spans="24:24" x14ac:dyDescent="0.35">
      <c r="X6477" s="8"/>
    </row>
    <row r="6478" spans="24:24" x14ac:dyDescent="0.35">
      <c r="X6478" s="8"/>
    </row>
    <row r="6479" spans="24:24" x14ac:dyDescent="0.35">
      <c r="X6479" s="8"/>
    </row>
    <row r="6480" spans="24:24" x14ac:dyDescent="0.35">
      <c r="X6480" s="8"/>
    </row>
    <row r="6481" spans="24:24" x14ac:dyDescent="0.35">
      <c r="X6481" s="8"/>
    </row>
    <row r="6482" spans="24:24" x14ac:dyDescent="0.35">
      <c r="X6482" s="8"/>
    </row>
    <row r="6483" spans="24:24" x14ac:dyDescent="0.35">
      <c r="X6483" s="8"/>
    </row>
    <row r="6484" spans="24:24" x14ac:dyDescent="0.35">
      <c r="X6484" s="8"/>
    </row>
    <row r="6485" spans="24:24" x14ac:dyDescent="0.35">
      <c r="X6485" s="8"/>
    </row>
    <row r="6486" spans="24:24" x14ac:dyDescent="0.35">
      <c r="X6486" s="8"/>
    </row>
    <row r="6487" spans="24:24" x14ac:dyDescent="0.35">
      <c r="X6487" s="8"/>
    </row>
    <row r="6488" spans="24:24" x14ac:dyDescent="0.35">
      <c r="X6488" s="8"/>
    </row>
    <row r="6489" spans="24:24" x14ac:dyDescent="0.35">
      <c r="X6489" s="8"/>
    </row>
    <row r="6490" spans="24:24" x14ac:dyDescent="0.35">
      <c r="X6490" s="8"/>
    </row>
    <row r="6491" spans="24:24" x14ac:dyDescent="0.35">
      <c r="X6491" s="8"/>
    </row>
    <row r="6492" spans="24:24" x14ac:dyDescent="0.35">
      <c r="X6492" s="8"/>
    </row>
    <row r="6493" spans="24:24" x14ac:dyDescent="0.35">
      <c r="X6493" s="8"/>
    </row>
    <row r="6494" spans="24:24" x14ac:dyDescent="0.35">
      <c r="X6494" s="8"/>
    </row>
    <row r="6495" spans="24:24" x14ac:dyDescent="0.35">
      <c r="X6495" s="8"/>
    </row>
    <row r="6496" spans="24:24" x14ac:dyDescent="0.35">
      <c r="X6496" s="8"/>
    </row>
    <row r="6497" spans="24:24" x14ac:dyDescent="0.35">
      <c r="X6497" s="8"/>
    </row>
    <row r="6498" spans="24:24" x14ac:dyDescent="0.35">
      <c r="X6498" s="8"/>
    </row>
    <row r="6499" spans="24:24" x14ac:dyDescent="0.35">
      <c r="X6499" s="8"/>
    </row>
    <row r="6500" spans="24:24" x14ac:dyDescent="0.35">
      <c r="X6500" s="8"/>
    </row>
    <row r="6501" spans="24:24" x14ac:dyDescent="0.35">
      <c r="X6501" s="8"/>
    </row>
    <row r="6502" spans="24:24" x14ac:dyDescent="0.35">
      <c r="X6502" s="8"/>
    </row>
    <row r="6503" spans="24:24" x14ac:dyDescent="0.35">
      <c r="X6503" s="8"/>
    </row>
    <row r="6504" spans="24:24" x14ac:dyDescent="0.35">
      <c r="X6504" s="8"/>
    </row>
    <row r="6505" spans="24:24" x14ac:dyDescent="0.35">
      <c r="X6505" s="8"/>
    </row>
    <row r="6506" spans="24:24" x14ac:dyDescent="0.35">
      <c r="X6506" s="8"/>
    </row>
    <row r="6507" spans="24:24" x14ac:dyDescent="0.35">
      <c r="X6507" s="8"/>
    </row>
    <row r="6508" spans="24:24" x14ac:dyDescent="0.35">
      <c r="X6508" s="8"/>
    </row>
    <row r="6509" spans="24:24" x14ac:dyDescent="0.35">
      <c r="X6509" s="8"/>
    </row>
    <row r="6510" spans="24:24" x14ac:dyDescent="0.35">
      <c r="X6510" s="8"/>
    </row>
    <row r="6511" spans="24:24" x14ac:dyDescent="0.35">
      <c r="X6511" s="8"/>
    </row>
    <row r="6512" spans="24:24" x14ac:dyDescent="0.35">
      <c r="X6512" s="8"/>
    </row>
    <row r="6513" spans="24:24" x14ac:dyDescent="0.35">
      <c r="X6513" s="8"/>
    </row>
    <row r="6514" spans="24:24" x14ac:dyDescent="0.35">
      <c r="X6514" s="8"/>
    </row>
    <row r="6515" spans="24:24" x14ac:dyDescent="0.35">
      <c r="X6515" s="8"/>
    </row>
    <row r="6516" spans="24:24" x14ac:dyDescent="0.35">
      <c r="X6516" s="8"/>
    </row>
    <row r="6517" spans="24:24" x14ac:dyDescent="0.35">
      <c r="X6517" s="8"/>
    </row>
    <row r="6518" spans="24:24" x14ac:dyDescent="0.35">
      <c r="X6518" s="8"/>
    </row>
    <row r="6519" spans="24:24" x14ac:dyDescent="0.35">
      <c r="X6519" s="8"/>
    </row>
    <row r="6520" spans="24:24" x14ac:dyDescent="0.35">
      <c r="X6520" s="8"/>
    </row>
    <row r="6521" spans="24:24" x14ac:dyDescent="0.35">
      <c r="X6521" s="8"/>
    </row>
    <row r="6522" spans="24:24" x14ac:dyDescent="0.35">
      <c r="X6522" s="8"/>
    </row>
    <row r="6523" spans="24:24" x14ac:dyDescent="0.35">
      <c r="X6523" s="8"/>
    </row>
    <row r="6524" spans="24:24" x14ac:dyDescent="0.35">
      <c r="X6524" s="8"/>
    </row>
    <row r="6525" spans="24:24" x14ac:dyDescent="0.35">
      <c r="X6525" s="8"/>
    </row>
    <row r="6526" spans="24:24" x14ac:dyDescent="0.35">
      <c r="X6526" s="8"/>
    </row>
    <row r="6527" spans="24:24" x14ac:dyDescent="0.35">
      <c r="X6527" s="8"/>
    </row>
    <row r="6528" spans="24:24" x14ac:dyDescent="0.35">
      <c r="X6528" s="8"/>
    </row>
    <row r="6529" spans="24:24" x14ac:dyDescent="0.35">
      <c r="X6529" s="8"/>
    </row>
    <row r="6530" spans="24:24" x14ac:dyDescent="0.35">
      <c r="X6530" s="8"/>
    </row>
    <row r="6531" spans="24:24" x14ac:dyDescent="0.35">
      <c r="X6531" s="8"/>
    </row>
    <row r="6532" spans="24:24" x14ac:dyDescent="0.35">
      <c r="X6532" s="8"/>
    </row>
    <row r="6533" spans="24:24" x14ac:dyDescent="0.35">
      <c r="X6533" s="8"/>
    </row>
    <row r="6534" spans="24:24" x14ac:dyDescent="0.35">
      <c r="X6534" s="8"/>
    </row>
    <row r="6535" spans="24:24" x14ac:dyDescent="0.35">
      <c r="X6535" s="8"/>
    </row>
    <row r="6536" spans="24:24" x14ac:dyDescent="0.35">
      <c r="X6536" s="8"/>
    </row>
    <row r="6537" spans="24:24" x14ac:dyDescent="0.35">
      <c r="X6537" s="8"/>
    </row>
    <row r="6538" spans="24:24" x14ac:dyDescent="0.35">
      <c r="X6538" s="8"/>
    </row>
    <row r="6539" spans="24:24" x14ac:dyDescent="0.35">
      <c r="X6539" s="8"/>
    </row>
    <row r="6540" spans="24:24" x14ac:dyDescent="0.35">
      <c r="X6540" s="8"/>
    </row>
    <row r="6541" spans="24:24" x14ac:dyDescent="0.35">
      <c r="X6541" s="8"/>
    </row>
    <row r="6542" spans="24:24" x14ac:dyDescent="0.35">
      <c r="X6542" s="8"/>
    </row>
    <row r="6543" spans="24:24" x14ac:dyDescent="0.35">
      <c r="X6543" s="8"/>
    </row>
    <row r="6544" spans="24:24" x14ac:dyDescent="0.35">
      <c r="X6544" s="8"/>
    </row>
    <row r="6545" spans="24:24" x14ac:dyDescent="0.35">
      <c r="X6545" s="8"/>
    </row>
    <row r="6546" spans="24:24" x14ac:dyDescent="0.35">
      <c r="X6546" s="8"/>
    </row>
    <row r="6547" spans="24:24" x14ac:dyDescent="0.35">
      <c r="X6547" s="8"/>
    </row>
    <row r="6548" spans="24:24" x14ac:dyDescent="0.35">
      <c r="X6548" s="8"/>
    </row>
    <row r="6549" spans="24:24" x14ac:dyDescent="0.35">
      <c r="X6549" s="8"/>
    </row>
    <row r="6550" spans="24:24" x14ac:dyDescent="0.35">
      <c r="X6550" s="8"/>
    </row>
    <row r="6551" spans="24:24" x14ac:dyDescent="0.35">
      <c r="X6551" s="8"/>
    </row>
    <row r="6552" spans="24:24" x14ac:dyDescent="0.35">
      <c r="X6552" s="8"/>
    </row>
    <row r="6553" spans="24:24" x14ac:dyDescent="0.35">
      <c r="X6553" s="8"/>
    </row>
    <row r="6554" spans="24:24" x14ac:dyDescent="0.35">
      <c r="X6554" s="8"/>
    </row>
    <row r="6555" spans="24:24" x14ac:dyDescent="0.35">
      <c r="X6555" s="8"/>
    </row>
    <row r="6556" spans="24:24" x14ac:dyDescent="0.35">
      <c r="X6556" s="8"/>
    </row>
    <row r="6557" spans="24:24" x14ac:dyDescent="0.35">
      <c r="X6557" s="8"/>
    </row>
    <row r="6558" spans="24:24" x14ac:dyDescent="0.35">
      <c r="X6558" s="8"/>
    </row>
    <row r="6559" spans="24:24" x14ac:dyDescent="0.35">
      <c r="X6559" s="8"/>
    </row>
    <row r="6560" spans="24:24" x14ac:dyDescent="0.35">
      <c r="X6560" s="8"/>
    </row>
    <row r="6561" spans="24:24" x14ac:dyDescent="0.35">
      <c r="X6561" s="8"/>
    </row>
    <row r="6562" spans="24:24" x14ac:dyDescent="0.35">
      <c r="X6562" s="8"/>
    </row>
    <row r="6563" spans="24:24" x14ac:dyDescent="0.35">
      <c r="X6563" s="8"/>
    </row>
    <row r="6564" spans="24:24" x14ac:dyDescent="0.35">
      <c r="X6564" s="8"/>
    </row>
    <row r="6565" spans="24:24" x14ac:dyDescent="0.35">
      <c r="X6565" s="8"/>
    </row>
    <row r="6566" spans="24:24" x14ac:dyDescent="0.35">
      <c r="X6566" s="8"/>
    </row>
    <row r="6567" spans="24:24" x14ac:dyDescent="0.35">
      <c r="X6567" s="8"/>
    </row>
    <row r="6568" spans="24:24" x14ac:dyDescent="0.35">
      <c r="X6568" s="8"/>
    </row>
    <row r="6569" spans="24:24" x14ac:dyDescent="0.35">
      <c r="X6569" s="8"/>
    </row>
    <row r="6570" spans="24:24" x14ac:dyDescent="0.35">
      <c r="X6570" s="8"/>
    </row>
    <row r="6571" spans="24:24" x14ac:dyDescent="0.35">
      <c r="X6571" s="8"/>
    </row>
    <row r="6572" spans="24:24" x14ac:dyDescent="0.35">
      <c r="X6572" s="8"/>
    </row>
    <row r="6573" spans="24:24" x14ac:dyDescent="0.35">
      <c r="X6573" s="8"/>
    </row>
    <row r="6574" spans="24:24" x14ac:dyDescent="0.35">
      <c r="X6574" s="8"/>
    </row>
    <row r="6575" spans="24:24" x14ac:dyDescent="0.35">
      <c r="X6575" s="8"/>
    </row>
    <row r="6576" spans="24:24" x14ac:dyDescent="0.35">
      <c r="X6576" s="8"/>
    </row>
    <row r="6577" spans="24:24" x14ac:dyDescent="0.35">
      <c r="X6577" s="8"/>
    </row>
    <row r="6578" spans="24:24" x14ac:dyDescent="0.35">
      <c r="X6578" s="8"/>
    </row>
    <row r="6579" spans="24:24" x14ac:dyDescent="0.35">
      <c r="X6579" s="8"/>
    </row>
    <row r="6580" spans="24:24" x14ac:dyDescent="0.35">
      <c r="X6580" s="8"/>
    </row>
    <row r="6581" spans="24:24" x14ac:dyDescent="0.35">
      <c r="X6581" s="8"/>
    </row>
    <row r="6582" spans="24:24" x14ac:dyDescent="0.35">
      <c r="X6582" s="8"/>
    </row>
    <row r="6583" spans="24:24" x14ac:dyDescent="0.35">
      <c r="X6583" s="8"/>
    </row>
    <row r="6584" spans="24:24" x14ac:dyDescent="0.35">
      <c r="X6584" s="8"/>
    </row>
    <row r="6585" spans="24:24" x14ac:dyDescent="0.35">
      <c r="X6585" s="8"/>
    </row>
    <row r="6586" spans="24:24" x14ac:dyDescent="0.35">
      <c r="X6586" s="8"/>
    </row>
    <row r="6587" spans="24:24" x14ac:dyDescent="0.35">
      <c r="X6587" s="8"/>
    </row>
    <row r="6588" spans="24:24" x14ac:dyDescent="0.35">
      <c r="X6588" s="8"/>
    </row>
    <row r="6589" spans="24:24" x14ac:dyDescent="0.35">
      <c r="X6589" s="8"/>
    </row>
    <row r="6590" spans="24:24" x14ac:dyDescent="0.35">
      <c r="X6590" s="8"/>
    </row>
    <row r="6591" spans="24:24" x14ac:dyDescent="0.35">
      <c r="X6591" s="8"/>
    </row>
    <row r="6592" spans="24:24" x14ac:dyDescent="0.35">
      <c r="X6592" s="8"/>
    </row>
    <row r="6593" spans="24:24" x14ac:dyDescent="0.35">
      <c r="X6593" s="8"/>
    </row>
    <row r="6594" spans="24:24" x14ac:dyDescent="0.35">
      <c r="X6594" s="8"/>
    </row>
    <row r="6595" spans="24:24" x14ac:dyDescent="0.35">
      <c r="X6595" s="8"/>
    </row>
    <row r="6596" spans="24:24" x14ac:dyDescent="0.35">
      <c r="X6596" s="8"/>
    </row>
    <row r="6597" spans="24:24" x14ac:dyDescent="0.35">
      <c r="X6597" s="8"/>
    </row>
    <row r="6598" spans="24:24" x14ac:dyDescent="0.35">
      <c r="X6598" s="8"/>
    </row>
    <row r="6599" spans="24:24" x14ac:dyDescent="0.35">
      <c r="X6599" s="8"/>
    </row>
    <row r="6600" spans="24:24" x14ac:dyDescent="0.35">
      <c r="X6600" s="8"/>
    </row>
    <row r="6601" spans="24:24" x14ac:dyDescent="0.35">
      <c r="X6601" s="8"/>
    </row>
    <row r="6602" spans="24:24" x14ac:dyDescent="0.35">
      <c r="X6602" s="8"/>
    </row>
    <row r="6603" spans="24:24" x14ac:dyDescent="0.35">
      <c r="X6603" s="8"/>
    </row>
    <row r="6604" spans="24:24" x14ac:dyDescent="0.35">
      <c r="X6604" s="8"/>
    </row>
    <row r="6605" spans="24:24" x14ac:dyDescent="0.35">
      <c r="X6605" s="8"/>
    </row>
    <row r="6606" spans="24:24" x14ac:dyDescent="0.35">
      <c r="X6606" s="8"/>
    </row>
    <row r="6607" spans="24:24" x14ac:dyDescent="0.35">
      <c r="X6607" s="8"/>
    </row>
    <row r="6608" spans="24:24" x14ac:dyDescent="0.35">
      <c r="X6608" s="8"/>
    </row>
    <row r="6609" spans="24:24" x14ac:dyDescent="0.35">
      <c r="X6609" s="8"/>
    </row>
    <row r="6610" spans="24:24" x14ac:dyDescent="0.35">
      <c r="X6610" s="8"/>
    </row>
    <row r="6611" spans="24:24" x14ac:dyDescent="0.35">
      <c r="X6611" s="8"/>
    </row>
    <row r="6612" spans="24:24" x14ac:dyDescent="0.35">
      <c r="X6612" s="8"/>
    </row>
    <row r="6613" spans="24:24" x14ac:dyDescent="0.35">
      <c r="X6613" s="8"/>
    </row>
    <row r="6614" spans="24:24" x14ac:dyDescent="0.35">
      <c r="X6614" s="8"/>
    </row>
    <row r="6615" spans="24:24" x14ac:dyDescent="0.35">
      <c r="X6615" s="8"/>
    </row>
    <row r="6616" spans="24:24" x14ac:dyDescent="0.35">
      <c r="X6616" s="8"/>
    </row>
    <row r="6617" spans="24:24" x14ac:dyDescent="0.35">
      <c r="X6617" s="8"/>
    </row>
    <row r="6618" spans="24:24" x14ac:dyDescent="0.35">
      <c r="X6618" s="8"/>
    </row>
    <row r="6619" spans="24:24" x14ac:dyDescent="0.35">
      <c r="X6619" s="8"/>
    </row>
    <row r="6620" spans="24:24" x14ac:dyDescent="0.35">
      <c r="X6620" s="8"/>
    </row>
    <row r="6621" spans="24:24" x14ac:dyDescent="0.35">
      <c r="X6621" s="8"/>
    </row>
    <row r="6622" spans="24:24" x14ac:dyDescent="0.35">
      <c r="X6622" s="8"/>
    </row>
    <row r="6623" spans="24:24" x14ac:dyDescent="0.35">
      <c r="X6623" s="8"/>
    </row>
    <row r="6624" spans="24:24" x14ac:dyDescent="0.35">
      <c r="X6624" s="8"/>
    </row>
    <row r="6625" spans="24:24" x14ac:dyDescent="0.35">
      <c r="X6625" s="8"/>
    </row>
    <row r="6626" spans="24:24" x14ac:dyDescent="0.35">
      <c r="X6626" s="8"/>
    </row>
    <row r="6627" spans="24:24" x14ac:dyDescent="0.35">
      <c r="X6627" s="8"/>
    </row>
    <row r="6628" spans="24:24" x14ac:dyDescent="0.35">
      <c r="X6628" s="8"/>
    </row>
    <row r="6629" spans="24:24" x14ac:dyDescent="0.35">
      <c r="X6629" s="8"/>
    </row>
    <row r="6630" spans="24:24" x14ac:dyDescent="0.35">
      <c r="X6630" s="8"/>
    </row>
    <row r="6631" spans="24:24" x14ac:dyDescent="0.35">
      <c r="X6631" s="8"/>
    </row>
    <row r="6632" spans="24:24" x14ac:dyDescent="0.35">
      <c r="X6632" s="8"/>
    </row>
    <row r="6633" spans="24:24" x14ac:dyDescent="0.35">
      <c r="X6633" s="8"/>
    </row>
    <row r="6634" spans="24:24" x14ac:dyDescent="0.35">
      <c r="X6634" s="8"/>
    </row>
    <row r="6635" spans="24:24" x14ac:dyDescent="0.35">
      <c r="X6635" s="8"/>
    </row>
    <row r="6636" spans="24:24" x14ac:dyDescent="0.35">
      <c r="X6636" s="8"/>
    </row>
    <row r="6637" spans="24:24" x14ac:dyDescent="0.35">
      <c r="X6637" s="8"/>
    </row>
    <row r="6638" spans="24:24" x14ac:dyDescent="0.35">
      <c r="X6638" s="8"/>
    </row>
    <row r="6639" spans="24:24" x14ac:dyDescent="0.35">
      <c r="X6639" s="8"/>
    </row>
    <row r="6640" spans="24:24" x14ac:dyDescent="0.35">
      <c r="X6640" s="8"/>
    </row>
    <row r="6641" spans="24:24" x14ac:dyDescent="0.35">
      <c r="X6641" s="8"/>
    </row>
    <row r="6642" spans="24:24" x14ac:dyDescent="0.35">
      <c r="X6642" s="8"/>
    </row>
    <row r="6643" spans="24:24" x14ac:dyDescent="0.35">
      <c r="X6643" s="8"/>
    </row>
    <row r="6644" spans="24:24" x14ac:dyDescent="0.35">
      <c r="X6644" s="8"/>
    </row>
    <row r="6645" spans="24:24" x14ac:dyDescent="0.35">
      <c r="X6645" s="8"/>
    </row>
    <row r="6646" spans="24:24" x14ac:dyDescent="0.35">
      <c r="X6646" s="8"/>
    </row>
    <row r="6647" spans="24:24" x14ac:dyDescent="0.35">
      <c r="X6647" s="8"/>
    </row>
    <row r="6648" spans="24:24" x14ac:dyDescent="0.35">
      <c r="X6648" s="8"/>
    </row>
    <row r="6649" spans="24:24" x14ac:dyDescent="0.35">
      <c r="X6649" s="8"/>
    </row>
    <row r="6650" spans="24:24" x14ac:dyDescent="0.35">
      <c r="X6650" s="8"/>
    </row>
    <row r="6651" spans="24:24" x14ac:dyDescent="0.35">
      <c r="X6651" s="8"/>
    </row>
    <row r="6652" spans="24:24" x14ac:dyDescent="0.35">
      <c r="X6652" s="8"/>
    </row>
    <row r="6653" spans="24:24" x14ac:dyDescent="0.35">
      <c r="X6653" s="8"/>
    </row>
    <row r="6654" spans="24:24" x14ac:dyDescent="0.35">
      <c r="X6654" s="8"/>
    </row>
    <row r="6655" spans="24:24" x14ac:dyDescent="0.35">
      <c r="X6655" s="8"/>
    </row>
    <row r="6656" spans="24:24" x14ac:dyDescent="0.35">
      <c r="X6656" s="8"/>
    </row>
    <row r="6657" spans="24:24" x14ac:dyDescent="0.35">
      <c r="X6657" s="8"/>
    </row>
    <row r="6658" spans="24:24" x14ac:dyDescent="0.35">
      <c r="X6658" s="8"/>
    </row>
    <row r="6659" spans="24:24" x14ac:dyDescent="0.35">
      <c r="X6659" s="8"/>
    </row>
    <row r="6660" spans="24:24" x14ac:dyDescent="0.35">
      <c r="X6660" s="8"/>
    </row>
    <row r="6661" spans="24:24" x14ac:dyDescent="0.35">
      <c r="X6661" s="8"/>
    </row>
    <row r="6662" spans="24:24" x14ac:dyDescent="0.35">
      <c r="X6662" s="8"/>
    </row>
    <row r="6663" spans="24:24" x14ac:dyDescent="0.35">
      <c r="X6663" s="8"/>
    </row>
    <row r="6664" spans="24:24" x14ac:dyDescent="0.35">
      <c r="X6664" s="8"/>
    </row>
    <row r="6665" spans="24:24" x14ac:dyDescent="0.35">
      <c r="X6665" s="8"/>
    </row>
    <row r="6666" spans="24:24" x14ac:dyDescent="0.35">
      <c r="X6666" s="8"/>
    </row>
    <row r="6667" spans="24:24" x14ac:dyDescent="0.35">
      <c r="X6667" s="8"/>
    </row>
    <row r="6668" spans="24:24" x14ac:dyDescent="0.35">
      <c r="X6668" s="8"/>
    </row>
    <row r="6669" spans="24:24" x14ac:dyDescent="0.35">
      <c r="X6669" s="8"/>
    </row>
    <row r="6670" spans="24:24" x14ac:dyDescent="0.35">
      <c r="X6670" s="8"/>
    </row>
    <row r="6671" spans="24:24" x14ac:dyDescent="0.35">
      <c r="X6671" s="8"/>
    </row>
    <row r="6672" spans="24:24" x14ac:dyDescent="0.35">
      <c r="X6672" s="8"/>
    </row>
    <row r="6673" spans="24:24" x14ac:dyDescent="0.35">
      <c r="X6673" s="8"/>
    </row>
    <row r="6674" spans="24:24" x14ac:dyDescent="0.35">
      <c r="X6674" s="8"/>
    </row>
    <row r="6675" spans="24:24" x14ac:dyDescent="0.35">
      <c r="X6675" s="8"/>
    </row>
    <row r="6676" spans="24:24" x14ac:dyDescent="0.35">
      <c r="X6676" s="8"/>
    </row>
    <row r="6677" spans="24:24" x14ac:dyDescent="0.35">
      <c r="X6677" s="8"/>
    </row>
    <row r="6678" spans="24:24" x14ac:dyDescent="0.35">
      <c r="X6678" s="8"/>
    </row>
    <row r="6679" spans="24:24" x14ac:dyDescent="0.35">
      <c r="X6679" s="8"/>
    </row>
    <row r="6680" spans="24:24" x14ac:dyDescent="0.35">
      <c r="X6680" s="8"/>
    </row>
    <row r="6681" spans="24:24" x14ac:dyDescent="0.35">
      <c r="X6681" s="8"/>
    </row>
    <row r="6682" spans="24:24" x14ac:dyDescent="0.35">
      <c r="X6682" s="8"/>
    </row>
    <row r="6683" spans="24:24" x14ac:dyDescent="0.35">
      <c r="X6683" s="8"/>
    </row>
    <row r="6684" spans="24:24" x14ac:dyDescent="0.35">
      <c r="X6684" s="8"/>
    </row>
    <row r="6685" spans="24:24" x14ac:dyDescent="0.35">
      <c r="X6685" s="8"/>
    </row>
    <row r="6686" spans="24:24" x14ac:dyDescent="0.35">
      <c r="X6686" s="8"/>
    </row>
    <row r="6687" spans="24:24" x14ac:dyDescent="0.35">
      <c r="X6687" s="8"/>
    </row>
    <row r="6688" spans="24:24" x14ac:dyDescent="0.35">
      <c r="X6688" s="8"/>
    </row>
    <row r="6689" spans="24:24" x14ac:dyDescent="0.35">
      <c r="X6689" s="8"/>
    </row>
    <row r="6690" spans="24:24" x14ac:dyDescent="0.35">
      <c r="X6690" s="8"/>
    </row>
    <row r="6691" spans="24:24" x14ac:dyDescent="0.35">
      <c r="X6691" s="8"/>
    </row>
    <row r="6692" spans="24:24" x14ac:dyDescent="0.35">
      <c r="X6692" s="8"/>
    </row>
    <row r="6693" spans="24:24" x14ac:dyDescent="0.35">
      <c r="X6693" s="8"/>
    </row>
    <row r="6694" spans="24:24" x14ac:dyDescent="0.35">
      <c r="X6694" s="8"/>
    </row>
    <row r="6695" spans="24:24" x14ac:dyDescent="0.35">
      <c r="X6695" s="8"/>
    </row>
    <row r="6696" spans="24:24" x14ac:dyDescent="0.35">
      <c r="X6696" s="8"/>
    </row>
    <row r="6697" spans="24:24" x14ac:dyDescent="0.35">
      <c r="X6697" s="8"/>
    </row>
    <row r="6698" spans="24:24" x14ac:dyDescent="0.35">
      <c r="X6698" s="8"/>
    </row>
    <row r="6699" spans="24:24" x14ac:dyDescent="0.35">
      <c r="X6699" s="8"/>
    </row>
    <row r="6700" spans="24:24" x14ac:dyDescent="0.35">
      <c r="X6700" s="8"/>
    </row>
    <row r="6701" spans="24:24" x14ac:dyDescent="0.35">
      <c r="X6701" s="8"/>
    </row>
    <row r="6702" spans="24:24" x14ac:dyDescent="0.35">
      <c r="X6702" s="8"/>
    </row>
    <row r="6703" spans="24:24" x14ac:dyDescent="0.35">
      <c r="X6703" s="8"/>
    </row>
    <row r="6704" spans="24:24" x14ac:dyDescent="0.35">
      <c r="X6704" s="8"/>
    </row>
    <row r="6705" spans="24:24" x14ac:dyDescent="0.35">
      <c r="X6705" s="8"/>
    </row>
    <row r="6706" spans="24:24" x14ac:dyDescent="0.35">
      <c r="X6706" s="8"/>
    </row>
    <row r="6707" spans="24:24" x14ac:dyDescent="0.35">
      <c r="X6707" s="8"/>
    </row>
    <row r="6708" spans="24:24" x14ac:dyDescent="0.35">
      <c r="X6708" s="8"/>
    </row>
    <row r="6709" spans="24:24" x14ac:dyDescent="0.35">
      <c r="X6709" s="8"/>
    </row>
    <row r="6710" spans="24:24" x14ac:dyDescent="0.35">
      <c r="X6710" s="8"/>
    </row>
    <row r="6711" spans="24:24" x14ac:dyDescent="0.35">
      <c r="X6711" s="8"/>
    </row>
    <row r="6712" spans="24:24" x14ac:dyDescent="0.35">
      <c r="X6712" s="8"/>
    </row>
    <row r="6713" spans="24:24" x14ac:dyDescent="0.35">
      <c r="X6713" s="8"/>
    </row>
    <row r="6714" spans="24:24" x14ac:dyDescent="0.35">
      <c r="X6714" s="8"/>
    </row>
    <row r="6715" spans="24:24" x14ac:dyDescent="0.35">
      <c r="X6715" s="8"/>
    </row>
    <row r="6716" spans="24:24" x14ac:dyDescent="0.35">
      <c r="X6716" s="8"/>
    </row>
    <row r="6717" spans="24:24" x14ac:dyDescent="0.35">
      <c r="X6717" s="8"/>
    </row>
    <row r="6718" spans="24:24" x14ac:dyDescent="0.35">
      <c r="X6718" s="8"/>
    </row>
    <row r="6719" spans="24:24" x14ac:dyDescent="0.35">
      <c r="X6719" s="8"/>
    </row>
    <row r="6720" spans="24:24" x14ac:dyDescent="0.35">
      <c r="X6720" s="8"/>
    </row>
    <row r="6721" spans="24:24" x14ac:dyDescent="0.35">
      <c r="X6721" s="8"/>
    </row>
    <row r="6722" spans="24:24" x14ac:dyDescent="0.35">
      <c r="X6722" s="8"/>
    </row>
    <row r="6723" spans="24:24" x14ac:dyDescent="0.35">
      <c r="X6723" s="8"/>
    </row>
    <row r="6724" spans="24:24" x14ac:dyDescent="0.35">
      <c r="X6724" s="8"/>
    </row>
    <row r="6725" spans="24:24" x14ac:dyDescent="0.35">
      <c r="X6725" s="8"/>
    </row>
    <row r="6726" spans="24:24" x14ac:dyDescent="0.35">
      <c r="X6726" s="8"/>
    </row>
    <row r="6727" spans="24:24" x14ac:dyDescent="0.35">
      <c r="X6727" s="8"/>
    </row>
    <row r="6728" spans="24:24" x14ac:dyDescent="0.35">
      <c r="X6728" s="8"/>
    </row>
    <row r="6729" spans="24:24" x14ac:dyDescent="0.35">
      <c r="X6729" s="8"/>
    </row>
    <row r="6730" spans="24:24" x14ac:dyDescent="0.35">
      <c r="X6730" s="8"/>
    </row>
    <row r="6731" spans="24:24" x14ac:dyDescent="0.35">
      <c r="X6731" s="8"/>
    </row>
    <row r="6732" spans="24:24" x14ac:dyDescent="0.35">
      <c r="X6732" s="8"/>
    </row>
    <row r="6733" spans="24:24" x14ac:dyDescent="0.35">
      <c r="X6733" s="8"/>
    </row>
    <row r="6734" spans="24:24" x14ac:dyDescent="0.35">
      <c r="X6734" s="8"/>
    </row>
    <row r="6735" spans="24:24" x14ac:dyDescent="0.35">
      <c r="X6735" s="8"/>
    </row>
    <row r="6736" spans="24:24" x14ac:dyDescent="0.35">
      <c r="X6736" s="8"/>
    </row>
    <row r="6737" spans="24:24" x14ac:dyDescent="0.35">
      <c r="X6737" s="8"/>
    </row>
    <row r="6738" spans="24:24" x14ac:dyDescent="0.35">
      <c r="X6738" s="8"/>
    </row>
    <row r="6739" spans="24:24" x14ac:dyDescent="0.35">
      <c r="X6739" s="8"/>
    </row>
    <row r="6740" spans="24:24" x14ac:dyDescent="0.35">
      <c r="X6740" s="8"/>
    </row>
    <row r="6741" spans="24:24" x14ac:dyDescent="0.35">
      <c r="X6741" s="8"/>
    </row>
    <row r="6742" spans="24:24" x14ac:dyDescent="0.35">
      <c r="X6742" s="8"/>
    </row>
    <row r="6743" spans="24:24" x14ac:dyDescent="0.35">
      <c r="X6743" s="8"/>
    </row>
    <row r="6744" spans="24:24" x14ac:dyDescent="0.35">
      <c r="X6744" s="8"/>
    </row>
    <row r="6745" spans="24:24" x14ac:dyDescent="0.35">
      <c r="X6745" s="8"/>
    </row>
    <row r="6746" spans="24:24" x14ac:dyDescent="0.35">
      <c r="X6746" s="8"/>
    </row>
    <row r="6747" spans="24:24" x14ac:dyDescent="0.35">
      <c r="X6747" s="8"/>
    </row>
    <row r="6748" spans="24:24" x14ac:dyDescent="0.35">
      <c r="X6748" s="8"/>
    </row>
    <row r="6749" spans="24:24" x14ac:dyDescent="0.35">
      <c r="X6749" s="8"/>
    </row>
    <row r="6750" spans="24:24" x14ac:dyDescent="0.35">
      <c r="X6750" s="8"/>
    </row>
    <row r="6751" spans="24:24" x14ac:dyDescent="0.35">
      <c r="X6751" s="8"/>
    </row>
    <row r="6752" spans="24:24" x14ac:dyDescent="0.35">
      <c r="X6752" s="8"/>
    </row>
    <row r="6753" spans="24:24" x14ac:dyDescent="0.35">
      <c r="X6753" s="8"/>
    </row>
    <row r="6754" spans="24:24" x14ac:dyDescent="0.35">
      <c r="X6754" s="8"/>
    </row>
    <row r="6755" spans="24:24" x14ac:dyDescent="0.35">
      <c r="X6755" s="8"/>
    </row>
    <row r="6756" spans="24:24" x14ac:dyDescent="0.35">
      <c r="X6756" s="8"/>
    </row>
    <row r="6757" spans="24:24" x14ac:dyDescent="0.35">
      <c r="X6757" s="8"/>
    </row>
    <row r="6758" spans="24:24" x14ac:dyDescent="0.35">
      <c r="X6758" s="8"/>
    </row>
    <row r="6759" spans="24:24" x14ac:dyDescent="0.35">
      <c r="X6759" s="8"/>
    </row>
    <row r="6760" spans="24:24" x14ac:dyDescent="0.35">
      <c r="X6760" s="8"/>
    </row>
    <row r="6761" spans="24:24" x14ac:dyDescent="0.35">
      <c r="X6761" s="8"/>
    </row>
    <row r="6762" spans="24:24" x14ac:dyDescent="0.35">
      <c r="X6762" s="8"/>
    </row>
    <row r="6763" spans="24:24" x14ac:dyDescent="0.35">
      <c r="X6763" s="8"/>
    </row>
    <row r="6764" spans="24:24" x14ac:dyDescent="0.35">
      <c r="X6764" s="8"/>
    </row>
    <row r="6765" spans="24:24" x14ac:dyDescent="0.35">
      <c r="X6765" s="8"/>
    </row>
    <row r="6766" spans="24:24" x14ac:dyDescent="0.35">
      <c r="X6766" s="8"/>
    </row>
    <row r="6767" spans="24:24" x14ac:dyDescent="0.35">
      <c r="X6767" s="8"/>
    </row>
    <row r="6768" spans="24:24" x14ac:dyDescent="0.35">
      <c r="X6768" s="8"/>
    </row>
    <row r="6769" spans="24:24" x14ac:dyDescent="0.35">
      <c r="X6769" s="8"/>
    </row>
    <row r="6770" spans="24:24" x14ac:dyDescent="0.35">
      <c r="X6770" s="8"/>
    </row>
    <row r="6771" spans="24:24" x14ac:dyDescent="0.35">
      <c r="X6771" s="8"/>
    </row>
    <row r="6772" spans="24:24" x14ac:dyDescent="0.35">
      <c r="X6772" s="8"/>
    </row>
    <row r="6773" spans="24:24" x14ac:dyDescent="0.35">
      <c r="X6773" s="8"/>
    </row>
    <row r="6774" spans="24:24" x14ac:dyDescent="0.35">
      <c r="X6774" s="8"/>
    </row>
    <row r="6775" spans="24:24" x14ac:dyDescent="0.35">
      <c r="X6775" s="8"/>
    </row>
    <row r="6776" spans="24:24" x14ac:dyDescent="0.35">
      <c r="X6776" s="8"/>
    </row>
    <row r="6777" spans="24:24" x14ac:dyDescent="0.35">
      <c r="X6777" s="8"/>
    </row>
    <row r="6778" spans="24:24" x14ac:dyDescent="0.35">
      <c r="X6778" s="8"/>
    </row>
    <row r="6779" spans="24:24" x14ac:dyDescent="0.35">
      <c r="X6779" s="8"/>
    </row>
    <row r="6780" spans="24:24" x14ac:dyDescent="0.35">
      <c r="X6780" s="8"/>
    </row>
    <row r="6781" spans="24:24" x14ac:dyDescent="0.35">
      <c r="X6781" s="8"/>
    </row>
    <row r="6782" spans="24:24" x14ac:dyDescent="0.35">
      <c r="X6782" s="8"/>
    </row>
    <row r="6783" spans="24:24" x14ac:dyDescent="0.35">
      <c r="X6783" s="8"/>
    </row>
    <row r="6784" spans="24:24" x14ac:dyDescent="0.35">
      <c r="X6784" s="8"/>
    </row>
    <row r="6785" spans="24:24" x14ac:dyDescent="0.35">
      <c r="X6785" s="8"/>
    </row>
    <row r="6786" spans="24:24" x14ac:dyDescent="0.35">
      <c r="X6786" s="8"/>
    </row>
    <row r="6787" spans="24:24" x14ac:dyDescent="0.35">
      <c r="X6787" s="8"/>
    </row>
    <row r="6788" spans="24:24" x14ac:dyDescent="0.35">
      <c r="X6788" s="8"/>
    </row>
    <row r="6789" spans="24:24" x14ac:dyDescent="0.35">
      <c r="X6789" s="8"/>
    </row>
    <row r="6790" spans="24:24" x14ac:dyDescent="0.35">
      <c r="X6790" s="8"/>
    </row>
    <row r="6791" spans="24:24" x14ac:dyDescent="0.35">
      <c r="X6791" s="8"/>
    </row>
    <row r="6792" spans="24:24" x14ac:dyDescent="0.35">
      <c r="X6792" s="8"/>
    </row>
    <row r="6793" spans="24:24" x14ac:dyDescent="0.35">
      <c r="X6793" s="8"/>
    </row>
    <row r="6794" spans="24:24" x14ac:dyDescent="0.35">
      <c r="X6794" s="8"/>
    </row>
    <row r="6795" spans="24:24" x14ac:dyDescent="0.35">
      <c r="X6795" s="8"/>
    </row>
    <row r="6796" spans="24:24" x14ac:dyDescent="0.35">
      <c r="X6796" s="8"/>
    </row>
    <row r="6797" spans="24:24" x14ac:dyDescent="0.35">
      <c r="X6797" s="8"/>
    </row>
    <row r="6798" spans="24:24" x14ac:dyDescent="0.35">
      <c r="X6798" s="8"/>
    </row>
    <row r="6799" spans="24:24" x14ac:dyDescent="0.35">
      <c r="X6799" s="8"/>
    </row>
    <row r="6800" spans="24:24" x14ac:dyDescent="0.35">
      <c r="X6800" s="8"/>
    </row>
    <row r="6801" spans="24:24" x14ac:dyDescent="0.35">
      <c r="X6801" s="8"/>
    </row>
    <row r="6802" spans="24:24" x14ac:dyDescent="0.35">
      <c r="X6802" s="8"/>
    </row>
    <row r="6803" spans="24:24" x14ac:dyDescent="0.35">
      <c r="X6803" s="8"/>
    </row>
    <row r="6804" spans="24:24" x14ac:dyDescent="0.35">
      <c r="X6804" s="8"/>
    </row>
    <row r="6805" spans="24:24" x14ac:dyDescent="0.35">
      <c r="X6805" s="8"/>
    </row>
    <row r="6806" spans="24:24" x14ac:dyDescent="0.35">
      <c r="X6806" s="8"/>
    </row>
    <row r="6807" spans="24:24" x14ac:dyDescent="0.35">
      <c r="X6807" s="8"/>
    </row>
    <row r="6808" spans="24:24" x14ac:dyDescent="0.35">
      <c r="X6808" s="8"/>
    </row>
    <row r="6809" spans="24:24" x14ac:dyDescent="0.35">
      <c r="X6809" s="8"/>
    </row>
    <row r="6810" spans="24:24" x14ac:dyDescent="0.35">
      <c r="X6810" s="8"/>
    </row>
    <row r="6811" spans="24:24" x14ac:dyDescent="0.35">
      <c r="X6811" s="8"/>
    </row>
    <row r="6812" spans="24:24" x14ac:dyDescent="0.35">
      <c r="X6812" s="8"/>
    </row>
    <row r="6813" spans="24:24" x14ac:dyDescent="0.35">
      <c r="X6813" s="8"/>
    </row>
    <row r="6814" spans="24:24" x14ac:dyDescent="0.35">
      <c r="X6814" s="8"/>
    </row>
    <row r="6815" spans="24:24" x14ac:dyDescent="0.35">
      <c r="X6815" s="8"/>
    </row>
    <row r="6816" spans="24:24" x14ac:dyDescent="0.35">
      <c r="X6816" s="8"/>
    </row>
    <row r="6817" spans="24:24" x14ac:dyDescent="0.35">
      <c r="X6817" s="8"/>
    </row>
    <row r="6818" spans="24:24" x14ac:dyDescent="0.35">
      <c r="X6818" s="8"/>
    </row>
    <row r="6819" spans="24:24" x14ac:dyDescent="0.35">
      <c r="X6819" s="8"/>
    </row>
    <row r="6820" spans="24:24" x14ac:dyDescent="0.35">
      <c r="X6820" s="8"/>
    </row>
    <row r="6821" spans="24:24" x14ac:dyDescent="0.35">
      <c r="X6821" s="8"/>
    </row>
    <row r="6822" spans="24:24" x14ac:dyDescent="0.35">
      <c r="X6822" s="8"/>
    </row>
    <row r="6823" spans="24:24" x14ac:dyDescent="0.35">
      <c r="X6823" s="8"/>
    </row>
    <row r="6824" spans="24:24" x14ac:dyDescent="0.35">
      <c r="X6824" s="8"/>
    </row>
    <row r="6825" spans="24:24" x14ac:dyDescent="0.35">
      <c r="X6825" s="8"/>
    </row>
    <row r="6826" spans="24:24" x14ac:dyDescent="0.35">
      <c r="X6826" s="8"/>
    </row>
    <row r="6827" spans="24:24" x14ac:dyDescent="0.35">
      <c r="X6827" s="8"/>
    </row>
    <row r="6828" spans="24:24" x14ac:dyDescent="0.35">
      <c r="X6828" s="8"/>
    </row>
    <row r="6829" spans="24:24" x14ac:dyDescent="0.35">
      <c r="X6829" s="8"/>
    </row>
    <row r="6830" spans="24:24" x14ac:dyDescent="0.35">
      <c r="X6830" s="8"/>
    </row>
    <row r="6831" spans="24:24" x14ac:dyDescent="0.35">
      <c r="X6831" s="8"/>
    </row>
    <row r="6832" spans="24:24" x14ac:dyDescent="0.35">
      <c r="X6832" s="8"/>
    </row>
    <row r="6833" spans="24:24" x14ac:dyDescent="0.35">
      <c r="X6833" s="8"/>
    </row>
    <row r="6834" spans="24:24" x14ac:dyDescent="0.35">
      <c r="X6834" s="8"/>
    </row>
    <row r="6835" spans="24:24" x14ac:dyDescent="0.35">
      <c r="X6835" s="8"/>
    </row>
    <row r="6836" spans="24:24" x14ac:dyDescent="0.35">
      <c r="X6836" s="8"/>
    </row>
    <row r="6837" spans="24:24" x14ac:dyDescent="0.35">
      <c r="X6837" s="8"/>
    </row>
    <row r="6838" spans="24:24" x14ac:dyDescent="0.35">
      <c r="X6838" s="8"/>
    </row>
    <row r="6839" spans="24:24" x14ac:dyDescent="0.35">
      <c r="X6839" s="8"/>
    </row>
    <row r="6840" spans="24:24" x14ac:dyDescent="0.35">
      <c r="X6840" s="8"/>
    </row>
    <row r="6841" spans="24:24" x14ac:dyDescent="0.35">
      <c r="X6841" s="8"/>
    </row>
    <row r="6842" spans="24:24" x14ac:dyDescent="0.35">
      <c r="X6842" s="8"/>
    </row>
    <row r="6843" spans="24:24" x14ac:dyDescent="0.35">
      <c r="X6843" s="8"/>
    </row>
    <row r="6844" spans="24:24" x14ac:dyDescent="0.35">
      <c r="X6844" s="8"/>
    </row>
    <row r="6845" spans="24:24" x14ac:dyDescent="0.35">
      <c r="X6845" s="8"/>
    </row>
    <row r="6846" spans="24:24" x14ac:dyDescent="0.35">
      <c r="X6846" s="8"/>
    </row>
    <row r="6847" spans="24:24" x14ac:dyDescent="0.35">
      <c r="X6847" s="8"/>
    </row>
    <row r="6848" spans="24:24" x14ac:dyDescent="0.35">
      <c r="X6848" s="8"/>
    </row>
    <row r="6849" spans="24:24" x14ac:dyDescent="0.35">
      <c r="X6849" s="8"/>
    </row>
    <row r="6850" spans="24:24" x14ac:dyDescent="0.35">
      <c r="X6850" s="8"/>
    </row>
    <row r="6851" spans="24:24" x14ac:dyDescent="0.35">
      <c r="X6851" s="8"/>
    </row>
    <row r="6852" spans="24:24" x14ac:dyDescent="0.35">
      <c r="X6852" s="8"/>
    </row>
    <row r="6853" spans="24:24" x14ac:dyDescent="0.35">
      <c r="X6853" s="8"/>
    </row>
    <row r="6854" spans="24:24" x14ac:dyDescent="0.35">
      <c r="X6854" s="8"/>
    </row>
    <row r="6855" spans="24:24" x14ac:dyDescent="0.35">
      <c r="X6855" s="8"/>
    </row>
    <row r="6856" spans="24:24" x14ac:dyDescent="0.35">
      <c r="X6856" s="8"/>
    </row>
    <row r="6857" spans="24:24" x14ac:dyDescent="0.35">
      <c r="X6857" s="8"/>
    </row>
    <row r="6858" spans="24:24" x14ac:dyDescent="0.35">
      <c r="X6858" s="8"/>
    </row>
    <row r="6859" spans="24:24" x14ac:dyDescent="0.35">
      <c r="X6859" s="8"/>
    </row>
    <row r="6860" spans="24:24" x14ac:dyDescent="0.35">
      <c r="X6860" s="8"/>
    </row>
    <row r="6861" spans="24:24" x14ac:dyDescent="0.35">
      <c r="X6861" s="8"/>
    </row>
    <row r="6862" spans="24:24" x14ac:dyDescent="0.35">
      <c r="X6862" s="8"/>
    </row>
    <row r="6863" spans="24:24" x14ac:dyDescent="0.35">
      <c r="X6863" s="8"/>
    </row>
    <row r="6864" spans="24:24" x14ac:dyDescent="0.35">
      <c r="X6864" s="8"/>
    </row>
    <row r="6865" spans="24:24" x14ac:dyDescent="0.35">
      <c r="X6865" s="8"/>
    </row>
    <row r="6866" spans="24:24" x14ac:dyDescent="0.35">
      <c r="X6866" s="8"/>
    </row>
    <row r="6867" spans="24:24" x14ac:dyDescent="0.35">
      <c r="X6867" s="8"/>
    </row>
    <row r="6868" spans="24:24" x14ac:dyDescent="0.35">
      <c r="X6868" s="8"/>
    </row>
    <row r="6869" spans="24:24" x14ac:dyDescent="0.35">
      <c r="X6869" s="8"/>
    </row>
    <row r="6870" spans="24:24" x14ac:dyDescent="0.35">
      <c r="X6870" s="8"/>
    </row>
    <row r="6871" spans="24:24" x14ac:dyDescent="0.35">
      <c r="X6871" s="8"/>
    </row>
    <row r="6872" spans="24:24" x14ac:dyDescent="0.35">
      <c r="X6872" s="8"/>
    </row>
    <row r="6873" spans="24:24" x14ac:dyDescent="0.35">
      <c r="X6873" s="8"/>
    </row>
    <row r="6874" spans="24:24" x14ac:dyDescent="0.35">
      <c r="X6874" s="8"/>
    </row>
    <row r="6875" spans="24:24" x14ac:dyDescent="0.35">
      <c r="X6875" s="8"/>
    </row>
    <row r="6876" spans="24:24" x14ac:dyDescent="0.35">
      <c r="X6876" s="8"/>
    </row>
    <row r="6877" spans="24:24" x14ac:dyDescent="0.35">
      <c r="X6877" s="8"/>
    </row>
    <row r="6878" spans="24:24" x14ac:dyDescent="0.35">
      <c r="X6878" s="8"/>
    </row>
    <row r="6879" spans="24:24" x14ac:dyDescent="0.35">
      <c r="X6879" s="8"/>
    </row>
    <row r="6880" spans="24:24" x14ac:dyDescent="0.35">
      <c r="X6880" s="8"/>
    </row>
    <row r="6881" spans="24:24" x14ac:dyDescent="0.35">
      <c r="X6881" s="8"/>
    </row>
    <row r="6882" spans="24:24" x14ac:dyDescent="0.35">
      <c r="X6882" s="8"/>
    </row>
    <row r="6883" spans="24:24" x14ac:dyDescent="0.35">
      <c r="X6883" s="8"/>
    </row>
    <row r="6884" spans="24:24" x14ac:dyDescent="0.35">
      <c r="X6884" s="8"/>
    </row>
    <row r="6885" spans="24:24" x14ac:dyDescent="0.35">
      <c r="X6885" s="8"/>
    </row>
    <row r="6886" spans="24:24" x14ac:dyDescent="0.35">
      <c r="X6886" s="8"/>
    </row>
    <row r="6887" spans="24:24" x14ac:dyDescent="0.35">
      <c r="X6887" s="8"/>
    </row>
    <row r="6888" spans="24:24" x14ac:dyDescent="0.35">
      <c r="X6888" s="8"/>
    </row>
    <row r="6889" spans="24:24" x14ac:dyDescent="0.35">
      <c r="X6889" s="8"/>
    </row>
    <row r="6890" spans="24:24" x14ac:dyDescent="0.35">
      <c r="X6890" s="8"/>
    </row>
    <row r="6891" spans="24:24" x14ac:dyDescent="0.35">
      <c r="X6891" s="8"/>
    </row>
    <row r="6892" spans="24:24" x14ac:dyDescent="0.35">
      <c r="X6892" s="8"/>
    </row>
    <row r="6893" spans="24:24" x14ac:dyDescent="0.35">
      <c r="X6893" s="8"/>
    </row>
    <row r="6894" spans="24:24" x14ac:dyDescent="0.35">
      <c r="X6894" s="8"/>
    </row>
    <row r="6895" spans="24:24" x14ac:dyDescent="0.35">
      <c r="X6895" s="8"/>
    </row>
    <row r="6896" spans="24:24" x14ac:dyDescent="0.35">
      <c r="X6896" s="8"/>
    </row>
    <row r="6897" spans="24:24" x14ac:dyDescent="0.35">
      <c r="X6897" s="8"/>
    </row>
    <row r="6898" spans="24:24" x14ac:dyDescent="0.35">
      <c r="X6898" s="8"/>
    </row>
    <row r="6899" spans="24:24" x14ac:dyDescent="0.35">
      <c r="X6899" s="8"/>
    </row>
    <row r="6900" spans="24:24" x14ac:dyDescent="0.35">
      <c r="X6900" s="8"/>
    </row>
    <row r="6901" spans="24:24" x14ac:dyDescent="0.35">
      <c r="X6901" s="8"/>
    </row>
    <row r="6902" spans="24:24" x14ac:dyDescent="0.35">
      <c r="X6902" s="8"/>
    </row>
    <row r="6903" spans="24:24" x14ac:dyDescent="0.35">
      <c r="X6903" s="8"/>
    </row>
    <row r="6904" spans="24:24" x14ac:dyDescent="0.35">
      <c r="X6904" s="8"/>
    </row>
    <row r="6905" spans="24:24" x14ac:dyDescent="0.35">
      <c r="X6905" s="8"/>
    </row>
    <row r="6906" spans="24:24" x14ac:dyDescent="0.35">
      <c r="X6906" s="8"/>
    </row>
    <row r="6907" spans="24:24" x14ac:dyDescent="0.35">
      <c r="X6907" s="8"/>
    </row>
    <row r="6908" spans="24:24" x14ac:dyDescent="0.35">
      <c r="X6908" s="8"/>
    </row>
    <row r="6909" spans="24:24" x14ac:dyDescent="0.35">
      <c r="X6909" s="8"/>
    </row>
    <row r="6910" spans="24:24" x14ac:dyDescent="0.35">
      <c r="X6910" s="8"/>
    </row>
    <row r="6911" spans="24:24" x14ac:dyDescent="0.35">
      <c r="X6911" s="8"/>
    </row>
    <row r="6912" spans="24:24" x14ac:dyDescent="0.35">
      <c r="X6912" s="8"/>
    </row>
    <row r="6913" spans="24:24" x14ac:dyDescent="0.35">
      <c r="X6913" s="8"/>
    </row>
    <row r="6914" spans="24:24" x14ac:dyDescent="0.35">
      <c r="X6914" s="8"/>
    </row>
    <row r="6915" spans="24:24" x14ac:dyDescent="0.35">
      <c r="X6915" s="8"/>
    </row>
    <row r="6916" spans="24:24" x14ac:dyDescent="0.35">
      <c r="X6916" s="8"/>
    </row>
    <row r="6917" spans="24:24" x14ac:dyDescent="0.35">
      <c r="X6917" s="8"/>
    </row>
    <row r="6918" spans="24:24" x14ac:dyDescent="0.35">
      <c r="X6918" s="8"/>
    </row>
    <row r="6919" spans="24:24" x14ac:dyDescent="0.35">
      <c r="X6919" s="8"/>
    </row>
    <row r="6920" spans="24:24" x14ac:dyDescent="0.35">
      <c r="X6920" s="8"/>
    </row>
    <row r="6921" spans="24:24" x14ac:dyDescent="0.35">
      <c r="X6921" s="8"/>
    </row>
    <row r="6922" spans="24:24" x14ac:dyDescent="0.35">
      <c r="X6922" s="8"/>
    </row>
    <row r="6923" spans="24:24" x14ac:dyDescent="0.35">
      <c r="X6923" s="8"/>
    </row>
    <row r="6924" spans="24:24" x14ac:dyDescent="0.35">
      <c r="X6924" s="8"/>
    </row>
    <row r="6925" spans="24:24" x14ac:dyDescent="0.35">
      <c r="X6925" s="8"/>
    </row>
    <row r="6926" spans="24:24" x14ac:dyDescent="0.35">
      <c r="X6926" s="8"/>
    </row>
    <row r="6927" spans="24:24" x14ac:dyDescent="0.35">
      <c r="X6927" s="8"/>
    </row>
    <row r="6928" spans="24:24" x14ac:dyDescent="0.35">
      <c r="X6928" s="8"/>
    </row>
    <row r="6929" spans="24:24" x14ac:dyDescent="0.35">
      <c r="X6929" s="8"/>
    </row>
    <row r="6930" spans="24:24" x14ac:dyDescent="0.35">
      <c r="X6930" s="8"/>
    </row>
    <row r="6931" spans="24:24" x14ac:dyDescent="0.35">
      <c r="X6931" s="8"/>
    </row>
    <row r="6932" spans="24:24" x14ac:dyDescent="0.35">
      <c r="X6932" s="8"/>
    </row>
    <row r="6933" spans="24:24" x14ac:dyDescent="0.35">
      <c r="X6933" s="8"/>
    </row>
    <row r="6934" spans="24:24" x14ac:dyDescent="0.35">
      <c r="X6934" s="8"/>
    </row>
    <row r="6935" spans="24:24" x14ac:dyDescent="0.35">
      <c r="X6935" s="8"/>
    </row>
    <row r="6936" spans="24:24" x14ac:dyDescent="0.35">
      <c r="X6936" s="8"/>
    </row>
    <row r="6937" spans="24:24" x14ac:dyDescent="0.35">
      <c r="X6937" s="8"/>
    </row>
    <row r="6938" spans="24:24" x14ac:dyDescent="0.35">
      <c r="X6938" s="8"/>
    </row>
    <row r="6939" spans="24:24" x14ac:dyDescent="0.35">
      <c r="X6939" s="8"/>
    </row>
    <row r="6940" spans="24:24" x14ac:dyDescent="0.35">
      <c r="X6940" s="8"/>
    </row>
    <row r="6941" spans="24:24" x14ac:dyDescent="0.35">
      <c r="X6941" s="8"/>
    </row>
    <row r="6942" spans="24:24" x14ac:dyDescent="0.35">
      <c r="X6942" s="8"/>
    </row>
    <row r="6943" spans="24:24" x14ac:dyDescent="0.35">
      <c r="X6943" s="8"/>
    </row>
    <row r="6944" spans="24:24" x14ac:dyDescent="0.35">
      <c r="X6944" s="8"/>
    </row>
    <row r="6945" spans="24:24" x14ac:dyDescent="0.35">
      <c r="X6945" s="8"/>
    </row>
    <row r="6946" spans="24:24" x14ac:dyDescent="0.35">
      <c r="X6946" s="8"/>
    </row>
    <row r="6947" spans="24:24" x14ac:dyDescent="0.35">
      <c r="X6947" s="8"/>
    </row>
    <row r="6948" spans="24:24" x14ac:dyDescent="0.35">
      <c r="X6948" s="8"/>
    </row>
    <row r="6949" spans="24:24" x14ac:dyDescent="0.35">
      <c r="X6949" s="8"/>
    </row>
    <row r="6950" spans="24:24" x14ac:dyDescent="0.35">
      <c r="X6950" s="8"/>
    </row>
    <row r="6951" spans="24:24" x14ac:dyDescent="0.35">
      <c r="X6951" s="8"/>
    </row>
    <row r="6952" spans="24:24" x14ac:dyDescent="0.35">
      <c r="X6952" s="8"/>
    </row>
    <row r="6953" spans="24:24" x14ac:dyDescent="0.35">
      <c r="X6953" s="8"/>
    </row>
    <row r="6954" spans="24:24" x14ac:dyDescent="0.35">
      <c r="X6954" s="8"/>
    </row>
    <row r="6955" spans="24:24" x14ac:dyDescent="0.35">
      <c r="X6955" s="8"/>
    </row>
    <row r="6956" spans="24:24" x14ac:dyDescent="0.35">
      <c r="X6956" s="8"/>
    </row>
    <row r="6957" spans="24:24" x14ac:dyDescent="0.35">
      <c r="X6957" s="8"/>
    </row>
    <row r="6958" spans="24:24" x14ac:dyDescent="0.35">
      <c r="X6958" s="8"/>
    </row>
    <row r="6959" spans="24:24" x14ac:dyDescent="0.35">
      <c r="X6959" s="8"/>
    </row>
    <row r="6960" spans="24:24" x14ac:dyDescent="0.35">
      <c r="X6960" s="8"/>
    </row>
    <row r="6961" spans="24:24" x14ac:dyDescent="0.35">
      <c r="X6961" s="8"/>
    </row>
    <row r="6962" spans="24:24" x14ac:dyDescent="0.35">
      <c r="X6962" s="8"/>
    </row>
    <row r="6963" spans="24:24" x14ac:dyDescent="0.35">
      <c r="X6963" s="8"/>
    </row>
    <row r="6964" spans="24:24" x14ac:dyDescent="0.35">
      <c r="X6964" s="8"/>
    </row>
    <row r="6965" spans="24:24" x14ac:dyDescent="0.35">
      <c r="X6965" s="8"/>
    </row>
    <row r="6966" spans="24:24" x14ac:dyDescent="0.35">
      <c r="X6966" s="8"/>
    </row>
    <row r="6967" spans="24:24" x14ac:dyDescent="0.35">
      <c r="X6967" s="8"/>
    </row>
    <row r="6968" spans="24:24" x14ac:dyDescent="0.35">
      <c r="X6968" s="8"/>
    </row>
    <row r="6969" spans="24:24" x14ac:dyDescent="0.35">
      <c r="X6969" s="8"/>
    </row>
    <row r="6970" spans="24:24" x14ac:dyDescent="0.35">
      <c r="X6970" s="8"/>
    </row>
    <row r="6971" spans="24:24" x14ac:dyDescent="0.35">
      <c r="X6971" s="8"/>
    </row>
    <row r="6972" spans="24:24" x14ac:dyDescent="0.35">
      <c r="X6972" s="8"/>
    </row>
    <row r="6973" spans="24:24" x14ac:dyDescent="0.35">
      <c r="X6973" s="8"/>
    </row>
    <row r="6974" spans="24:24" x14ac:dyDescent="0.35">
      <c r="X6974" s="8"/>
    </row>
    <row r="6975" spans="24:24" x14ac:dyDescent="0.35">
      <c r="X6975" s="8"/>
    </row>
    <row r="6976" spans="24:24" x14ac:dyDescent="0.35">
      <c r="X6976" s="8"/>
    </row>
    <row r="6977" spans="24:24" x14ac:dyDescent="0.35">
      <c r="X6977" s="8"/>
    </row>
    <row r="6978" spans="24:24" x14ac:dyDescent="0.35">
      <c r="X6978" s="8"/>
    </row>
    <row r="6979" spans="24:24" x14ac:dyDescent="0.35">
      <c r="X6979" s="8"/>
    </row>
    <row r="6980" spans="24:24" x14ac:dyDescent="0.35">
      <c r="X6980" s="8"/>
    </row>
    <row r="6981" spans="24:24" x14ac:dyDescent="0.35">
      <c r="X6981" s="8"/>
    </row>
    <row r="6982" spans="24:24" x14ac:dyDescent="0.35">
      <c r="X6982" s="8"/>
    </row>
    <row r="6983" spans="24:24" x14ac:dyDescent="0.35">
      <c r="X6983" s="8"/>
    </row>
    <row r="6984" spans="24:24" x14ac:dyDescent="0.35">
      <c r="X6984" s="8"/>
    </row>
    <row r="6985" spans="24:24" x14ac:dyDescent="0.35">
      <c r="X6985" s="8"/>
    </row>
    <row r="6986" spans="24:24" x14ac:dyDescent="0.35">
      <c r="X6986" s="8"/>
    </row>
    <row r="6987" spans="24:24" x14ac:dyDescent="0.35">
      <c r="X6987" s="8"/>
    </row>
    <row r="6988" spans="24:24" x14ac:dyDescent="0.35">
      <c r="X6988" s="8"/>
    </row>
    <row r="6989" spans="24:24" x14ac:dyDescent="0.35">
      <c r="X6989" s="8"/>
    </row>
    <row r="6990" spans="24:24" x14ac:dyDescent="0.35">
      <c r="X6990" s="8"/>
    </row>
    <row r="6991" spans="24:24" x14ac:dyDescent="0.35">
      <c r="X6991" s="8"/>
    </row>
    <row r="6992" spans="24:24" x14ac:dyDescent="0.35">
      <c r="X6992" s="8"/>
    </row>
    <row r="6993" spans="24:24" x14ac:dyDescent="0.35">
      <c r="X6993" s="8"/>
    </row>
    <row r="6994" spans="24:24" x14ac:dyDescent="0.35">
      <c r="X6994" s="8"/>
    </row>
    <row r="6995" spans="24:24" x14ac:dyDescent="0.35">
      <c r="X6995" s="8"/>
    </row>
    <row r="6996" spans="24:24" x14ac:dyDescent="0.35">
      <c r="X6996" s="8"/>
    </row>
    <row r="6997" spans="24:24" x14ac:dyDescent="0.35">
      <c r="X6997" s="8"/>
    </row>
    <row r="6998" spans="24:24" x14ac:dyDescent="0.35">
      <c r="X6998" s="8"/>
    </row>
    <row r="6999" spans="24:24" x14ac:dyDescent="0.35">
      <c r="X6999" s="8"/>
    </row>
    <row r="7000" spans="24:24" x14ac:dyDescent="0.35">
      <c r="X7000" s="8"/>
    </row>
    <row r="7001" spans="24:24" x14ac:dyDescent="0.35">
      <c r="X7001" s="8"/>
    </row>
    <row r="7002" spans="24:24" x14ac:dyDescent="0.35">
      <c r="X7002" s="8"/>
    </row>
    <row r="7003" spans="24:24" x14ac:dyDescent="0.35">
      <c r="X7003" s="8"/>
    </row>
    <row r="7004" spans="24:24" x14ac:dyDescent="0.35">
      <c r="X7004" s="8"/>
    </row>
    <row r="7005" spans="24:24" x14ac:dyDescent="0.35">
      <c r="X7005" s="8"/>
    </row>
    <row r="7006" spans="24:24" x14ac:dyDescent="0.35">
      <c r="X7006" s="8"/>
    </row>
    <row r="7007" spans="24:24" x14ac:dyDescent="0.35">
      <c r="X7007" s="8"/>
    </row>
    <row r="7008" spans="24:24" x14ac:dyDescent="0.35">
      <c r="X7008" s="8"/>
    </row>
    <row r="7009" spans="24:24" x14ac:dyDescent="0.35">
      <c r="X7009" s="8"/>
    </row>
    <row r="7010" spans="24:24" x14ac:dyDescent="0.35">
      <c r="X7010" s="8"/>
    </row>
    <row r="7011" spans="24:24" x14ac:dyDescent="0.35">
      <c r="X7011" s="8"/>
    </row>
    <row r="7012" spans="24:24" x14ac:dyDescent="0.35">
      <c r="X7012" s="8"/>
    </row>
    <row r="7013" spans="24:24" x14ac:dyDescent="0.35">
      <c r="X7013" s="8"/>
    </row>
    <row r="7014" spans="24:24" x14ac:dyDescent="0.35">
      <c r="X7014" s="8"/>
    </row>
    <row r="7015" spans="24:24" x14ac:dyDescent="0.35">
      <c r="X7015" s="8"/>
    </row>
    <row r="7016" spans="24:24" x14ac:dyDescent="0.35">
      <c r="X7016" s="8"/>
    </row>
    <row r="7017" spans="24:24" x14ac:dyDescent="0.35">
      <c r="X7017" s="8"/>
    </row>
    <row r="7018" spans="24:24" x14ac:dyDescent="0.35">
      <c r="X7018" s="8"/>
    </row>
    <row r="7019" spans="24:24" x14ac:dyDescent="0.35">
      <c r="X7019" s="8"/>
    </row>
    <row r="7020" spans="24:24" x14ac:dyDescent="0.35">
      <c r="X7020" s="8"/>
    </row>
    <row r="7021" spans="24:24" x14ac:dyDescent="0.35">
      <c r="X7021" s="8"/>
    </row>
    <row r="7022" spans="24:24" x14ac:dyDescent="0.35">
      <c r="X7022" s="8"/>
    </row>
    <row r="7023" spans="24:24" x14ac:dyDescent="0.35">
      <c r="X7023" s="8"/>
    </row>
    <row r="7024" spans="24:24" x14ac:dyDescent="0.35">
      <c r="X7024" s="8"/>
    </row>
    <row r="7025" spans="24:24" x14ac:dyDescent="0.35">
      <c r="X7025" s="8"/>
    </row>
    <row r="7026" spans="24:24" x14ac:dyDescent="0.35">
      <c r="X7026" s="8"/>
    </row>
    <row r="7027" spans="24:24" x14ac:dyDescent="0.35">
      <c r="X7027" s="8"/>
    </row>
    <row r="7028" spans="24:24" x14ac:dyDescent="0.35">
      <c r="X7028" s="8"/>
    </row>
    <row r="7029" spans="24:24" x14ac:dyDescent="0.35">
      <c r="X7029" s="8"/>
    </row>
    <row r="7030" spans="24:24" x14ac:dyDescent="0.35">
      <c r="X7030" s="8"/>
    </row>
    <row r="7031" spans="24:24" x14ac:dyDescent="0.35">
      <c r="X7031" s="8"/>
    </row>
    <row r="7032" spans="24:24" x14ac:dyDescent="0.35">
      <c r="X7032" s="8"/>
    </row>
    <row r="7033" spans="24:24" x14ac:dyDescent="0.35">
      <c r="X7033" s="8"/>
    </row>
    <row r="7034" spans="24:24" x14ac:dyDescent="0.35">
      <c r="X7034" s="8"/>
    </row>
    <row r="7035" spans="24:24" x14ac:dyDescent="0.35">
      <c r="X7035" s="8"/>
    </row>
    <row r="7036" spans="24:24" x14ac:dyDescent="0.35">
      <c r="X7036" s="8"/>
    </row>
    <row r="7037" spans="24:24" x14ac:dyDescent="0.35">
      <c r="X7037" s="8"/>
    </row>
    <row r="7038" spans="24:24" x14ac:dyDescent="0.35">
      <c r="X7038" s="8"/>
    </row>
    <row r="7039" spans="24:24" x14ac:dyDescent="0.35">
      <c r="X7039" s="8"/>
    </row>
    <row r="7040" spans="24:24" x14ac:dyDescent="0.35">
      <c r="X7040" s="8"/>
    </row>
    <row r="7041" spans="24:24" x14ac:dyDescent="0.35">
      <c r="X7041" s="8"/>
    </row>
    <row r="7042" spans="24:24" x14ac:dyDescent="0.35">
      <c r="X7042" s="8"/>
    </row>
    <row r="7043" spans="24:24" x14ac:dyDescent="0.35">
      <c r="X7043" s="8"/>
    </row>
    <row r="7044" spans="24:24" x14ac:dyDescent="0.35">
      <c r="X7044" s="8"/>
    </row>
    <row r="7045" spans="24:24" x14ac:dyDescent="0.35">
      <c r="X7045" s="8"/>
    </row>
    <row r="7046" spans="24:24" x14ac:dyDescent="0.35">
      <c r="X7046" s="8"/>
    </row>
    <row r="7047" spans="24:24" x14ac:dyDescent="0.35">
      <c r="X7047" s="8"/>
    </row>
    <row r="7048" spans="24:24" x14ac:dyDescent="0.35">
      <c r="X7048" s="8"/>
    </row>
    <row r="7049" spans="24:24" x14ac:dyDescent="0.35">
      <c r="X7049" s="8"/>
    </row>
    <row r="7050" spans="24:24" x14ac:dyDescent="0.35">
      <c r="X7050" s="8"/>
    </row>
    <row r="7051" spans="24:24" x14ac:dyDescent="0.35">
      <c r="X7051" s="8"/>
    </row>
    <row r="7052" spans="24:24" x14ac:dyDescent="0.35">
      <c r="X7052" s="8"/>
    </row>
    <row r="7053" spans="24:24" x14ac:dyDescent="0.35">
      <c r="X7053" s="8"/>
    </row>
    <row r="7054" spans="24:24" x14ac:dyDescent="0.35">
      <c r="X7054" s="8"/>
    </row>
    <row r="7055" spans="24:24" x14ac:dyDescent="0.35">
      <c r="X7055" s="8"/>
    </row>
    <row r="7056" spans="24:24" x14ac:dyDescent="0.35">
      <c r="X7056" s="8"/>
    </row>
    <row r="7057" spans="24:24" x14ac:dyDescent="0.35">
      <c r="X7057" s="8"/>
    </row>
    <row r="7058" spans="24:24" x14ac:dyDescent="0.35">
      <c r="X7058" s="8"/>
    </row>
    <row r="7059" spans="24:24" x14ac:dyDescent="0.35">
      <c r="X7059" s="8"/>
    </row>
    <row r="7060" spans="24:24" x14ac:dyDescent="0.35">
      <c r="X7060" s="8"/>
    </row>
    <row r="7061" spans="24:24" x14ac:dyDescent="0.35">
      <c r="X7061" s="8"/>
    </row>
    <row r="7062" spans="24:24" x14ac:dyDescent="0.35">
      <c r="X7062" s="8"/>
    </row>
    <row r="7063" spans="24:24" x14ac:dyDescent="0.35">
      <c r="X7063" s="8"/>
    </row>
    <row r="7064" spans="24:24" x14ac:dyDescent="0.35">
      <c r="X7064" s="8"/>
    </row>
    <row r="7065" spans="24:24" x14ac:dyDescent="0.35">
      <c r="X7065" s="8"/>
    </row>
    <row r="7066" spans="24:24" x14ac:dyDescent="0.35">
      <c r="X7066" s="8"/>
    </row>
    <row r="7067" spans="24:24" x14ac:dyDescent="0.35">
      <c r="X7067" s="8"/>
    </row>
    <row r="7068" spans="24:24" x14ac:dyDescent="0.35">
      <c r="X7068" s="8"/>
    </row>
    <row r="7069" spans="24:24" x14ac:dyDescent="0.35">
      <c r="X7069" s="8"/>
    </row>
    <row r="7070" spans="24:24" x14ac:dyDescent="0.35">
      <c r="X7070" s="8"/>
    </row>
    <row r="7071" spans="24:24" x14ac:dyDescent="0.35">
      <c r="X7071" s="8"/>
    </row>
    <row r="7072" spans="24:24" x14ac:dyDescent="0.35">
      <c r="X7072" s="8"/>
    </row>
    <row r="7073" spans="24:24" x14ac:dyDescent="0.35">
      <c r="X7073" s="8"/>
    </row>
    <row r="7074" spans="24:24" x14ac:dyDescent="0.35">
      <c r="X7074" s="8"/>
    </row>
    <row r="7075" spans="24:24" x14ac:dyDescent="0.35">
      <c r="X7075" s="8"/>
    </row>
    <row r="7076" spans="24:24" x14ac:dyDescent="0.35">
      <c r="X7076" s="8"/>
    </row>
    <row r="7077" spans="24:24" x14ac:dyDescent="0.35">
      <c r="X7077" s="8"/>
    </row>
    <row r="7078" spans="24:24" x14ac:dyDescent="0.35">
      <c r="X7078" s="8"/>
    </row>
    <row r="7079" spans="24:24" x14ac:dyDescent="0.35">
      <c r="X7079" s="8"/>
    </row>
    <row r="7080" spans="24:24" x14ac:dyDescent="0.35">
      <c r="X7080" s="8"/>
    </row>
    <row r="7081" spans="24:24" x14ac:dyDescent="0.35">
      <c r="X7081" s="8"/>
    </row>
    <row r="7082" spans="24:24" x14ac:dyDescent="0.35">
      <c r="X7082" s="8"/>
    </row>
    <row r="7083" spans="24:24" x14ac:dyDescent="0.35">
      <c r="X7083" s="8"/>
    </row>
    <row r="7084" spans="24:24" x14ac:dyDescent="0.35">
      <c r="X7084" s="8"/>
    </row>
    <row r="7085" spans="24:24" x14ac:dyDescent="0.35">
      <c r="X7085" s="8"/>
    </row>
    <row r="7086" spans="24:24" x14ac:dyDescent="0.35">
      <c r="X7086" s="8"/>
    </row>
    <row r="7087" spans="24:24" x14ac:dyDescent="0.35">
      <c r="X7087" s="8"/>
    </row>
    <row r="7088" spans="24:24" x14ac:dyDescent="0.35">
      <c r="X7088" s="8"/>
    </row>
    <row r="7089" spans="24:24" x14ac:dyDescent="0.35">
      <c r="X7089" s="8"/>
    </row>
    <row r="7090" spans="24:24" x14ac:dyDescent="0.35">
      <c r="X7090" s="8"/>
    </row>
    <row r="7091" spans="24:24" x14ac:dyDescent="0.35">
      <c r="X7091" s="8"/>
    </row>
    <row r="7092" spans="24:24" x14ac:dyDescent="0.35">
      <c r="X7092" s="8"/>
    </row>
    <row r="7093" spans="24:24" x14ac:dyDescent="0.35">
      <c r="X7093" s="8"/>
    </row>
    <row r="7094" spans="24:24" x14ac:dyDescent="0.35">
      <c r="X7094" s="8"/>
    </row>
    <row r="7095" spans="24:24" x14ac:dyDescent="0.35">
      <c r="X7095" s="8"/>
    </row>
    <row r="7096" spans="24:24" x14ac:dyDescent="0.35">
      <c r="X7096" s="8"/>
    </row>
    <row r="7097" spans="24:24" x14ac:dyDescent="0.35">
      <c r="X7097" s="8"/>
    </row>
    <row r="7098" spans="24:24" x14ac:dyDescent="0.35">
      <c r="X7098" s="8"/>
    </row>
    <row r="7099" spans="24:24" x14ac:dyDescent="0.35">
      <c r="X7099" s="8"/>
    </row>
    <row r="7100" spans="24:24" x14ac:dyDescent="0.35">
      <c r="X7100" s="8"/>
    </row>
    <row r="7101" spans="24:24" x14ac:dyDescent="0.35">
      <c r="X7101" s="8"/>
    </row>
    <row r="7102" spans="24:24" x14ac:dyDescent="0.35">
      <c r="X7102" s="8"/>
    </row>
    <row r="7103" spans="24:24" x14ac:dyDescent="0.35">
      <c r="X7103" s="8"/>
    </row>
    <row r="7104" spans="24:24" x14ac:dyDescent="0.35">
      <c r="X7104" s="8"/>
    </row>
    <row r="7105" spans="24:24" x14ac:dyDescent="0.35">
      <c r="X7105" s="8"/>
    </row>
    <row r="7106" spans="24:24" x14ac:dyDescent="0.35">
      <c r="X7106" s="8"/>
    </row>
    <row r="7107" spans="24:24" x14ac:dyDescent="0.35">
      <c r="X7107" s="8"/>
    </row>
    <row r="7108" spans="24:24" x14ac:dyDescent="0.35">
      <c r="X7108" s="8"/>
    </row>
    <row r="7109" spans="24:24" x14ac:dyDescent="0.35">
      <c r="X7109" s="8"/>
    </row>
    <row r="7110" spans="24:24" x14ac:dyDescent="0.35">
      <c r="X7110" s="8"/>
    </row>
    <row r="7111" spans="24:24" x14ac:dyDescent="0.35">
      <c r="X7111" s="8"/>
    </row>
    <row r="7112" spans="24:24" x14ac:dyDescent="0.35">
      <c r="X7112" s="8"/>
    </row>
    <row r="7113" spans="24:24" x14ac:dyDescent="0.35">
      <c r="X7113" s="8"/>
    </row>
    <row r="7114" spans="24:24" x14ac:dyDescent="0.35">
      <c r="X7114" s="8"/>
    </row>
    <row r="7115" spans="24:24" x14ac:dyDescent="0.35">
      <c r="X7115" s="8"/>
    </row>
    <row r="7116" spans="24:24" x14ac:dyDescent="0.35">
      <c r="X7116" s="8"/>
    </row>
    <row r="7117" spans="24:24" x14ac:dyDescent="0.35">
      <c r="X7117" s="8"/>
    </row>
    <row r="7118" spans="24:24" x14ac:dyDescent="0.35">
      <c r="X7118" s="8"/>
    </row>
    <row r="7119" spans="24:24" x14ac:dyDescent="0.35">
      <c r="X7119" s="8"/>
    </row>
    <row r="7120" spans="24:24" x14ac:dyDescent="0.35">
      <c r="X7120" s="8"/>
    </row>
    <row r="7121" spans="24:24" x14ac:dyDescent="0.35">
      <c r="X7121" s="8"/>
    </row>
    <row r="7122" spans="24:24" x14ac:dyDescent="0.35">
      <c r="X7122" s="8"/>
    </row>
    <row r="7123" spans="24:24" x14ac:dyDescent="0.35">
      <c r="X7123" s="8"/>
    </row>
    <row r="7124" spans="24:24" x14ac:dyDescent="0.35">
      <c r="X7124" s="8"/>
    </row>
    <row r="7125" spans="24:24" x14ac:dyDescent="0.35">
      <c r="X7125" s="8"/>
    </row>
    <row r="7126" spans="24:24" x14ac:dyDescent="0.35">
      <c r="X7126" s="8"/>
    </row>
    <row r="7127" spans="24:24" x14ac:dyDescent="0.35">
      <c r="X7127" s="8"/>
    </row>
    <row r="7128" spans="24:24" x14ac:dyDescent="0.35">
      <c r="X7128" s="8"/>
    </row>
    <row r="7129" spans="24:24" x14ac:dyDescent="0.35">
      <c r="X7129" s="8"/>
    </row>
    <row r="7130" spans="24:24" x14ac:dyDescent="0.35">
      <c r="X7130" s="8"/>
    </row>
    <row r="7131" spans="24:24" x14ac:dyDescent="0.35">
      <c r="X7131" s="8"/>
    </row>
    <row r="7132" spans="24:24" x14ac:dyDescent="0.35">
      <c r="X7132" s="8"/>
    </row>
    <row r="7133" spans="24:24" x14ac:dyDescent="0.35">
      <c r="X7133" s="8"/>
    </row>
    <row r="7134" spans="24:24" x14ac:dyDescent="0.35">
      <c r="X7134" s="8"/>
    </row>
    <row r="7135" spans="24:24" x14ac:dyDescent="0.35">
      <c r="X7135" s="8"/>
    </row>
    <row r="7136" spans="24:24" x14ac:dyDescent="0.35">
      <c r="X7136" s="8"/>
    </row>
    <row r="7137" spans="24:24" x14ac:dyDescent="0.35">
      <c r="X7137" s="8"/>
    </row>
    <row r="7138" spans="24:24" x14ac:dyDescent="0.35">
      <c r="X7138" s="8"/>
    </row>
    <row r="7139" spans="24:24" x14ac:dyDescent="0.35">
      <c r="X7139" s="8"/>
    </row>
    <row r="7140" spans="24:24" x14ac:dyDescent="0.35">
      <c r="X7140" s="8"/>
    </row>
    <row r="7141" spans="24:24" x14ac:dyDescent="0.35">
      <c r="X7141" s="8"/>
    </row>
    <row r="7142" spans="24:24" x14ac:dyDescent="0.35">
      <c r="X7142" s="8"/>
    </row>
    <row r="7143" spans="24:24" x14ac:dyDescent="0.35">
      <c r="X7143" s="8"/>
    </row>
    <row r="7144" spans="24:24" x14ac:dyDescent="0.35">
      <c r="X7144" s="8"/>
    </row>
    <row r="7145" spans="24:24" x14ac:dyDescent="0.35">
      <c r="X7145" s="8"/>
    </row>
    <row r="7146" spans="24:24" x14ac:dyDescent="0.35">
      <c r="X7146" s="8"/>
    </row>
    <row r="7147" spans="24:24" x14ac:dyDescent="0.35">
      <c r="X7147" s="8"/>
    </row>
    <row r="7148" spans="24:24" x14ac:dyDescent="0.35">
      <c r="X7148" s="8"/>
    </row>
    <row r="7149" spans="24:24" x14ac:dyDescent="0.35">
      <c r="X7149" s="8"/>
    </row>
    <row r="7150" spans="24:24" x14ac:dyDescent="0.35">
      <c r="X7150" s="8"/>
    </row>
    <row r="7151" spans="24:24" x14ac:dyDescent="0.35">
      <c r="X7151" s="8"/>
    </row>
    <row r="7152" spans="24:24" x14ac:dyDescent="0.35">
      <c r="X7152" s="8"/>
    </row>
    <row r="7153" spans="24:24" x14ac:dyDescent="0.35">
      <c r="X7153" s="8"/>
    </row>
    <row r="7154" spans="24:24" x14ac:dyDescent="0.35">
      <c r="X7154" s="8"/>
    </row>
    <row r="7155" spans="24:24" x14ac:dyDescent="0.35">
      <c r="X7155" s="8"/>
    </row>
    <row r="7156" spans="24:24" x14ac:dyDescent="0.35">
      <c r="X7156" s="8"/>
    </row>
    <row r="7157" spans="24:24" x14ac:dyDescent="0.35">
      <c r="X7157" s="8"/>
    </row>
    <row r="7158" spans="24:24" x14ac:dyDescent="0.35">
      <c r="X7158" s="8"/>
    </row>
    <row r="7159" spans="24:24" x14ac:dyDescent="0.35">
      <c r="X7159" s="8"/>
    </row>
    <row r="7160" spans="24:24" x14ac:dyDescent="0.35">
      <c r="X7160" s="8"/>
    </row>
    <row r="7161" spans="24:24" x14ac:dyDescent="0.35">
      <c r="X7161" s="8"/>
    </row>
    <row r="7162" spans="24:24" x14ac:dyDescent="0.35">
      <c r="X7162" s="8"/>
    </row>
    <row r="7163" spans="24:24" x14ac:dyDescent="0.35">
      <c r="X7163" s="8"/>
    </row>
    <row r="7164" spans="24:24" x14ac:dyDescent="0.35">
      <c r="X7164" s="8"/>
    </row>
    <row r="7165" spans="24:24" x14ac:dyDescent="0.35">
      <c r="X7165" s="8"/>
    </row>
    <row r="7166" spans="24:24" x14ac:dyDescent="0.35">
      <c r="X7166" s="8"/>
    </row>
    <row r="7167" spans="24:24" x14ac:dyDescent="0.35">
      <c r="X7167" s="8"/>
    </row>
    <row r="7168" spans="24:24" x14ac:dyDescent="0.35">
      <c r="X7168" s="8"/>
    </row>
    <row r="7169" spans="24:24" x14ac:dyDescent="0.35">
      <c r="X7169" s="8"/>
    </row>
    <row r="7170" spans="24:24" x14ac:dyDescent="0.35">
      <c r="X7170" s="8"/>
    </row>
    <row r="7171" spans="24:24" x14ac:dyDescent="0.35">
      <c r="X7171" s="8"/>
    </row>
    <row r="7172" spans="24:24" x14ac:dyDescent="0.35">
      <c r="X7172" s="8"/>
    </row>
    <row r="7173" spans="24:24" x14ac:dyDescent="0.35">
      <c r="X7173" s="8"/>
    </row>
    <row r="7174" spans="24:24" x14ac:dyDescent="0.35">
      <c r="X7174" s="8"/>
    </row>
    <row r="7175" spans="24:24" x14ac:dyDescent="0.35">
      <c r="X7175" s="8"/>
    </row>
    <row r="7176" spans="24:24" x14ac:dyDescent="0.35">
      <c r="X7176" s="8"/>
    </row>
    <row r="7177" spans="24:24" x14ac:dyDescent="0.35">
      <c r="X7177" s="8"/>
    </row>
    <row r="7178" spans="24:24" x14ac:dyDescent="0.35">
      <c r="X7178" s="8"/>
    </row>
    <row r="7179" spans="24:24" x14ac:dyDescent="0.35">
      <c r="X7179" s="8"/>
    </row>
    <row r="7180" spans="24:24" x14ac:dyDescent="0.35">
      <c r="X7180" s="8"/>
    </row>
    <row r="7181" spans="24:24" x14ac:dyDescent="0.35">
      <c r="X7181" s="8"/>
    </row>
    <row r="7182" spans="24:24" x14ac:dyDescent="0.35">
      <c r="X7182" s="8"/>
    </row>
    <row r="7183" spans="24:24" x14ac:dyDescent="0.35">
      <c r="X7183" s="8"/>
    </row>
    <row r="7184" spans="24:24" x14ac:dyDescent="0.35">
      <c r="X7184" s="8"/>
    </row>
    <row r="7185" spans="24:24" x14ac:dyDescent="0.35">
      <c r="X7185" s="8"/>
    </row>
    <row r="7186" spans="24:24" x14ac:dyDescent="0.35">
      <c r="X7186" s="8"/>
    </row>
    <row r="7187" spans="24:24" x14ac:dyDescent="0.35">
      <c r="X7187" s="8"/>
    </row>
    <row r="7188" spans="24:24" x14ac:dyDescent="0.35">
      <c r="X7188" s="8"/>
    </row>
    <row r="7189" spans="24:24" x14ac:dyDescent="0.35">
      <c r="X7189" s="8"/>
    </row>
    <row r="7190" spans="24:24" x14ac:dyDescent="0.35">
      <c r="X7190" s="8"/>
    </row>
    <row r="7191" spans="24:24" x14ac:dyDescent="0.35">
      <c r="X7191" s="8"/>
    </row>
    <row r="7192" spans="24:24" x14ac:dyDescent="0.35">
      <c r="X7192" s="8"/>
    </row>
    <row r="7193" spans="24:24" x14ac:dyDescent="0.35">
      <c r="X7193" s="8"/>
    </row>
    <row r="7194" spans="24:24" x14ac:dyDescent="0.35">
      <c r="X7194" s="8"/>
    </row>
    <row r="7195" spans="24:24" x14ac:dyDescent="0.35">
      <c r="X7195" s="8"/>
    </row>
    <row r="7196" spans="24:24" x14ac:dyDescent="0.35">
      <c r="X7196" s="8"/>
    </row>
    <row r="7197" spans="24:24" x14ac:dyDescent="0.35">
      <c r="X7197" s="8"/>
    </row>
    <row r="7198" spans="24:24" x14ac:dyDescent="0.35">
      <c r="X7198" s="8"/>
    </row>
    <row r="7199" spans="24:24" x14ac:dyDescent="0.35">
      <c r="X7199" s="8"/>
    </row>
    <row r="7200" spans="24:24" x14ac:dyDescent="0.35">
      <c r="X7200" s="8"/>
    </row>
    <row r="7201" spans="24:24" x14ac:dyDescent="0.35">
      <c r="X7201" s="8"/>
    </row>
    <row r="7202" spans="24:24" x14ac:dyDescent="0.35">
      <c r="X7202" s="8"/>
    </row>
    <row r="7203" spans="24:24" x14ac:dyDescent="0.35">
      <c r="X7203" s="8"/>
    </row>
    <row r="7204" spans="24:24" x14ac:dyDescent="0.35">
      <c r="X7204" s="8"/>
    </row>
    <row r="7205" spans="24:24" x14ac:dyDescent="0.35">
      <c r="X7205" s="8"/>
    </row>
    <row r="7206" spans="24:24" x14ac:dyDescent="0.35">
      <c r="X7206" s="8"/>
    </row>
    <row r="7207" spans="24:24" x14ac:dyDescent="0.35">
      <c r="X7207" s="8"/>
    </row>
    <row r="7208" spans="24:24" x14ac:dyDescent="0.35">
      <c r="X7208" s="8"/>
    </row>
    <row r="7209" spans="24:24" x14ac:dyDescent="0.35">
      <c r="X7209" s="8"/>
    </row>
    <row r="7210" spans="24:24" x14ac:dyDescent="0.35">
      <c r="X7210" s="8"/>
    </row>
    <row r="7211" spans="24:24" x14ac:dyDescent="0.35">
      <c r="X7211" s="8"/>
    </row>
    <row r="7212" spans="24:24" x14ac:dyDescent="0.35">
      <c r="X7212" s="8"/>
    </row>
    <row r="7213" spans="24:24" x14ac:dyDescent="0.35">
      <c r="X7213" s="8"/>
    </row>
    <row r="7214" spans="24:24" x14ac:dyDescent="0.35">
      <c r="X7214" s="8"/>
    </row>
    <row r="7215" spans="24:24" x14ac:dyDescent="0.35">
      <c r="X7215" s="8"/>
    </row>
    <row r="7216" spans="24:24" x14ac:dyDescent="0.35">
      <c r="X7216" s="8"/>
    </row>
    <row r="7217" spans="24:24" x14ac:dyDescent="0.35">
      <c r="X7217" s="8"/>
    </row>
    <row r="7218" spans="24:24" x14ac:dyDescent="0.35">
      <c r="X7218" s="8"/>
    </row>
    <row r="7219" spans="24:24" x14ac:dyDescent="0.35">
      <c r="X7219" s="8"/>
    </row>
    <row r="7220" spans="24:24" x14ac:dyDescent="0.35">
      <c r="X7220" s="8"/>
    </row>
    <row r="7221" spans="24:24" x14ac:dyDescent="0.35">
      <c r="X7221" s="8"/>
    </row>
    <row r="7222" spans="24:24" x14ac:dyDescent="0.35">
      <c r="X7222" s="8"/>
    </row>
    <row r="7223" spans="24:24" x14ac:dyDescent="0.35">
      <c r="X7223" s="8"/>
    </row>
    <row r="7224" spans="24:24" x14ac:dyDescent="0.35">
      <c r="X7224" s="8"/>
    </row>
    <row r="7225" spans="24:24" x14ac:dyDescent="0.35">
      <c r="X7225" s="8"/>
    </row>
    <row r="7226" spans="24:24" x14ac:dyDescent="0.35">
      <c r="X7226" s="8"/>
    </row>
    <row r="7227" spans="24:24" x14ac:dyDescent="0.35">
      <c r="X7227" s="8"/>
    </row>
    <row r="7228" spans="24:24" x14ac:dyDescent="0.35">
      <c r="X7228" s="8"/>
    </row>
    <row r="7229" spans="24:24" x14ac:dyDescent="0.35">
      <c r="X7229" s="8"/>
    </row>
    <row r="7230" spans="24:24" x14ac:dyDescent="0.35">
      <c r="X7230" s="8"/>
    </row>
    <row r="7231" spans="24:24" x14ac:dyDescent="0.35">
      <c r="X7231" s="8"/>
    </row>
    <row r="7232" spans="24:24" x14ac:dyDescent="0.35">
      <c r="X7232" s="8"/>
    </row>
    <row r="7233" spans="24:24" x14ac:dyDescent="0.35">
      <c r="X7233" s="8"/>
    </row>
    <row r="7234" spans="24:24" x14ac:dyDescent="0.35">
      <c r="X7234" s="8"/>
    </row>
    <row r="7235" spans="24:24" x14ac:dyDescent="0.35">
      <c r="X7235" s="8"/>
    </row>
    <row r="7236" spans="24:24" x14ac:dyDescent="0.35">
      <c r="X7236" s="8"/>
    </row>
    <row r="7237" spans="24:24" x14ac:dyDescent="0.35">
      <c r="X7237" s="8"/>
    </row>
    <row r="7238" spans="24:24" x14ac:dyDescent="0.35">
      <c r="X7238" s="8"/>
    </row>
    <row r="7239" spans="24:24" x14ac:dyDescent="0.35">
      <c r="X7239" s="8"/>
    </row>
    <row r="7240" spans="24:24" x14ac:dyDescent="0.35">
      <c r="X7240" s="8"/>
    </row>
    <row r="7241" spans="24:24" x14ac:dyDescent="0.35">
      <c r="X7241" s="8"/>
    </row>
    <row r="7242" spans="24:24" x14ac:dyDescent="0.35">
      <c r="X7242" s="8"/>
    </row>
    <row r="7243" spans="24:24" x14ac:dyDescent="0.35">
      <c r="X7243" s="8"/>
    </row>
    <row r="7244" spans="24:24" x14ac:dyDescent="0.35">
      <c r="X7244" s="8"/>
    </row>
    <row r="7245" spans="24:24" x14ac:dyDescent="0.35">
      <c r="X7245" s="8"/>
    </row>
    <row r="7246" spans="24:24" x14ac:dyDescent="0.35">
      <c r="X7246" s="8"/>
    </row>
    <row r="7247" spans="24:24" x14ac:dyDescent="0.35">
      <c r="X7247" s="8"/>
    </row>
    <row r="7248" spans="24:24" x14ac:dyDescent="0.35">
      <c r="X7248" s="8"/>
    </row>
    <row r="7249" spans="24:24" x14ac:dyDescent="0.35">
      <c r="X7249" s="8"/>
    </row>
    <row r="7250" spans="24:24" x14ac:dyDescent="0.35">
      <c r="X7250" s="8"/>
    </row>
    <row r="7251" spans="24:24" x14ac:dyDescent="0.35">
      <c r="X7251" s="8"/>
    </row>
    <row r="7252" spans="24:24" x14ac:dyDescent="0.35">
      <c r="X7252" s="8"/>
    </row>
    <row r="7253" spans="24:24" x14ac:dyDescent="0.35">
      <c r="X7253" s="8"/>
    </row>
    <row r="7254" spans="24:24" x14ac:dyDescent="0.35">
      <c r="X7254" s="8"/>
    </row>
    <row r="7255" spans="24:24" x14ac:dyDescent="0.35">
      <c r="X7255" s="8"/>
    </row>
    <row r="7256" spans="24:24" x14ac:dyDescent="0.35">
      <c r="X7256" s="8"/>
    </row>
    <row r="7257" spans="24:24" x14ac:dyDescent="0.35">
      <c r="X7257" s="8"/>
    </row>
    <row r="7258" spans="24:24" x14ac:dyDescent="0.35">
      <c r="X7258" s="8"/>
    </row>
    <row r="7259" spans="24:24" x14ac:dyDescent="0.35">
      <c r="X7259" s="8"/>
    </row>
    <row r="7260" spans="24:24" x14ac:dyDescent="0.35">
      <c r="X7260" s="8"/>
    </row>
    <row r="7261" spans="24:24" x14ac:dyDescent="0.35">
      <c r="X7261" s="8"/>
    </row>
    <row r="7262" spans="24:24" x14ac:dyDescent="0.35">
      <c r="X7262" s="8"/>
    </row>
    <row r="7263" spans="24:24" x14ac:dyDescent="0.35">
      <c r="X7263" s="8"/>
    </row>
    <row r="7264" spans="24:24" x14ac:dyDescent="0.35">
      <c r="X7264" s="8"/>
    </row>
    <row r="7265" spans="24:24" x14ac:dyDescent="0.35">
      <c r="X7265" s="8"/>
    </row>
    <row r="7266" spans="24:24" x14ac:dyDescent="0.35">
      <c r="X7266" s="8"/>
    </row>
    <row r="7267" spans="24:24" x14ac:dyDescent="0.35">
      <c r="X7267" s="8"/>
    </row>
    <row r="7268" spans="24:24" x14ac:dyDescent="0.35">
      <c r="X7268" s="8"/>
    </row>
    <row r="7269" spans="24:24" x14ac:dyDescent="0.35">
      <c r="X7269" s="8"/>
    </row>
    <row r="7270" spans="24:24" x14ac:dyDescent="0.35">
      <c r="X7270" s="8"/>
    </row>
    <row r="7271" spans="24:24" x14ac:dyDescent="0.35">
      <c r="X7271" s="8"/>
    </row>
    <row r="7272" spans="24:24" x14ac:dyDescent="0.35">
      <c r="X7272" s="8"/>
    </row>
    <row r="7273" spans="24:24" x14ac:dyDescent="0.35">
      <c r="X7273" s="8"/>
    </row>
    <row r="7274" spans="24:24" x14ac:dyDescent="0.35">
      <c r="X7274" s="8"/>
    </row>
    <row r="7275" spans="24:24" x14ac:dyDescent="0.35">
      <c r="X7275" s="8"/>
    </row>
    <row r="7276" spans="24:24" x14ac:dyDescent="0.35">
      <c r="X7276" s="8"/>
    </row>
    <row r="7277" spans="24:24" x14ac:dyDescent="0.35">
      <c r="X7277" s="8"/>
    </row>
    <row r="7278" spans="24:24" x14ac:dyDescent="0.35">
      <c r="X7278" s="8"/>
    </row>
    <row r="7279" spans="24:24" x14ac:dyDescent="0.35">
      <c r="X7279" s="8"/>
    </row>
    <row r="7280" spans="24:24" x14ac:dyDescent="0.35">
      <c r="X7280" s="8"/>
    </row>
    <row r="7281" spans="24:24" x14ac:dyDescent="0.35">
      <c r="X7281" s="8"/>
    </row>
    <row r="7282" spans="24:24" x14ac:dyDescent="0.35">
      <c r="X7282" s="8"/>
    </row>
    <row r="7283" spans="24:24" x14ac:dyDescent="0.35">
      <c r="X7283" s="8"/>
    </row>
    <row r="7284" spans="24:24" x14ac:dyDescent="0.35">
      <c r="X7284" s="8"/>
    </row>
    <row r="7285" spans="24:24" x14ac:dyDescent="0.35">
      <c r="X7285" s="8"/>
    </row>
    <row r="7286" spans="24:24" x14ac:dyDescent="0.35">
      <c r="X7286" s="8"/>
    </row>
    <row r="7287" spans="24:24" x14ac:dyDescent="0.35">
      <c r="X7287" s="8"/>
    </row>
    <row r="7288" spans="24:24" x14ac:dyDescent="0.35">
      <c r="X7288" s="8"/>
    </row>
    <row r="7289" spans="24:24" x14ac:dyDescent="0.35">
      <c r="X7289" s="8"/>
    </row>
    <row r="7290" spans="24:24" x14ac:dyDescent="0.35">
      <c r="X7290" s="8"/>
    </row>
    <row r="7291" spans="24:24" x14ac:dyDescent="0.35">
      <c r="X7291" s="8"/>
    </row>
    <row r="7292" spans="24:24" x14ac:dyDescent="0.35">
      <c r="X7292" s="8"/>
    </row>
    <row r="7293" spans="24:24" x14ac:dyDescent="0.35">
      <c r="X7293" s="8"/>
    </row>
    <row r="7294" spans="24:24" x14ac:dyDescent="0.35">
      <c r="X7294" s="8"/>
    </row>
    <row r="7295" spans="24:24" x14ac:dyDescent="0.35">
      <c r="X7295" s="8"/>
    </row>
    <row r="7296" spans="24:24" x14ac:dyDescent="0.35">
      <c r="X7296" s="8"/>
    </row>
    <row r="7297" spans="24:24" x14ac:dyDescent="0.35">
      <c r="X7297" s="8"/>
    </row>
    <row r="7298" spans="24:24" x14ac:dyDescent="0.35">
      <c r="X7298" s="8"/>
    </row>
    <row r="7299" spans="24:24" x14ac:dyDescent="0.35">
      <c r="X7299" s="8"/>
    </row>
    <row r="7300" spans="24:24" x14ac:dyDescent="0.35">
      <c r="X7300" s="8"/>
    </row>
    <row r="7301" spans="24:24" x14ac:dyDescent="0.35">
      <c r="X7301" s="8"/>
    </row>
    <row r="7302" spans="24:24" x14ac:dyDescent="0.35">
      <c r="X7302" s="8"/>
    </row>
    <row r="7303" spans="24:24" x14ac:dyDescent="0.35">
      <c r="X7303" s="8"/>
    </row>
    <row r="7304" spans="24:24" x14ac:dyDescent="0.35">
      <c r="X7304" s="8"/>
    </row>
    <row r="7305" spans="24:24" x14ac:dyDescent="0.35">
      <c r="X7305" s="8"/>
    </row>
    <row r="7306" spans="24:24" x14ac:dyDescent="0.35">
      <c r="X7306" s="8"/>
    </row>
    <row r="7307" spans="24:24" x14ac:dyDescent="0.35">
      <c r="X7307" s="8"/>
    </row>
    <row r="7308" spans="24:24" x14ac:dyDescent="0.35">
      <c r="X7308" s="8"/>
    </row>
    <row r="7309" spans="24:24" x14ac:dyDescent="0.35">
      <c r="X7309" s="8"/>
    </row>
    <row r="7310" spans="24:24" x14ac:dyDescent="0.35">
      <c r="X7310" s="8"/>
    </row>
    <row r="7311" spans="24:24" x14ac:dyDescent="0.35">
      <c r="X7311" s="8"/>
    </row>
    <row r="7312" spans="24:24" x14ac:dyDescent="0.35">
      <c r="X7312" s="8"/>
    </row>
    <row r="7313" spans="24:24" x14ac:dyDescent="0.35">
      <c r="X7313" s="8"/>
    </row>
    <row r="7314" spans="24:24" x14ac:dyDescent="0.35">
      <c r="X7314" s="8"/>
    </row>
    <row r="7315" spans="24:24" x14ac:dyDescent="0.35">
      <c r="X7315" s="8"/>
    </row>
    <row r="7316" spans="24:24" x14ac:dyDescent="0.35">
      <c r="X7316" s="8"/>
    </row>
    <row r="7317" spans="24:24" x14ac:dyDescent="0.35">
      <c r="X7317" s="8"/>
    </row>
    <row r="7318" spans="24:24" x14ac:dyDescent="0.35">
      <c r="X7318" s="8"/>
    </row>
    <row r="7319" spans="24:24" x14ac:dyDescent="0.35">
      <c r="X7319" s="8"/>
    </row>
    <row r="7320" spans="24:24" x14ac:dyDescent="0.35">
      <c r="X7320" s="8"/>
    </row>
    <row r="7321" spans="24:24" x14ac:dyDescent="0.35">
      <c r="X7321" s="8"/>
    </row>
    <row r="7322" spans="24:24" x14ac:dyDescent="0.35">
      <c r="X7322" s="8"/>
    </row>
    <row r="7323" spans="24:24" x14ac:dyDescent="0.35">
      <c r="X7323" s="8"/>
    </row>
    <row r="7324" spans="24:24" x14ac:dyDescent="0.35">
      <c r="X7324" s="8"/>
    </row>
    <row r="7325" spans="24:24" x14ac:dyDescent="0.35">
      <c r="X7325" s="8"/>
    </row>
    <row r="7326" spans="24:24" x14ac:dyDescent="0.35">
      <c r="X7326" s="8"/>
    </row>
    <row r="7327" spans="24:24" x14ac:dyDescent="0.35">
      <c r="X7327" s="8"/>
    </row>
    <row r="7328" spans="24:24" x14ac:dyDescent="0.35">
      <c r="X7328" s="8"/>
    </row>
    <row r="7329" spans="24:24" x14ac:dyDescent="0.35">
      <c r="X7329" s="8"/>
    </row>
    <row r="7330" spans="24:24" x14ac:dyDescent="0.35">
      <c r="X7330" s="8"/>
    </row>
    <row r="7331" spans="24:24" x14ac:dyDescent="0.35">
      <c r="X7331" s="8"/>
    </row>
    <row r="7332" spans="24:24" x14ac:dyDescent="0.35">
      <c r="X7332" s="8"/>
    </row>
    <row r="7333" spans="24:24" x14ac:dyDescent="0.35">
      <c r="X7333" s="8"/>
    </row>
    <row r="7334" spans="24:24" x14ac:dyDescent="0.35">
      <c r="X7334" s="8"/>
    </row>
    <row r="7335" spans="24:24" x14ac:dyDescent="0.35">
      <c r="X7335" s="8"/>
    </row>
    <row r="7336" spans="24:24" x14ac:dyDescent="0.35">
      <c r="X7336" s="8"/>
    </row>
    <row r="7337" spans="24:24" x14ac:dyDescent="0.35">
      <c r="X7337" s="8"/>
    </row>
    <row r="7338" spans="24:24" x14ac:dyDescent="0.35">
      <c r="X7338" s="8"/>
    </row>
    <row r="7339" spans="24:24" x14ac:dyDescent="0.35">
      <c r="X7339" s="8"/>
    </row>
    <row r="7340" spans="24:24" x14ac:dyDescent="0.35">
      <c r="X7340" s="8"/>
    </row>
    <row r="7341" spans="24:24" x14ac:dyDescent="0.35">
      <c r="X7341" s="8"/>
    </row>
    <row r="7342" spans="24:24" x14ac:dyDescent="0.35">
      <c r="X7342" s="8"/>
    </row>
    <row r="7343" spans="24:24" x14ac:dyDescent="0.35">
      <c r="X7343" s="8"/>
    </row>
    <row r="7344" spans="24:24" x14ac:dyDescent="0.35">
      <c r="X7344" s="8"/>
    </row>
    <row r="7345" spans="24:24" x14ac:dyDescent="0.35">
      <c r="X7345" s="8"/>
    </row>
    <row r="7346" spans="24:24" x14ac:dyDescent="0.35">
      <c r="X7346" s="8"/>
    </row>
    <row r="7347" spans="24:24" x14ac:dyDescent="0.35">
      <c r="X7347" s="8"/>
    </row>
    <row r="7348" spans="24:24" x14ac:dyDescent="0.35">
      <c r="X7348" s="8"/>
    </row>
    <row r="7349" spans="24:24" x14ac:dyDescent="0.35">
      <c r="X7349" s="8"/>
    </row>
    <row r="7350" spans="24:24" x14ac:dyDescent="0.35">
      <c r="X7350" s="8"/>
    </row>
    <row r="7351" spans="24:24" x14ac:dyDescent="0.35">
      <c r="X7351" s="8"/>
    </row>
    <row r="7352" spans="24:24" x14ac:dyDescent="0.35">
      <c r="X7352" s="8"/>
    </row>
    <row r="7353" spans="24:24" x14ac:dyDescent="0.35">
      <c r="X7353" s="8"/>
    </row>
    <row r="7354" spans="24:24" x14ac:dyDescent="0.35">
      <c r="X7354" s="8"/>
    </row>
    <row r="7355" spans="24:24" x14ac:dyDescent="0.35">
      <c r="X7355" s="8"/>
    </row>
    <row r="7356" spans="24:24" x14ac:dyDescent="0.35">
      <c r="X7356" s="8"/>
    </row>
    <row r="7357" spans="24:24" x14ac:dyDescent="0.35">
      <c r="X7357" s="8"/>
    </row>
    <row r="7358" spans="24:24" x14ac:dyDescent="0.35">
      <c r="X7358" s="8"/>
    </row>
    <row r="7359" spans="24:24" x14ac:dyDescent="0.35">
      <c r="X7359" s="8"/>
    </row>
    <row r="7360" spans="24:24" x14ac:dyDescent="0.35">
      <c r="X7360" s="8"/>
    </row>
    <row r="7361" spans="24:24" x14ac:dyDescent="0.35">
      <c r="X7361" s="8"/>
    </row>
    <row r="7362" spans="24:24" x14ac:dyDescent="0.35">
      <c r="X7362" s="8"/>
    </row>
    <row r="7363" spans="24:24" x14ac:dyDescent="0.35">
      <c r="X7363" s="8"/>
    </row>
    <row r="7364" spans="24:24" x14ac:dyDescent="0.35">
      <c r="X7364" s="8"/>
    </row>
    <row r="7365" spans="24:24" x14ac:dyDescent="0.35">
      <c r="X7365" s="8"/>
    </row>
    <row r="7366" spans="24:24" x14ac:dyDescent="0.35">
      <c r="X7366" s="8"/>
    </row>
    <row r="7367" spans="24:24" x14ac:dyDescent="0.35">
      <c r="X7367" s="8"/>
    </row>
    <row r="7368" spans="24:24" x14ac:dyDescent="0.35">
      <c r="X7368" s="8"/>
    </row>
    <row r="7369" spans="24:24" x14ac:dyDescent="0.35">
      <c r="X7369" s="8"/>
    </row>
    <row r="7370" spans="24:24" x14ac:dyDescent="0.35">
      <c r="X7370" s="8"/>
    </row>
    <row r="7371" spans="24:24" x14ac:dyDescent="0.35">
      <c r="X7371" s="8"/>
    </row>
    <row r="7372" spans="24:24" x14ac:dyDescent="0.35">
      <c r="X7372" s="8"/>
    </row>
    <row r="7373" spans="24:24" x14ac:dyDescent="0.35">
      <c r="X7373" s="8"/>
    </row>
    <row r="7374" spans="24:24" x14ac:dyDescent="0.35">
      <c r="X7374" s="8"/>
    </row>
    <row r="7375" spans="24:24" x14ac:dyDescent="0.35">
      <c r="X7375" s="8"/>
    </row>
    <row r="7376" spans="24:24" x14ac:dyDescent="0.35">
      <c r="X7376" s="8"/>
    </row>
    <row r="7377" spans="24:24" x14ac:dyDescent="0.35">
      <c r="X7377" s="8"/>
    </row>
    <row r="7378" spans="24:24" x14ac:dyDescent="0.35">
      <c r="X7378" s="8"/>
    </row>
    <row r="7379" spans="24:24" x14ac:dyDescent="0.35">
      <c r="X7379" s="8"/>
    </row>
    <row r="7380" spans="24:24" x14ac:dyDescent="0.35">
      <c r="X7380" s="8"/>
    </row>
    <row r="7381" spans="24:24" x14ac:dyDescent="0.35">
      <c r="X7381" s="8"/>
    </row>
    <row r="7382" spans="24:24" x14ac:dyDescent="0.35">
      <c r="X7382" s="8"/>
    </row>
    <row r="7383" spans="24:24" x14ac:dyDescent="0.35">
      <c r="X7383" s="8"/>
    </row>
    <row r="7384" spans="24:24" x14ac:dyDescent="0.35">
      <c r="X7384" s="8"/>
    </row>
    <row r="7385" spans="24:24" x14ac:dyDescent="0.35">
      <c r="X7385" s="8"/>
    </row>
    <row r="7386" spans="24:24" x14ac:dyDescent="0.35">
      <c r="X7386" s="8"/>
    </row>
    <row r="7387" spans="24:24" x14ac:dyDescent="0.35">
      <c r="X7387" s="8"/>
    </row>
    <row r="7388" spans="24:24" x14ac:dyDescent="0.35">
      <c r="X7388" s="8"/>
    </row>
    <row r="7389" spans="24:24" x14ac:dyDescent="0.35">
      <c r="X7389" s="8"/>
    </row>
    <row r="7390" spans="24:24" x14ac:dyDescent="0.35">
      <c r="X7390" s="8"/>
    </row>
    <row r="7391" spans="24:24" x14ac:dyDescent="0.35">
      <c r="X7391" s="8"/>
    </row>
    <row r="7392" spans="24:24" x14ac:dyDescent="0.35">
      <c r="X7392" s="8"/>
    </row>
    <row r="7393" spans="24:24" x14ac:dyDescent="0.35">
      <c r="X7393" s="8"/>
    </row>
    <row r="7394" spans="24:24" x14ac:dyDescent="0.35">
      <c r="X7394" s="8"/>
    </row>
    <row r="7395" spans="24:24" x14ac:dyDescent="0.35">
      <c r="X7395" s="8"/>
    </row>
    <row r="7396" spans="24:24" x14ac:dyDescent="0.35">
      <c r="X7396" s="8"/>
    </row>
    <row r="7397" spans="24:24" x14ac:dyDescent="0.35">
      <c r="X7397" s="8"/>
    </row>
    <row r="7398" spans="24:24" x14ac:dyDescent="0.35">
      <c r="X7398" s="8"/>
    </row>
    <row r="7399" spans="24:24" x14ac:dyDescent="0.35">
      <c r="X7399" s="8"/>
    </row>
    <row r="7400" spans="24:24" x14ac:dyDescent="0.35">
      <c r="X7400" s="8"/>
    </row>
    <row r="7401" spans="24:24" x14ac:dyDescent="0.35">
      <c r="X7401" s="8"/>
    </row>
    <row r="7402" spans="24:24" x14ac:dyDescent="0.35">
      <c r="X7402" s="8"/>
    </row>
    <row r="7403" spans="24:24" x14ac:dyDescent="0.35">
      <c r="X7403" s="8"/>
    </row>
    <row r="7404" spans="24:24" x14ac:dyDescent="0.35">
      <c r="X7404" s="8"/>
    </row>
    <row r="7405" spans="24:24" x14ac:dyDescent="0.35">
      <c r="X7405" s="8"/>
    </row>
    <row r="7406" spans="24:24" x14ac:dyDescent="0.35">
      <c r="X7406" s="8"/>
    </row>
    <row r="7407" spans="24:24" x14ac:dyDescent="0.35">
      <c r="X7407" s="8"/>
    </row>
    <row r="7408" spans="24:24" x14ac:dyDescent="0.35">
      <c r="X7408" s="8"/>
    </row>
    <row r="7409" spans="24:24" x14ac:dyDescent="0.35">
      <c r="X7409" s="8"/>
    </row>
    <row r="7410" spans="24:24" x14ac:dyDescent="0.35">
      <c r="X7410" s="8"/>
    </row>
    <row r="7411" spans="24:24" x14ac:dyDescent="0.35">
      <c r="X7411" s="8"/>
    </row>
    <row r="7412" spans="24:24" x14ac:dyDescent="0.35">
      <c r="X7412" s="8"/>
    </row>
    <row r="7413" spans="24:24" x14ac:dyDescent="0.35">
      <c r="X7413" s="8"/>
    </row>
    <row r="7414" spans="24:24" x14ac:dyDescent="0.35">
      <c r="X7414" s="8"/>
    </row>
    <row r="7415" spans="24:24" x14ac:dyDescent="0.35">
      <c r="X7415" s="8"/>
    </row>
    <row r="7416" spans="24:24" x14ac:dyDescent="0.35">
      <c r="X7416" s="8"/>
    </row>
    <row r="7417" spans="24:24" x14ac:dyDescent="0.35">
      <c r="X7417" s="8"/>
    </row>
    <row r="7418" spans="24:24" x14ac:dyDescent="0.35">
      <c r="X7418" s="8"/>
    </row>
    <row r="7419" spans="24:24" x14ac:dyDescent="0.35">
      <c r="X7419" s="8"/>
    </row>
    <row r="7420" spans="24:24" x14ac:dyDescent="0.35">
      <c r="X7420" s="8"/>
    </row>
    <row r="7421" spans="24:24" x14ac:dyDescent="0.35">
      <c r="X7421" s="8"/>
    </row>
    <row r="7422" spans="24:24" x14ac:dyDescent="0.35">
      <c r="X7422" s="8"/>
    </row>
    <row r="7423" spans="24:24" x14ac:dyDescent="0.35">
      <c r="X7423" s="8"/>
    </row>
    <row r="7424" spans="24:24" x14ac:dyDescent="0.35">
      <c r="X7424" s="8"/>
    </row>
    <row r="7425" spans="24:24" x14ac:dyDescent="0.35">
      <c r="X7425" s="8"/>
    </row>
    <row r="7426" spans="24:24" x14ac:dyDescent="0.35">
      <c r="X7426" s="8"/>
    </row>
    <row r="7427" spans="24:24" x14ac:dyDescent="0.35">
      <c r="X7427" s="8"/>
    </row>
    <row r="7428" spans="24:24" x14ac:dyDescent="0.35">
      <c r="X7428" s="8"/>
    </row>
    <row r="7429" spans="24:24" x14ac:dyDescent="0.35">
      <c r="X7429" s="8"/>
    </row>
    <row r="7430" spans="24:24" x14ac:dyDescent="0.35">
      <c r="X7430" s="8"/>
    </row>
    <row r="7431" spans="24:24" x14ac:dyDescent="0.35">
      <c r="X7431" s="8"/>
    </row>
    <row r="7432" spans="24:24" x14ac:dyDescent="0.35">
      <c r="X7432" s="8"/>
    </row>
    <row r="7433" spans="24:24" x14ac:dyDescent="0.35">
      <c r="X7433" s="8"/>
    </row>
    <row r="7434" spans="24:24" x14ac:dyDescent="0.35">
      <c r="X7434" s="8"/>
    </row>
    <row r="7435" spans="24:24" x14ac:dyDescent="0.35">
      <c r="X7435" s="8"/>
    </row>
    <row r="7436" spans="24:24" x14ac:dyDescent="0.35">
      <c r="X7436" s="8"/>
    </row>
    <row r="7437" spans="24:24" x14ac:dyDescent="0.35">
      <c r="X7437" s="8"/>
    </row>
    <row r="7438" spans="24:24" x14ac:dyDescent="0.35">
      <c r="X7438" s="8"/>
    </row>
    <row r="7439" spans="24:24" x14ac:dyDescent="0.35">
      <c r="X7439" s="8"/>
    </row>
    <row r="7440" spans="24:24" x14ac:dyDescent="0.35">
      <c r="X7440" s="8"/>
    </row>
    <row r="7441" spans="24:24" x14ac:dyDescent="0.35">
      <c r="X7441" s="8"/>
    </row>
    <row r="7442" spans="24:24" x14ac:dyDescent="0.35">
      <c r="X7442" s="8"/>
    </row>
    <row r="7443" spans="24:24" x14ac:dyDescent="0.35">
      <c r="X7443" s="8"/>
    </row>
    <row r="7444" spans="24:24" x14ac:dyDescent="0.35">
      <c r="X7444" s="8"/>
    </row>
    <row r="7445" spans="24:24" x14ac:dyDescent="0.35">
      <c r="X7445" s="8"/>
    </row>
    <row r="7446" spans="24:24" x14ac:dyDescent="0.35">
      <c r="X7446" s="8"/>
    </row>
    <row r="7447" spans="24:24" x14ac:dyDescent="0.35">
      <c r="X7447" s="8"/>
    </row>
    <row r="7448" spans="24:24" x14ac:dyDescent="0.35">
      <c r="X7448" s="8"/>
    </row>
    <row r="7449" spans="24:24" x14ac:dyDescent="0.35">
      <c r="X7449" s="8"/>
    </row>
    <row r="7450" spans="24:24" x14ac:dyDescent="0.35">
      <c r="X7450" s="8"/>
    </row>
    <row r="7451" spans="24:24" x14ac:dyDescent="0.35">
      <c r="X7451" s="8"/>
    </row>
    <row r="7452" spans="24:24" x14ac:dyDescent="0.35">
      <c r="X7452" s="8"/>
    </row>
    <row r="7453" spans="24:24" x14ac:dyDescent="0.35">
      <c r="X7453" s="8"/>
    </row>
    <row r="7454" spans="24:24" x14ac:dyDescent="0.35">
      <c r="X7454" s="8"/>
    </row>
    <row r="7455" spans="24:24" x14ac:dyDescent="0.35">
      <c r="X7455" s="8"/>
    </row>
    <row r="7456" spans="24:24" x14ac:dyDescent="0.35">
      <c r="X7456" s="8"/>
    </row>
    <row r="7457" spans="24:24" x14ac:dyDescent="0.35">
      <c r="X7457" s="8"/>
    </row>
    <row r="7458" spans="24:24" x14ac:dyDescent="0.35">
      <c r="X7458" s="8"/>
    </row>
    <row r="7459" spans="24:24" x14ac:dyDescent="0.35">
      <c r="X7459" s="8"/>
    </row>
    <row r="7460" spans="24:24" x14ac:dyDescent="0.35">
      <c r="X7460" s="8"/>
    </row>
    <row r="7461" spans="24:24" x14ac:dyDescent="0.35">
      <c r="X7461" s="8"/>
    </row>
    <row r="7462" spans="24:24" x14ac:dyDescent="0.35">
      <c r="X7462" s="8"/>
    </row>
    <row r="7463" spans="24:24" x14ac:dyDescent="0.35">
      <c r="X7463" s="8"/>
    </row>
    <row r="7464" spans="24:24" x14ac:dyDescent="0.35">
      <c r="X7464" s="8"/>
    </row>
    <row r="7465" spans="24:24" x14ac:dyDescent="0.35">
      <c r="X7465" s="8"/>
    </row>
    <row r="7466" spans="24:24" x14ac:dyDescent="0.35">
      <c r="X7466" s="8"/>
    </row>
    <row r="7467" spans="24:24" x14ac:dyDescent="0.35">
      <c r="X7467" s="8"/>
    </row>
    <row r="7468" spans="24:24" x14ac:dyDescent="0.35">
      <c r="X7468" s="8"/>
    </row>
    <row r="7469" spans="24:24" x14ac:dyDescent="0.35">
      <c r="X7469" s="8"/>
    </row>
    <row r="7470" spans="24:24" x14ac:dyDescent="0.35">
      <c r="X7470" s="8"/>
    </row>
    <row r="7471" spans="24:24" x14ac:dyDescent="0.35">
      <c r="X7471" s="8"/>
    </row>
    <row r="7472" spans="24:24" x14ac:dyDescent="0.35">
      <c r="X7472" s="8"/>
    </row>
    <row r="7473" spans="24:24" x14ac:dyDescent="0.35">
      <c r="X7473" s="8"/>
    </row>
    <row r="7474" spans="24:24" x14ac:dyDescent="0.35">
      <c r="X7474" s="8"/>
    </row>
    <row r="7475" spans="24:24" x14ac:dyDescent="0.35">
      <c r="X7475" s="8"/>
    </row>
    <row r="7476" spans="24:24" x14ac:dyDescent="0.35">
      <c r="X7476" s="8"/>
    </row>
    <row r="7477" spans="24:24" x14ac:dyDescent="0.35">
      <c r="X7477" s="8"/>
    </row>
    <row r="7478" spans="24:24" x14ac:dyDescent="0.35">
      <c r="X7478" s="8"/>
    </row>
    <row r="7479" spans="24:24" x14ac:dyDescent="0.35">
      <c r="X7479" s="8"/>
    </row>
    <row r="7480" spans="24:24" x14ac:dyDescent="0.35">
      <c r="X7480" s="8"/>
    </row>
    <row r="7481" spans="24:24" x14ac:dyDescent="0.35">
      <c r="X7481" s="8"/>
    </row>
    <row r="7482" spans="24:24" x14ac:dyDescent="0.35">
      <c r="X7482" s="8"/>
    </row>
    <row r="7483" spans="24:24" x14ac:dyDescent="0.35">
      <c r="X7483" s="8"/>
    </row>
    <row r="7484" spans="24:24" x14ac:dyDescent="0.35">
      <c r="X7484" s="8"/>
    </row>
    <row r="7485" spans="24:24" x14ac:dyDescent="0.35">
      <c r="X7485" s="8"/>
    </row>
    <row r="7486" spans="24:24" x14ac:dyDescent="0.35">
      <c r="X7486" s="8"/>
    </row>
    <row r="7487" spans="24:24" x14ac:dyDescent="0.35">
      <c r="X7487" s="8"/>
    </row>
    <row r="7488" spans="24:24" x14ac:dyDescent="0.35">
      <c r="X7488" s="8"/>
    </row>
    <row r="7489" spans="24:24" x14ac:dyDescent="0.35">
      <c r="X7489" s="8"/>
    </row>
    <row r="7490" spans="24:24" x14ac:dyDescent="0.35">
      <c r="X7490" s="8"/>
    </row>
    <row r="7491" spans="24:24" x14ac:dyDescent="0.35">
      <c r="X7491" s="8"/>
    </row>
    <row r="7492" spans="24:24" x14ac:dyDescent="0.35">
      <c r="X7492" s="8"/>
    </row>
    <row r="7493" spans="24:24" x14ac:dyDescent="0.35">
      <c r="X7493" s="8"/>
    </row>
    <row r="7494" spans="24:24" x14ac:dyDescent="0.35">
      <c r="X7494" s="8"/>
    </row>
    <row r="7495" spans="24:24" x14ac:dyDescent="0.35">
      <c r="X7495" s="8"/>
    </row>
    <row r="7496" spans="24:24" x14ac:dyDescent="0.35">
      <c r="X7496" s="8"/>
    </row>
    <row r="7497" spans="24:24" x14ac:dyDescent="0.35">
      <c r="X7497" s="8"/>
    </row>
    <row r="7498" spans="24:24" x14ac:dyDescent="0.35">
      <c r="X7498" s="8"/>
    </row>
    <row r="7499" spans="24:24" x14ac:dyDescent="0.35">
      <c r="X7499" s="8"/>
    </row>
    <row r="7500" spans="24:24" x14ac:dyDescent="0.35">
      <c r="X7500" s="8"/>
    </row>
    <row r="7501" spans="24:24" x14ac:dyDescent="0.35">
      <c r="X7501" s="8"/>
    </row>
    <row r="7502" spans="24:24" x14ac:dyDescent="0.35">
      <c r="X7502" s="8"/>
    </row>
    <row r="7503" spans="24:24" x14ac:dyDescent="0.35">
      <c r="X7503" s="8"/>
    </row>
    <row r="7504" spans="24:24" x14ac:dyDescent="0.35">
      <c r="X7504" s="8"/>
    </row>
    <row r="7505" spans="24:24" x14ac:dyDescent="0.35">
      <c r="X7505" s="8"/>
    </row>
    <row r="7506" spans="24:24" x14ac:dyDescent="0.35">
      <c r="X7506" s="8"/>
    </row>
    <row r="7507" spans="24:24" x14ac:dyDescent="0.35">
      <c r="X7507" s="8"/>
    </row>
    <row r="7508" spans="24:24" x14ac:dyDescent="0.35">
      <c r="X7508" s="8"/>
    </row>
    <row r="7509" spans="24:24" x14ac:dyDescent="0.35">
      <c r="X7509" s="8"/>
    </row>
    <row r="7510" spans="24:24" x14ac:dyDescent="0.35">
      <c r="X7510" s="8"/>
    </row>
    <row r="7511" spans="24:24" x14ac:dyDescent="0.35">
      <c r="X7511" s="8"/>
    </row>
    <row r="7512" spans="24:24" x14ac:dyDescent="0.35">
      <c r="X7512" s="8"/>
    </row>
    <row r="7513" spans="24:24" x14ac:dyDescent="0.35">
      <c r="X7513" s="8"/>
    </row>
    <row r="7514" spans="24:24" x14ac:dyDescent="0.35">
      <c r="X7514" s="8"/>
    </row>
    <row r="7515" spans="24:24" x14ac:dyDescent="0.35">
      <c r="X7515" s="8"/>
    </row>
    <row r="7516" spans="24:24" x14ac:dyDescent="0.35">
      <c r="X7516" s="8"/>
    </row>
    <row r="7517" spans="24:24" x14ac:dyDescent="0.35">
      <c r="X7517" s="8"/>
    </row>
    <row r="7518" spans="24:24" x14ac:dyDescent="0.35">
      <c r="X7518" s="8"/>
    </row>
    <row r="7519" spans="24:24" x14ac:dyDescent="0.35">
      <c r="X7519" s="8"/>
    </row>
    <row r="7520" spans="24:24" x14ac:dyDescent="0.35">
      <c r="X7520" s="8"/>
    </row>
    <row r="7521" spans="24:24" x14ac:dyDescent="0.35">
      <c r="X7521" s="8"/>
    </row>
    <row r="7522" spans="24:24" x14ac:dyDescent="0.35">
      <c r="X7522" s="8"/>
    </row>
    <row r="7523" spans="24:24" x14ac:dyDescent="0.35">
      <c r="X7523" s="8"/>
    </row>
    <row r="7524" spans="24:24" x14ac:dyDescent="0.35">
      <c r="X7524" s="8"/>
    </row>
    <row r="7525" spans="24:24" x14ac:dyDescent="0.35">
      <c r="X7525" s="8"/>
    </row>
    <row r="7526" spans="24:24" x14ac:dyDescent="0.35">
      <c r="X7526" s="8"/>
    </row>
    <row r="7527" spans="24:24" x14ac:dyDescent="0.35">
      <c r="X7527" s="8"/>
    </row>
    <row r="7528" spans="24:24" x14ac:dyDescent="0.35">
      <c r="X7528" s="8"/>
    </row>
    <row r="7529" spans="24:24" x14ac:dyDescent="0.35">
      <c r="X7529" s="8"/>
    </row>
    <row r="7530" spans="24:24" x14ac:dyDescent="0.35">
      <c r="X7530" s="8"/>
    </row>
    <row r="7531" spans="24:24" x14ac:dyDescent="0.35">
      <c r="X7531" s="8"/>
    </row>
    <row r="7532" spans="24:24" x14ac:dyDescent="0.35">
      <c r="X7532" s="8"/>
    </row>
    <row r="7533" spans="24:24" x14ac:dyDescent="0.35">
      <c r="X7533" s="8"/>
    </row>
    <row r="7534" spans="24:24" x14ac:dyDescent="0.35">
      <c r="X7534" s="8"/>
    </row>
    <row r="7535" spans="24:24" x14ac:dyDescent="0.35">
      <c r="X7535" s="8"/>
    </row>
    <row r="7536" spans="24:24" x14ac:dyDescent="0.35">
      <c r="X7536" s="8"/>
    </row>
    <row r="7537" spans="24:24" x14ac:dyDescent="0.35">
      <c r="X7537" s="8"/>
    </row>
    <row r="7538" spans="24:24" x14ac:dyDescent="0.35">
      <c r="X7538" s="8"/>
    </row>
    <row r="7539" spans="24:24" x14ac:dyDescent="0.35">
      <c r="X7539" s="8"/>
    </row>
    <row r="7540" spans="24:24" x14ac:dyDescent="0.35">
      <c r="X7540" s="8"/>
    </row>
    <row r="7541" spans="24:24" x14ac:dyDescent="0.35">
      <c r="X7541" s="8"/>
    </row>
    <row r="7542" spans="24:24" x14ac:dyDescent="0.35">
      <c r="X7542" s="8"/>
    </row>
    <row r="7543" spans="24:24" x14ac:dyDescent="0.35">
      <c r="X7543" s="8"/>
    </row>
    <row r="7544" spans="24:24" x14ac:dyDescent="0.35">
      <c r="X7544" s="8"/>
    </row>
    <row r="7545" spans="24:24" x14ac:dyDescent="0.35">
      <c r="X7545" s="8"/>
    </row>
    <row r="7546" spans="24:24" x14ac:dyDescent="0.35">
      <c r="X7546" s="8"/>
    </row>
    <row r="7547" spans="24:24" x14ac:dyDescent="0.35">
      <c r="X7547" s="8"/>
    </row>
    <row r="7548" spans="24:24" x14ac:dyDescent="0.35">
      <c r="X7548" s="8"/>
    </row>
    <row r="7549" spans="24:24" x14ac:dyDescent="0.35">
      <c r="X7549" s="8"/>
    </row>
    <row r="7550" spans="24:24" x14ac:dyDescent="0.35">
      <c r="X7550" s="8"/>
    </row>
    <row r="7551" spans="24:24" x14ac:dyDescent="0.35">
      <c r="X7551" s="8"/>
    </row>
    <row r="7552" spans="24:24" x14ac:dyDescent="0.35">
      <c r="X7552" s="8"/>
    </row>
    <row r="7553" spans="24:24" x14ac:dyDescent="0.35">
      <c r="X7553" s="8"/>
    </row>
    <row r="7554" spans="24:24" x14ac:dyDescent="0.35">
      <c r="X7554" s="8"/>
    </row>
    <row r="7555" spans="24:24" x14ac:dyDescent="0.35">
      <c r="X7555" s="8"/>
    </row>
    <row r="7556" spans="24:24" x14ac:dyDescent="0.35">
      <c r="X7556" s="8"/>
    </row>
    <row r="7557" spans="24:24" x14ac:dyDescent="0.35">
      <c r="X7557" s="8"/>
    </row>
    <row r="7558" spans="24:24" x14ac:dyDescent="0.35">
      <c r="X7558" s="8"/>
    </row>
    <row r="7559" spans="24:24" x14ac:dyDescent="0.35">
      <c r="X7559" s="8"/>
    </row>
    <row r="7560" spans="24:24" x14ac:dyDescent="0.35">
      <c r="X7560" s="8"/>
    </row>
    <row r="7561" spans="24:24" x14ac:dyDescent="0.35">
      <c r="X7561" s="8"/>
    </row>
    <row r="7562" spans="24:24" x14ac:dyDescent="0.35">
      <c r="X7562" s="8"/>
    </row>
    <row r="7563" spans="24:24" x14ac:dyDescent="0.35">
      <c r="X7563" s="8"/>
    </row>
    <row r="7564" spans="24:24" x14ac:dyDescent="0.35">
      <c r="X7564" s="8"/>
    </row>
    <row r="7565" spans="24:24" x14ac:dyDescent="0.35">
      <c r="X7565" s="8"/>
    </row>
    <row r="7566" spans="24:24" x14ac:dyDescent="0.35">
      <c r="X7566" s="8"/>
    </row>
    <row r="7567" spans="24:24" x14ac:dyDescent="0.35">
      <c r="X7567" s="8"/>
    </row>
    <row r="7568" spans="24:24" x14ac:dyDescent="0.35">
      <c r="X7568" s="8"/>
    </row>
    <row r="7569" spans="24:24" x14ac:dyDescent="0.35">
      <c r="X7569" s="8"/>
    </row>
    <row r="7570" spans="24:24" x14ac:dyDescent="0.35">
      <c r="X7570" s="8"/>
    </row>
    <row r="7571" spans="24:24" x14ac:dyDescent="0.35">
      <c r="X7571" s="8"/>
    </row>
    <row r="7572" spans="24:24" x14ac:dyDescent="0.35">
      <c r="X7572" s="8"/>
    </row>
    <row r="7573" spans="24:24" x14ac:dyDescent="0.35">
      <c r="X7573" s="8"/>
    </row>
    <row r="7574" spans="24:24" x14ac:dyDescent="0.35">
      <c r="X7574" s="8"/>
    </row>
    <row r="7575" spans="24:24" x14ac:dyDescent="0.35">
      <c r="X7575" s="8"/>
    </row>
    <row r="7576" spans="24:24" x14ac:dyDescent="0.35">
      <c r="X7576" s="8"/>
    </row>
    <row r="7577" spans="24:24" x14ac:dyDescent="0.35">
      <c r="X7577" s="8"/>
    </row>
    <row r="7578" spans="24:24" x14ac:dyDescent="0.35">
      <c r="X7578" s="8"/>
    </row>
    <row r="7579" spans="24:24" x14ac:dyDescent="0.35">
      <c r="X7579" s="8"/>
    </row>
    <row r="7580" spans="24:24" x14ac:dyDescent="0.35">
      <c r="X7580" s="8"/>
    </row>
    <row r="7581" spans="24:24" x14ac:dyDescent="0.35">
      <c r="X7581" s="8"/>
    </row>
    <row r="7582" spans="24:24" x14ac:dyDescent="0.35">
      <c r="X7582" s="8"/>
    </row>
    <row r="7583" spans="24:24" x14ac:dyDescent="0.35">
      <c r="X7583" s="8"/>
    </row>
    <row r="7584" spans="24:24" x14ac:dyDescent="0.35">
      <c r="X7584" s="8"/>
    </row>
    <row r="7585" spans="24:24" x14ac:dyDescent="0.35">
      <c r="X7585" s="8"/>
    </row>
    <row r="7586" spans="24:24" x14ac:dyDescent="0.35">
      <c r="X7586" s="8"/>
    </row>
    <row r="7587" spans="24:24" x14ac:dyDescent="0.35">
      <c r="X7587" s="8"/>
    </row>
    <row r="7588" spans="24:24" x14ac:dyDescent="0.35">
      <c r="X7588" s="8"/>
    </row>
    <row r="7589" spans="24:24" x14ac:dyDescent="0.35">
      <c r="X7589" s="8"/>
    </row>
    <row r="7590" spans="24:24" x14ac:dyDescent="0.35">
      <c r="X7590" s="8"/>
    </row>
    <row r="7591" spans="24:24" x14ac:dyDescent="0.35">
      <c r="X7591" s="8"/>
    </row>
    <row r="7592" spans="24:24" x14ac:dyDescent="0.35">
      <c r="X7592" s="8"/>
    </row>
    <row r="7593" spans="24:24" x14ac:dyDescent="0.35">
      <c r="X7593" s="8"/>
    </row>
    <row r="7594" spans="24:24" x14ac:dyDescent="0.35">
      <c r="X7594" s="8"/>
    </row>
    <row r="7595" spans="24:24" x14ac:dyDescent="0.35">
      <c r="X7595" s="8"/>
    </row>
    <row r="7596" spans="24:24" x14ac:dyDescent="0.35">
      <c r="X7596" s="8"/>
    </row>
    <row r="7597" spans="24:24" x14ac:dyDescent="0.35">
      <c r="X7597" s="8"/>
    </row>
    <row r="7598" spans="24:24" x14ac:dyDescent="0.35">
      <c r="X7598" s="8"/>
    </row>
    <row r="7599" spans="24:24" x14ac:dyDescent="0.35">
      <c r="X7599" s="8"/>
    </row>
    <row r="7600" spans="24:24" x14ac:dyDescent="0.35">
      <c r="X7600" s="8"/>
    </row>
    <row r="7601" spans="24:24" x14ac:dyDescent="0.35">
      <c r="X7601" s="8"/>
    </row>
    <row r="7602" spans="24:24" x14ac:dyDescent="0.35">
      <c r="X7602" s="8"/>
    </row>
    <row r="7603" spans="24:24" x14ac:dyDescent="0.35">
      <c r="X7603" s="8"/>
    </row>
    <row r="7604" spans="24:24" x14ac:dyDescent="0.35">
      <c r="X7604" s="8"/>
    </row>
    <row r="7605" spans="24:24" x14ac:dyDescent="0.35">
      <c r="X7605" s="8"/>
    </row>
    <row r="7606" spans="24:24" x14ac:dyDescent="0.35">
      <c r="X7606" s="8"/>
    </row>
    <row r="7607" spans="24:24" x14ac:dyDescent="0.35">
      <c r="X7607" s="8"/>
    </row>
    <row r="7608" spans="24:24" x14ac:dyDescent="0.35">
      <c r="X7608" s="8"/>
    </row>
    <row r="7609" spans="24:24" x14ac:dyDescent="0.35">
      <c r="X7609" s="8"/>
    </row>
    <row r="7610" spans="24:24" x14ac:dyDescent="0.35">
      <c r="X7610" s="8"/>
    </row>
    <row r="7611" spans="24:24" x14ac:dyDescent="0.35">
      <c r="X7611" s="8"/>
    </row>
    <row r="7612" spans="24:24" x14ac:dyDescent="0.35">
      <c r="X7612" s="8"/>
    </row>
    <row r="7613" spans="24:24" x14ac:dyDescent="0.35">
      <c r="X7613" s="8"/>
    </row>
    <row r="7614" spans="24:24" x14ac:dyDescent="0.35">
      <c r="X7614" s="8"/>
    </row>
    <row r="7615" spans="24:24" x14ac:dyDescent="0.35">
      <c r="X7615" s="8"/>
    </row>
    <row r="7616" spans="24:24" x14ac:dyDescent="0.35">
      <c r="X7616" s="8"/>
    </row>
    <row r="7617" spans="24:24" x14ac:dyDescent="0.35">
      <c r="X7617" s="8"/>
    </row>
    <row r="7618" spans="24:24" x14ac:dyDescent="0.35">
      <c r="X7618" s="8"/>
    </row>
    <row r="7619" spans="24:24" x14ac:dyDescent="0.35">
      <c r="X7619" s="8"/>
    </row>
    <row r="7620" spans="24:24" x14ac:dyDescent="0.35">
      <c r="X7620" s="8"/>
    </row>
    <row r="7621" spans="24:24" x14ac:dyDescent="0.35">
      <c r="X7621" s="8"/>
    </row>
    <row r="7622" spans="24:24" x14ac:dyDescent="0.35">
      <c r="X7622" s="8"/>
    </row>
    <row r="7623" spans="24:24" x14ac:dyDescent="0.35">
      <c r="X7623" s="8"/>
    </row>
    <row r="7624" spans="24:24" x14ac:dyDescent="0.35">
      <c r="X7624" s="8"/>
    </row>
    <row r="7625" spans="24:24" x14ac:dyDescent="0.35">
      <c r="X7625" s="8"/>
    </row>
    <row r="7626" spans="24:24" x14ac:dyDescent="0.35">
      <c r="X7626" s="8"/>
    </row>
    <row r="7627" spans="24:24" x14ac:dyDescent="0.35">
      <c r="X7627" s="8"/>
    </row>
    <row r="7628" spans="24:24" x14ac:dyDescent="0.35">
      <c r="X7628" s="8"/>
    </row>
    <row r="7629" spans="24:24" x14ac:dyDescent="0.35">
      <c r="X7629" s="8"/>
    </row>
    <row r="7630" spans="24:24" x14ac:dyDescent="0.35">
      <c r="X7630" s="8"/>
    </row>
    <row r="7631" spans="24:24" x14ac:dyDescent="0.35">
      <c r="X7631" s="8"/>
    </row>
    <row r="7632" spans="24:24" x14ac:dyDescent="0.35">
      <c r="X7632" s="8"/>
    </row>
    <row r="7633" spans="24:24" x14ac:dyDescent="0.35">
      <c r="X7633" s="8"/>
    </row>
    <row r="7634" spans="24:24" x14ac:dyDescent="0.35">
      <c r="X7634" s="8"/>
    </row>
    <row r="7635" spans="24:24" x14ac:dyDescent="0.35">
      <c r="X7635" s="8"/>
    </row>
    <row r="7636" spans="24:24" x14ac:dyDescent="0.35">
      <c r="X7636" s="8"/>
    </row>
    <row r="7637" spans="24:24" x14ac:dyDescent="0.35">
      <c r="X7637" s="8"/>
    </row>
    <row r="7638" spans="24:24" x14ac:dyDescent="0.35">
      <c r="X7638" s="8"/>
    </row>
    <row r="7639" spans="24:24" x14ac:dyDescent="0.35">
      <c r="X7639" s="8"/>
    </row>
    <row r="7640" spans="24:24" x14ac:dyDescent="0.35">
      <c r="X7640" s="8"/>
    </row>
    <row r="7641" spans="24:24" x14ac:dyDescent="0.35">
      <c r="X7641" s="8"/>
    </row>
    <row r="7642" spans="24:24" x14ac:dyDescent="0.35">
      <c r="X7642" s="8"/>
    </row>
    <row r="7643" spans="24:24" x14ac:dyDescent="0.35">
      <c r="X7643" s="8"/>
    </row>
    <row r="7644" spans="24:24" x14ac:dyDescent="0.35">
      <c r="X7644" s="8"/>
    </row>
    <row r="7645" spans="24:24" x14ac:dyDescent="0.35">
      <c r="X7645" s="8"/>
    </row>
    <row r="7646" spans="24:24" x14ac:dyDescent="0.35">
      <c r="X7646" s="8"/>
    </row>
    <row r="7647" spans="24:24" x14ac:dyDescent="0.35">
      <c r="X7647" s="8"/>
    </row>
    <row r="7648" spans="24:24" x14ac:dyDescent="0.35">
      <c r="X7648" s="8"/>
    </row>
    <row r="7649" spans="24:24" x14ac:dyDescent="0.35">
      <c r="X7649" s="8"/>
    </row>
    <row r="7650" spans="24:24" x14ac:dyDescent="0.35">
      <c r="X7650" s="8"/>
    </row>
    <row r="7651" spans="24:24" x14ac:dyDescent="0.35">
      <c r="X7651" s="8"/>
    </row>
    <row r="7652" spans="24:24" x14ac:dyDescent="0.35">
      <c r="X7652" s="8"/>
    </row>
    <row r="7653" spans="24:24" x14ac:dyDescent="0.35">
      <c r="X7653" s="8"/>
    </row>
    <row r="7654" spans="24:24" x14ac:dyDescent="0.35">
      <c r="X7654" s="8"/>
    </row>
    <row r="7655" spans="24:24" x14ac:dyDescent="0.35">
      <c r="X7655" s="8"/>
    </row>
    <row r="7656" spans="24:24" x14ac:dyDescent="0.35">
      <c r="X7656" s="8"/>
    </row>
    <row r="7657" spans="24:24" x14ac:dyDescent="0.35">
      <c r="X7657" s="8"/>
    </row>
    <row r="7658" spans="24:24" x14ac:dyDescent="0.35">
      <c r="X7658" s="8"/>
    </row>
    <row r="7659" spans="24:24" x14ac:dyDescent="0.35">
      <c r="X7659" s="8"/>
    </row>
    <row r="7660" spans="24:24" x14ac:dyDescent="0.35">
      <c r="X7660" s="8"/>
    </row>
    <row r="7661" spans="24:24" x14ac:dyDescent="0.35">
      <c r="X7661" s="8"/>
    </row>
    <row r="7662" spans="24:24" x14ac:dyDescent="0.35">
      <c r="X7662" s="8"/>
    </row>
    <row r="7663" spans="24:24" x14ac:dyDescent="0.35">
      <c r="X7663" s="8"/>
    </row>
    <row r="7664" spans="24:24" x14ac:dyDescent="0.35">
      <c r="X7664" s="8"/>
    </row>
    <row r="7665" spans="24:24" x14ac:dyDescent="0.35">
      <c r="X7665" s="8"/>
    </row>
    <row r="7666" spans="24:24" x14ac:dyDescent="0.35">
      <c r="X7666" s="8"/>
    </row>
    <row r="7667" spans="24:24" x14ac:dyDescent="0.35">
      <c r="X7667" s="8"/>
    </row>
    <row r="7668" spans="24:24" x14ac:dyDescent="0.35">
      <c r="X7668" s="8"/>
    </row>
    <row r="7669" spans="24:24" x14ac:dyDescent="0.35">
      <c r="X7669" s="8"/>
    </row>
    <row r="7670" spans="24:24" x14ac:dyDescent="0.35">
      <c r="X7670" s="8"/>
    </row>
    <row r="7671" spans="24:24" x14ac:dyDescent="0.35">
      <c r="X7671" s="8"/>
    </row>
    <row r="7672" spans="24:24" x14ac:dyDescent="0.35">
      <c r="X7672" s="8"/>
    </row>
    <row r="7673" spans="24:24" x14ac:dyDescent="0.35">
      <c r="X7673" s="8"/>
    </row>
    <row r="7674" spans="24:24" x14ac:dyDescent="0.35">
      <c r="X7674" s="8"/>
    </row>
    <row r="7675" spans="24:24" x14ac:dyDescent="0.35">
      <c r="X7675" s="8"/>
    </row>
    <row r="7676" spans="24:24" x14ac:dyDescent="0.35">
      <c r="X7676" s="8"/>
    </row>
    <row r="7677" spans="24:24" x14ac:dyDescent="0.35">
      <c r="X7677" s="8"/>
    </row>
    <row r="7678" spans="24:24" x14ac:dyDescent="0.35">
      <c r="X7678" s="8"/>
    </row>
    <row r="7679" spans="24:24" x14ac:dyDescent="0.35">
      <c r="X7679" s="8"/>
    </row>
    <row r="7680" spans="24:24" x14ac:dyDescent="0.35">
      <c r="X7680" s="8"/>
    </row>
    <row r="7681" spans="24:24" x14ac:dyDescent="0.35">
      <c r="X7681" s="8"/>
    </row>
    <row r="7682" spans="24:24" x14ac:dyDescent="0.35">
      <c r="X7682" s="8"/>
    </row>
    <row r="7683" spans="24:24" x14ac:dyDescent="0.35">
      <c r="X7683" s="8"/>
    </row>
    <row r="7684" spans="24:24" x14ac:dyDescent="0.35">
      <c r="X7684" s="8"/>
    </row>
    <row r="7685" spans="24:24" x14ac:dyDescent="0.35">
      <c r="X7685" s="8"/>
    </row>
    <row r="7686" spans="24:24" x14ac:dyDescent="0.35">
      <c r="X7686" s="8"/>
    </row>
    <row r="7687" spans="24:24" x14ac:dyDescent="0.35">
      <c r="X7687" s="8"/>
    </row>
    <row r="7688" spans="24:24" x14ac:dyDescent="0.35">
      <c r="X7688" s="8"/>
    </row>
    <row r="7689" spans="24:24" x14ac:dyDescent="0.35">
      <c r="X7689" s="8"/>
    </row>
    <row r="7690" spans="24:24" x14ac:dyDescent="0.35">
      <c r="X7690" s="8"/>
    </row>
    <row r="7691" spans="24:24" x14ac:dyDescent="0.35">
      <c r="X7691" s="8"/>
    </row>
    <row r="7692" spans="24:24" x14ac:dyDescent="0.35">
      <c r="X7692" s="8"/>
    </row>
    <row r="7693" spans="24:24" x14ac:dyDescent="0.35">
      <c r="X7693" s="8"/>
    </row>
    <row r="7694" spans="24:24" x14ac:dyDescent="0.35">
      <c r="X7694" s="8"/>
    </row>
    <row r="7695" spans="24:24" x14ac:dyDescent="0.35">
      <c r="X7695" s="8"/>
    </row>
    <row r="7696" spans="24:24" x14ac:dyDescent="0.35">
      <c r="X7696" s="8"/>
    </row>
    <row r="7697" spans="24:24" x14ac:dyDescent="0.35">
      <c r="X7697" s="8"/>
    </row>
    <row r="7698" spans="24:24" x14ac:dyDescent="0.35">
      <c r="X7698" s="8"/>
    </row>
    <row r="7699" spans="24:24" x14ac:dyDescent="0.35">
      <c r="X7699" s="8"/>
    </row>
    <row r="7700" spans="24:24" x14ac:dyDescent="0.35">
      <c r="X7700" s="8"/>
    </row>
    <row r="7701" spans="24:24" x14ac:dyDescent="0.35">
      <c r="X7701" s="8"/>
    </row>
    <row r="7702" spans="24:24" x14ac:dyDescent="0.35">
      <c r="X7702" s="8"/>
    </row>
    <row r="7703" spans="24:24" x14ac:dyDescent="0.35">
      <c r="X7703" s="8"/>
    </row>
    <row r="7704" spans="24:24" x14ac:dyDescent="0.35">
      <c r="X7704" s="8"/>
    </row>
    <row r="7705" spans="24:24" x14ac:dyDescent="0.35">
      <c r="X7705" s="8"/>
    </row>
    <row r="7706" spans="24:24" x14ac:dyDescent="0.35">
      <c r="X7706" s="8"/>
    </row>
    <row r="7707" spans="24:24" x14ac:dyDescent="0.35">
      <c r="X7707" s="8"/>
    </row>
    <row r="7708" spans="24:24" x14ac:dyDescent="0.35">
      <c r="X7708" s="8"/>
    </row>
    <row r="7709" spans="24:24" x14ac:dyDescent="0.35">
      <c r="X7709" s="8"/>
    </row>
    <row r="7710" spans="24:24" x14ac:dyDescent="0.35">
      <c r="X7710" s="8"/>
    </row>
    <row r="7711" spans="24:24" x14ac:dyDescent="0.35">
      <c r="X7711" s="8"/>
    </row>
    <row r="7712" spans="24:24" x14ac:dyDescent="0.35">
      <c r="X7712" s="8"/>
    </row>
    <row r="7713" spans="24:24" x14ac:dyDescent="0.35">
      <c r="X7713" s="8"/>
    </row>
    <row r="7714" spans="24:24" x14ac:dyDescent="0.35">
      <c r="X7714" s="8"/>
    </row>
    <row r="7715" spans="24:24" x14ac:dyDescent="0.35">
      <c r="X7715" s="8"/>
    </row>
    <row r="7716" spans="24:24" x14ac:dyDescent="0.35">
      <c r="X7716" s="8"/>
    </row>
    <row r="7717" spans="24:24" x14ac:dyDescent="0.35">
      <c r="X7717" s="8"/>
    </row>
    <row r="7718" spans="24:24" x14ac:dyDescent="0.35">
      <c r="X7718" s="8"/>
    </row>
    <row r="7719" spans="24:24" x14ac:dyDescent="0.35">
      <c r="X7719" s="8"/>
    </row>
    <row r="7720" spans="24:24" x14ac:dyDescent="0.35">
      <c r="X7720" s="8"/>
    </row>
    <row r="7721" spans="24:24" x14ac:dyDescent="0.35">
      <c r="X7721" s="8"/>
    </row>
    <row r="7722" spans="24:24" x14ac:dyDescent="0.35">
      <c r="X7722" s="8"/>
    </row>
    <row r="7723" spans="24:24" x14ac:dyDescent="0.35">
      <c r="X7723" s="8"/>
    </row>
    <row r="7724" spans="24:24" x14ac:dyDescent="0.35">
      <c r="X7724" s="8"/>
    </row>
    <row r="7725" spans="24:24" x14ac:dyDescent="0.35">
      <c r="X7725" s="8"/>
    </row>
    <row r="7726" spans="24:24" x14ac:dyDescent="0.35">
      <c r="X7726" s="8"/>
    </row>
    <row r="7727" spans="24:24" x14ac:dyDescent="0.35">
      <c r="X7727" s="8"/>
    </row>
    <row r="7728" spans="24:24" x14ac:dyDescent="0.35">
      <c r="X7728" s="8"/>
    </row>
    <row r="7729" spans="24:24" x14ac:dyDescent="0.35">
      <c r="X7729" s="8"/>
    </row>
    <row r="7730" spans="24:24" x14ac:dyDescent="0.35">
      <c r="X7730" s="8"/>
    </row>
    <row r="7731" spans="24:24" x14ac:dyDescent="0.35">
      <c r="X7731" s="8"/>
    </row>
    <row r="7732" spans="24:24" x14ac:dyDescent="0.35">
      <c r="X7732" s="8"/>
    </row>
    <row r="7733" spans="24:24" x14ac:dyDescent="0.35">
      <c r="X7733" s="8"/>
    </row>
    <row r="7734" spans="24:24" x14ac:dyDescent="0.35">
      <c r="X7734" s="8"/>
    </row>
    <row r="7735" spans="24:24" x14ac:dyDescent="0.35">
      <c r="X7735" s="8"/>
    </row>
    <row r="7736" spans="24:24" x14ac:dyDescent="0.35">
      <c r="X7736" s="8"/>
    </row>
    <row r="7737" spans="24:24" x14ac:dyDescent="0.35">
      <c r="X7737" s="8"/>
    </row>
    <row r="7738" spans="24:24" x14ac:dyDescent="0.35">
      <c r="X7738" s="8"/>
    </row>
    <row r="7739" spans="24:24" x14ac:dyDescent="0.35">
      <c r="X7739" s="8"/>
    </row>
    <row r="7740" spans="24:24" x14ac:dyDescent="0.35">
      <c r="X7740" s="8"/>
    </row>
    <row r="7741" spans="24:24" x14ac:dyDescent="0.35">
      <c r="X7741" s="8"/>
    </row>
    <row r="7742" spans="24:24" x14ac:dyDescent="0.35">
      <c r="X7742" s="8"/>
    </row>
    <row r="7743" spans="24:24" x14ac:dyDescent="0.35">
      <c r="X7743" s="8"/>
    </row>
    <row r="7744" spans="24:24" x14ac:dyDescent="0.35">
      <c r="X7744" s="8"/>
    </row>
    <row r="7745" spans="24:24" x14ac:dyDescent="0.35">
      <c r="X7745" s="8"/>
    </row>
    <row r="7746" spans="24:24" x14ac:dyDescent="0.35">
      <c r="X7746" s="8"/>
    </row>
    <row r="7747" spans="24:24" x14ac:dyDescent="0.35">
      <c r="X7747" s="8"/>
    </row>
    <row r="7748" spans="24:24" x14ac:dyDescent="0.35">
      <c r="X7748" s="8"/>
    </row>
    <row r="7749" spans="24:24" x14ac:dyDescent="0.35">
      <c r="X7749" s="8"/>
    </row>
    <row r="7750" spans="24:24" x14ac:dyDescent="0.35">
      <c r="X7750" s="8"/>
    </row>
    <row r="7751" spans="24:24" x14ac:dyDescent="0.35">
      <c r="X7751" s="8"/>
    </row>
    <row r="7752" spans="24:24" x14ac:dyDescent="0.35">
      <c r="X7752" s="8"/>
    </row>
    <row r="7753" spans="24:24" x14ac:dyDescent="0.35">
      <c r="X7753" s="8"/>
    </row>
    <row r="7754" spans="24:24" x14ac:dyDescent="0.35">
      <c r="X7754" s="8"/>
    </row>
    <row r="7755" spans="24:24" x14ac:dyDescent="0.35">
      <c r="X7755" s="8"/>
    </row>
    <row r="7756" spans="24:24" x14ac:dyDescent="0.35">
      <c r="X7756" s="8"/>
    </row>
    <row r="7757" spans="24:24" x14ac:dyDescent="0.35">
      <c r="X7757" s="8"/>
    </row>
    <row r="7758" spans="24:24" x14ac:dyDescent="0.35">
      <c r="X7758" s="8"/>
    </row>
    <row r="7759" spans="24:24" x14ac:dyDescent="0.35">
      <c r="X7759" s="8"/>
    </row>
    <row r="7760" spans="24:24" x14ac:dyDescent="0.35">
      <c r="X7760" s="8"/>
    </row>
    <row r="7761" spans="24:24" x14ac:dyDescent="0.35">
      <c r="X7761" s="8"/>
    </row>
    <row r="7762" spans="24:24" x14ac:dyDescent="0.35">
      <c r="X7762" s="8"/>
    </row>
    <row r="7763" spans="24:24" x14ac:dyDescent="0.35">
      <c r="X7763" s="8"/>
    </row>
    <row r="7764" spans="24:24" x14ac:dyDescent="0.35">
      <c r="X7764" s="8"/>
    </row>
    <row r="7765" spans="24:24" x14ac:dyDescent="0.35">
      <c r="X7765" s="8"/>
    </row>
    <row r="7766" spans="24:24" x14ac:dyDescent="0.35">
      <c r="X7766" s="8"/>
    </row>
    <row r="7767" spans="24:24" x14ac:dyDescent="0.35">
      <c r="X7767" s="8"/>
    </row>
    <row r="7768" spans="24:24" x14ac:dyDescent="0.35">
      <c r="X7768" s="8"/>
    </row>
    <row r="7769" spans="24:24" x14ac:dyDescent="0.35">
      <c r="X7769" s="8"/>
    </row>
    <row r="7770" spans="24:24" x14ac:dyDescent="0.35">
      <c r="X7770" s="8"/>
    </row>
    <row r="7771" spans="24:24" x14ac:dyDescent="0.35">
      <c r="X7771" s="8"/>
    </row>
    <row r="7772" spans="24:24" x14ac:dyDescent="0.35">
      <c r="X7772" s="8"/>
    </row>
    <row r="7773" spans="24:24" x14ac:dyDescent="0.35">
      <c r="X7773" s="8"/>
    </row>
    <row r="7774" spans="24:24" x14ac:dyDescent="0.35">
      <c r="X7774" s="8"/>
    </row>
    <row r="7775" spans="24:24" x14ac:dyDescent="0.35">
      <c r="X7775" s="8"/>
    </row>
    <row r="7776" spans="24:24" x14ac:dyDescent="0.35">
      <c r="X7776" s="8"/>
    </row>
    <row r="7777" spans="24:24" x14ac:dyDescent="0.35">
      <c r="X7777" s="8"/>
    </row>
    <row r="7778" spans="24:24" x14ac:dyDescent="0.35">
      <c r="X7778" s="8"/>
    </row>
    <row r="7779" spans="24:24" x14ac:dyDescent="0.35">
      <c r="X7779" s="8"/>
    </row>
    <row r="7780" spans="24:24" x14ac:dyDescent="0.35">
      <c r="X7780" s="8"/>
    </row>
    <row r="7781" spans="24:24" x14ac:dyDescent="0.35">
      <c r="X7781" s="8"/>
    </row>
    <row r="7782" spans="24:24" x14ac:dyDescent="0.35">
      <c r="X7782" s="8"/>
    </row>
    <row r="7783" spans="24:24" x14ac:dyDescent="0.35">
      <c r="X7783" s="8"/>
    </row>
    <row r="7784" spans="24:24" x14ac:dyDescent="0.35">
      <c r="X7784" s="8"/>
    </row>
    <row r="7785" spans="24:24" x14ac:dyDescent="0.35">
      <c r="X7785" s="8"/>
    </row>
    <row r="7786" spans="24:24" x14ac:dyDescent="0.35">
      <c r="X7786" s="8"/>
    </row>
    <row r="7787" spans="24:24" x14ac:dyDescent="0.35">
      <c r="X7787" s="8"/>
    </row>
    <row r="7788" spans="24:24" x14ac:dyDescent="0.35">
      <c r="X7788" s="8"/>
    </row>
    <row r="7789" spans="24:24" x14ac:dyDescent="0.35">
      <c r="X7789" s="8"/>
    </row>
    <row r="7790" spans="24:24" x14ac:dyDescent="0.35">
      <c r="X7790" s="8"/>
    </row>
    <row r="7791" spans="24:24" x14ac:dyDescent="0.35">
      <c r="X7791" s="8"/>
    </row>
    <row r="7792" spans="24:24" x14ac:dyDescent="0.35">
      <c r="X7792" s="8"/>
    </row>
    <row r="7793" spans="24:24" x14ac:dyDescent="0.35">
      <c r="X7793" s="8"/>
    </row>
    <row r="7794" spans="24:24" x14ac:dyDescent="0.35">
      <c r="X7794" s="8"/>
    </row>
    <row r="7795" spans="24:24" x14ac:dyDescent="0.35">
      <c r="X7795" s="8"/>
    </row>
    <row r="7796" spans="24:24" x14ac:dyDescent="0.35">
      <c r="X7796" s="8"/>
    </row>
    <row r="7797" spans="24:24" x14ac:dyDescent="0.35">
      <c r="X7797" s="8"/>
    </row>
    <row r="7798" spans="24:24" x14ac:dyDescent="0.35">
      <c r="X7798" s="8"/>
    </row>
    <row r="7799" spans="24:24" x14ac:dyDescent="0.35">
      <c r="X7799" s="8"/>
    </row>
    <row r="7800" spans="24:24" x14ac:dyDescent="0.35">
      <c r="X7800" s="8"/>
    </row>
    <row r="7801" spans="24:24" x14ac:dyDescent="0.35">
      <c r="X7801" s="8"/>
    </row>
    <row r="7802" spans="24:24" x14ac:dyDescent="0.35">
      <c r="X7802" s="8"/>
    </row>
    <row r="7803" spans="24:24" x14ac:dyDescent="0.35">
      <c r="X7803" s="8"/>
    </row>
    <row r="7804" spans="24:24" x14ac:dyDescent="0.35">
      <c r="X7804" s="8"/>
    </row>
    <row r="7805" spans="24:24" x14ac:dyDescent="0.35">
      <c r="X7805" s="8"/>
    </row>
    <row r="7806" spans="24:24" x14ac:dyDescent="0.35">
      <c r="X7806" s="8"/>
    </row>
    <row r="7807" spans="24:24" x14ac:dyDescent="0.35">
      <c r="X7807" s="8"/>
    </row>
    <row r="7808" spans="24:24" x14ac:dyDescent="0.35">
      <c r="X7808" s="8"/>
    </row>
    <row r="7809" spans="24:24" x14ac:dyDescent="0.35">
      <c r="X7809" s="8"/>
    </row>
    <row r="7810" spans="24:24" x14ac:dyDescent="0.35">
      <c r="X7810" s="8"/>
    </row>
    <row r="7811" spans="24:24" x14ac:dyDescent="0.35">
      <c r="X7811" s="8"/>
    </row>
    <row r="7812" spans="24:24" x14ac:dyDescent="0.35">
      <c r="X7812" s="8"/>
    </row>
    <row r="7813" spans="24:24" x14ac:dyDescent="0.35">
      <c r="X7813" s="8"/>
    </row>
    <row r="7814" spans="24:24" x14ac:dyDescent="0.35">
      <c r="X7814" s="8"/>
    </row>
    <row r="7815" spans="24:24" x14ac:dyDescent="0.35">
      <c r="X7815" s="8"/>
    </row>
    <row r="7816" spans="24:24" x14ac:dyDescent="0.35">
      <c r="X7816" s="8"/>
    </row>
    <row r="7817" spans="24:24" x14ac:dyDescent="0.35">
      <c r="X7817" s="8"/>
    </row>
    <row r="7818" spans="24:24" x14ac:dyDescent="0.35">
      <c r="X7818" s="8"/>
    </row>
    <row r="7819" spans="24:24" x14ac:dyDescent="0.35">
      <c r="X7819" s="8"/>
    </row>
    <row r="7820" spans="24:24" x14ac:dyDescent="0.35">
      <c r="X7820" s="8"/>
    </row>
    <row r="7821" spans="24:24" x14ac:dyDescent="0.35">
      <c r="X7821" s="8"/>
    </row>
    <row r="7822" spans="24:24" x14ac:dyDescent="0.35">
      <c r="X7822" s="8"/>
    </row>
    <row r="7823" spans="24:24" x14ac:dyDescent="0.35">
      <c r="X7823" s="8"/>
    </row>
    <row r="7824" spans="24:24" x14ac:dyDescent="0.35">
      <c r="X7824" s="8"/>
    </row>
    <row r="7825" spans="24:24" x14ac:dyDescent="0.35">
      <c r="X7825" s="8"/>
    </row>
    <row r="7826" spans="24:24" x14ac:dyDescent="0.35">
      <c r="X7826" s="8"/>
    </row>
    <row r="7827" spans="24:24" x14ac:dyDescent="0.35">
      <c r="X7827" s="8"/>
    </row>
    <row r="7828" spans="24:24" x14ac:dyDescent="0.35">
      <c r="X7828" s="8"/>
    </row>
    <row r="7829" spans="24:24" x14ac:dyDescent="0.35">
      <c r="X7829" s="8"/>
    </row>
    <row r="7830" spans="24:24" x14ac:dyDescent="0.35">
      <c r="X7830" s="8"/>
    </row>
    <row r="7831" spans="24:24" x14ac:dyDescent="0.35">
      <c r="X7831" s="8"/>
    </row>
    <row r="7832" spans="24:24" x14ac:dyDescent="0.35">
      <c r="X7832" s="8"/>
    </row>
    <row r="7833" spans="24:24" x14ac:dyDescent="0.35">
      <c r="X7833" s="8"/>
    </row>
    <row r="7834" spans="24:24" x14ac:dyDescent="0.35">
      <c r="X7834" s="8"/>
    </row>
    <row r="7835" spans="24:24" x14ac:dyDescent="0.35">
      <c r="X7835" s="8"/>
    </row>
    <row r="7836" spans="24:24" x14ac:dyDescent="0.35">
      <c r="X7836" s="8"/>
    </row>
    <row r="7837" spans="24:24" x14ac:dyDescent="0.35">
      <c r="X7837" s="8"/>
    </row>
    <row r="7838" spans="24:24" x14ac:dyDescent="0.35">
      <c r="X7838" s="8"/>
    </row>
    <row r="7839" spans="24:24" x14ac:dyDescent="0.35">
      <c r="X7839" s="8"/>
    </row>
    <row r="7840" spans="24:24" x14ac:dyDescent="0.35">
      <c r="X7840" s="8"/>
    </row>
    <row r="7841" spans="24:24" x14ac:dyDescent="0.35">
      <c r="X7841" s="8"/>
    </row>
    <row r="7842" spans="24:24" x14ac:dyDescent="0.35">
      <c r="X7842" s="8"/>
    </row>
    <row r="7843" spans="24:24" x14ac:dyDescent="0.35">
      <c r="X7843" s="8"/>
    </row>
    <row r="7844" spans="24:24" x14ac:dyDescent="0.35">
      <c r="X7844" s="8"/>
    </row>
    <row r="7845" spans="24:24" x14ac:dyDescent="0.35">
      <c r="X7845" s="8"/>
    </row>
    <row r="7846" spans="24:24" x14ac:dyDescent="0.35">
      <c r="X7846" s="8"/>
    </row>
    <row r="7847" spans="24:24" x14ac:dyDescent="0.35">
      <c r="X7847" s="8"/>
    </row>
    <row r="7848" spans="24:24" x14ac:dyDescent="0.35">
      <c r="X7848" s="8"/>
    </row>
    <row r="7849" spans="24:24" x14ac:dyDescent="0.35">
      <c r="X7849" s="8"/>
    </row>
    <row r="7850" spans="24:24" x14ac:dyDescent="0.35">
      <c r="X7850" s="8"/>
    </row>
    <row r="7851" spans="24:24" x14ac:dyDescent="0.35">
      <c r="X7851" s="8"/>
    </row>
    <row r="7852" spans="24:24" x14ac:dyDescent="0.35">
      <c r="X7852" s="8"/>
    </row>
    <row r="7853" spans="24:24" x14ac:dyDescent="0.35">
      <c r="X7853" s="8"/>
    </row>
    <row r="7854" spans="24:24" x14ac:dyDescent="0.35">
      <c r="X7854" s="8"/>
    </row>
    <row r="7855" spans="24:24" x14ac:dyDescent="0.35">
      <c r="X7855" s="8"/>
    </row>
    <row r="7856" spans="24:24" x14ac:dyDescent="0.35">
      <c r="X7856" s="8"/>
    </row>
    <row r="7857" spans="24:24" x14ac:dyDescent="0.35">
      <c r="X7857" s="8"/>
    </row>
    <row r="7858" spans="24:24" x14ac:dyDescent="0.35">
      <c r="X7858" s="8"/>
    </row>
    <row r="7859" spans="24:24" x14ac:dyDescent="0.35">
      <c r="X7859" s="8"/>
    </row>
    <row r="7860" spans="24:24" x14ac:dyDescent="0.35">
      <c r="X7860" s="8"/>
    </row>
    <row r="7861" spans="24:24" x14ac:dyDescent="0.35">
      <c r="X7861" s="8"/>
    </row>
    <row r="7862" spans="24:24" x14ac:dyDescent="0.35">
      <c r="X7862" s="8"/>
    </row>
    <row r="7863" spans="24:24" x14ac:dyDescent="0.35">
      <c r="X7863" s="8"/>
    </row>
    <row r="7864" spans="24:24" x14ac:dyDescent="0.35">
      <c r="X7864" s="8"/>
    </row>
    <row r="7865" spans="24:24" x14ac:dyDescent="0.35">
      <c r="X7865" s="8"/>
    </row>
    <row r="7866" spans="24:24" x14ac:dyDescent="0.35">
      <c r="X7866" s="8"/>
    </row>
    <row r="7867" spans="24:24" x14ac:dyDescent="0.35">
      <c r="X7867" s="8"/>
    </row>
    <row r="7868" spans="24:24" x14ac:dyDescent="0.35">
      <c r="X7868" s="8"/>
    </row>
    <row r="7869" spans="24:24" x14ac:dyDescent="0.35">
      <c r="X7869" s="8"/>
    </row>
    <row r="7870" spans="24:24" x14ac:dyDescent="0.35">
      <c r="X7870" s="8"/>
    </row>
    <row r="7871" spans="24:24" x14ac:dyDescent="0.35">
      <c r="X7871" s="8"/>
    </row>
    <row r="7872" spans="24:24" x14ac:dyDescent="0.35">
      <c r="X7872" s="8"/>
    </row>
    <row r="7873" spans="24:24" x14ac:dyDescent="0.35">
      <c r="X7873" s="8"/>
    </row>
    <row r="7874" spans="24:24" x14ac:dyDescent="0.35">
      <c r="X7874" s="8"/>
    </row>
    <row r="7875" spans="24:24" x14ac:dyDescent="0.35">
      <c r="X7875" s="8"/>
    </row>
    <row r="7876" spans="24:24" x14ac:dyDescent="0.35">
      <c r="X7876" s="8"/>
    </row>
    <row r="7877" spans="24:24" x14ac:dyDescent="0.35">
      <c r="X7877" s="8"/>
    </row>
    <row r="7878" spans="24:24" x14ac:dyDescent="0.35">
      <c r="X7878" s="8"/>
    </row>
    <row r="7879" spans="24:24" x14ac:dyDescent="0.35">
      <c r="X7879" s="8"/>
    </row>
    <row r="7880" spans="24:24" x14ac:dyDescent="0.35">
      <c r="X7880" s="8"/>
    </row>
    <row r="7881" spans="24:24" x14ac:dyDescent="0.35">
      <c r="X7881" s="8"/>
    </row>
    <row r="7882" spans="24:24" x14ac:dyDescent="0.35">
      <c r="X7882" s="8"/>
    </row>
    <row r="7883" spans="24:24" x14ac:dyDescent="0.35">
      <c r="X7883" s="8"/>
    </row>
    <row r="7884" spans="24:24" x14ac:dyDescent="0.35">
      <c r="X7884" s="8"/>
    </row>
    <row r="7885" spans="24:24" x14ac:dyDescent="0.35">
      <c r="X7885" s="8"/>
    </row>
    <row r="7886" spans="24:24" x14ac:dyDescent="0.35">
      <c r="X7886" s="8"/>
    </row>
    <row r="7887" spans="24:24" x14ac:dyDescent="0.35">
      <c r="X7887" s="8"/>
    </row>
    <row r="7888" spans="24:24" x14ac:dyDescent="0.35">
      <c r="X7888" s="8"/>
    </row>
    <row r="7889" spans="24:24" x14ac:dyDescent="0.35">
      <c r="X7889" s="8"/>
    </row>
    <row r="7890" spans="24:24" x14ac:dyDescent="0.35">
      <c r="X7890" s="8"/>
    </row>
    <row r="7891" spans="24:24" x14ac:dyDescent="0.35">
      <c r="X7891" s="8"/>
    </row>
    <row r="7892" spans="24:24" x14ac:dyDescent="0.35">
      <c r="X7892" s="8"/>
    </row>
    <row r="7893" spans="24:24" x14ac:dyDescent="0.35">
      <c r="X7893" s="8"/>
    </row>
    <row r="7894" spans="24:24" x14ac:dyDescent="0.35">
      <c r="X7894" s="8"/>
    </row>
    <row r="7895" spans="24:24" x14ac:dyDescent="0.35">
      <c r="X7895" s="8"/>
    </row>
    <row r="7896" spans="24:24" x14ac:dyDescent="0.35">
      <c r="X7896" s="8"/>
    </row>
    <row r="7897" spans="24:24" x14ac:dyDescent="0.35">
      <c r="X7897" s="8"/>
    </row>
    <row r="7898" spans="24:24" x14ac:dyDescent="0.35">
      <c r="X7898" s="8"/>
    </row>
    <row r="7899" spans="24:24" x14ac:dyDescent="0.35">
      <c r="X7899" s="8"/>
    </row>
    <row r="7900" spans="24:24" x14ac:dyDescent="0.35">
      <c r="X7900" s="8"/>
    </row>
    <row r="7901" spans="24:24" x14ac:dyDescent="0.35">
      <c r="X7901" s="8"/>
    </row>
    <row r="7902" spans="24:24" x14ac:dyDescent="0.35">
      <c r="X7902" s="8"/>
    </row>
    <row r="7903" spans="24:24" x14ac:dyDescent="0.35">
      <c r="X7903" s="8"/>
    </row>
    <row r="7904" spans="24:24" x14ac:dyDescent="0.35">
      <c r="X7904" s="8"/>
    </row>
    <row r="7905" spans="24:24" x14ac:dyDescent="0.35">
      <c r="X7905" s="8"/>
    </row>
    <row r="7906" spans="24:24" x14ac:dyDescent="0.35">
      <c r="X7906" s="8"/>
    </row>
    <row r="7907" spans="24:24" x14ac:dyDescent="0.35">
      <c r="X7907" s="8"/>
    </row>
    <row r="7908" spans="24:24" x14ac:dyDescent="0.35">
      <c r="X7908" s="8"/>
    </row>
    <row r="7909" spans="24:24" x14ac:dyDescent="0.35">
      <c r="X7909" s="8"/>
    </row>
    <row r="7910" spans="24:24" x14ac:dyDescent="0.35">
      <c r="X7910" s="8"/>
    </row>
    <row r="7911" spans="24:24" x14ac:dyDescent="0.35">
      <c r="X7911" s="8"/>
    </row>
    <row r="7912" spans="24:24" x14ac:dyDescent="0.35">
      <c r="X7912" s="8"/>
    </row>
    <row r="7913" spans="24:24" x14ac:dyDescent="0.35">
      <c r="X7913" s="8"/>
    </row>
    <row r="7914" spans="24:24" x14ac:dyDescent="0.35">
      <c r="X7914" s="8"/>
    </row>
    <row r="7915" spans="24:24" x14ac:dyDescent="0.35">
      <c r="X7915" s="8"/>
    </row>
    <row r="7916" spans="24:24" x14ac:dyDescent="0.35">
      <c r="X7916" s="8"/>
    </row>
    <row r="7917" spans="24:24" x14ac:dyDescent="0.35">
      <c r="X7917" s="8"/>
    </row>
    <row r="7918" spans="24:24" x14ac:dyDescent="0.35">
      <c r="X7918" s="8"/>
    </row>
    <row r="7919" spans="24:24" x14ac:dyDescent="0.35">
      <c r="X7919" s="8"/>
    </row>
    <row r="7920" spans="24:24" x14ac:dyDescent="0.35">
      <c r="X7920" s="8"/>
    </row>
    <row r="7921" spans="24:24" x14ac:dyDescent="0.35">
      <c r="X7921" s="8"/>
    </row>
    <row r="7922" spans="24:24" x14ac:dyDescent="0.35">
      <c r="X7922" s="8"/>
    </row>
    <row r="7923" spans="24:24" x14ac:dyDescent="0.35">
      <c r="X7923" s="8"/>
    </row>
    <row r="7924" spans="24:24" x14ac:dyDescent="0.35">
      <c r="X7924" s="8"/>
    </row>
    <row r="7925" spans="24:24" x14ac:dyDescent="0.35">
      <c r="X7925" s="8"/>
    </row>
    <row r="7926" spans="24:24" x14ac:dyDescent="0.35">
      <c r="X7926" s="8"/>
    </row>
    <row r="7927" spans="24:24" x14ac:dyDescent="0.35">
      <c r="X7927" s="8"/>
    </row>
    <row r="7928" spans="24:24" x14ac:dyDescent="0.35">
      <c r="X7928" s="8"/>
    </row>
    <row r="7929" spans="24:24" x14ac:dyDescent="0.35">
      <c r="X7929" s="8"/>
    </row>
    <row r="7930" spans="24:24" x14ac:dyDescent="0.35">
      <c r="X7930" s="8"/>
    </row>
    <row r="7931" spans="24:24" x14ac:dyDescent="0.35">
      <c r="X7931" s="8"/>
    </row>
    <row r="7932" spans="24:24" x14ac:dyDescent="0.35">
      <c r="X7932" s="8"/>
    </row>
    <row r="7933" spans="24:24" x14ac:dyDescent="0.35">
      <c r="X7933" s="8"/>
    </row>
    <row r="7934" spans="24:24" x14ac:dyDescent="0.35">
      <c r="X7934" s="8"/>
    </row>
    <row r="7935" spans="24:24" x14ac:dyDescent="0.35">
      <c r="X7935" s="8"/>
    </row>
    <row r="7936" spans="24:24" x14ac:dyDescent="0.35">
      <c r="X7936" s="8"/>
    </row>
    <row r="7937" spans="24:24" x14ac:dyDescent="0.35">
      <c r="X7937" s="8"/>
    </row>
    <row r="7938" spans="24:24" x14ac:dyDescent="0.35">
      <c r="X7938" s="8"/>
    </row>
    <row r="7939" spans="24:24" x14ac:dyDescent="0.35">
      <c r="X7939" s="8"/>
    </row>
    <row r="7940" spans="24:24" x14ac:dyDescent="0.35">
      <c r="X7940" s="8"/>
    </row>
    <row r="7941" spans="24:24" x14ac:dyDescent="0.35">
      <c r="X7941" s="8"/>
    </row>
    <row r="7942" spans="24:24" x14ac:dyDescent="0.35">
      <c r="X7942" s="8"/>
    </row>
    <row r="7943" spans="24:24" x14ac:dyDescent="0.35">
      <c r="X7943" s="8"/>
    </row>
    <row r="7944" spans="24:24" x14ac:dyDescent="0.35">
      <c r="X7944" s="8"/>
    </row>
    <row r="7945" spans="24:24" x14ac:dyDescent="0.35">
      <c r="X7945" s="8"/>
    </row>
    <row r="7946" spans="24:24" x14ac:dyDescent="0.35">
      <c r="X7946" s="8"/>
    </row>
    <row r="7947" spans="24:24" x14ac:dyDescent="0.35">
      <c r="X7947" s="8"/>
    </row>
    <row r="7948" spans="24:24" x14ac:dyDescent="0.35">
      <c r="X7948" s="8"/>
    </row>
    <row r="7949" spans="24:24" x14ac:dyDescent="0.35">
      <c r="X7949" s="8"/>
    </row>
    <row r="7950" spans="24:24" x14ac:dyDescent="0.35">
      <c r="X7950" s="8"/>
    </row>
    <row r="7951" spans="24:24" x14ac:dyDescent="0.35">
      <c r="X7951" s="8"/>
    </row>
    <row r="7952" spans="24:24" x14ac:dyDescent="0.35">
      <c r="X7952" s="8"/>
    </row>
    <row r="7953" spans="24:24" x14ac:dyDescent="0.35">
      <c r="X7953" s="8"/>
    </row>
    <row r="7954" spans="24:24" x14ac:dyDescent="0.35">
      <c r="X7954" s="8"/>
    </row>
    <row r="7955" spans="24:24" x14ac:dyDescent="0.35">
      <c r="X7955" s="8"/>
    </row>
    <row r="7956" spans="24:24" x14ac:dyDescent="0.35">
      <c r="X7956" s="8"/>
    </row>
    <row r="7957" spans="24:24" x14ac:dyDescent="0.35">
      <c r="X7957" s="8"/>
    </row>
    <row r="7958" spans="24:24" x14ac:dyDescent="0.35">
      <c r="X7958" s="8"/>
    </row>
    <row r="7959" spans="24:24" x14ac:dyDescent="0.35">
      <c r="X7959" s="8"/>
    </row>
    <row r="7960" spans="24:24" x14ac:dyDescent="0.35">
      <c r="X7960" s="8"/>
    </row>
    <row r="7961" spans="24:24" x14ac:dyDescent="0.35">
      <c r="X7961" s="8"/>
    </row>
    <row r="7962" spans="24:24" x14ac:dyDescent="0.35">
      <c r="X7962" s="8"/>
    </row>
    <row r="7963" spans="24:24" x14ac:dyDescent="0.35">
      <c r="X7963" s="8"/>
    </row>
    <row r="7964" spans="24:24" x14ac:dyDescent="0.35">
      <c r="X7964" s="8"/>
    </row>
    <row r="7965" spans="24:24" x14ac:dyDescent="0.35">
      <c r="X7965" s="8"/>
    </row>
    <row r="7966" spans="24:24" x14ac:dyDescent="0.35">
      <c r="X7966" s="8"/>
    </row>
    <row r="7967" spans="24:24" x14ac:dyDescent="0.35">
      <c r="X7967" s="8"/>
    </row>
    <row r="7968" spans="24:24" x14ac:dyDescent="0.35">
      <c r="X7968" s="8"/>
    </row>
    <row r="7969" spans="24:24" x14ac:dyDescent="0.35">
      <c r="X7969" s="8"/>
    </row>
    <row r="7970" spans="24:24" x14ac:dyDescent="0.35">
      <c r="X7970" s="8"/>
    </row>
    <row r="7971" spans="24:24" x14ac:dyDescent="0.35">
      <c r="X7971" s="8"/>
    </row>
    <row r="7972" spans="24:24" x14ac:dyDescent="0.35">
      <c r="X7972" s="8"/>
    </row>
    <row r="7973" spans="24:24" x14ac:dyDescent="0.35">
      <c r="X7973" s="8"/>
    </row>
    <row r="7974" spans="24:24" x14ac:dyDescent="0.35">
      <c r="X7974" s="8"/>
    </row>
    <row r="7975" spans="24:24" x14ac:dyDescent="0.35">
      <c r="X7975" s="8"/>
    </row>
    <row r="7976" spans="24:24" x14ac:dyDescent="0.35">
      <c r="X7976" s="8"/>
    </row>
    <row r="7977" spans="24:24" x14ac:dyDescent="0.35">
      <c r="X7977" s="8"/>
    </row>
    <row r="7978" spans="24:24" x14ac:dyDescent="0.35">
      <c r="X7978" s="8"/>
    </row>
    <row r="7979" spans="24:24" x14ac:dyDescent="0.35">
      <c r="X7979" s="8"/>
    </row>
    <row r="7980" spans="24:24" x14ac:dyDescent="0.35">
      <c r="X7980" s="8"/>
    </row>
    <row r="7981" spans="24:24" x14ac:dyDescent="0.35">
      <c r="X7981" s="8"/>
    </row>
    <row r="7982" spans="24:24" x14ac:dyDescent="0.35">
      <c r="X7982" s="8"/>
    </row>
    <row r="7983" spans="24:24" x14ac:dyDescent="0.35">
      <c r="X7983" s="8"/>
    </row>
    <row r="7984" spans="24:24" x14ac:dyDescent="0.35">
      <c r="X7984" s="8"/>
    </row>
    <row r="7985" spans="24:24" x14ac:dyDescent="0.35">
      <c r="X7985" s="8"/>
    </row>
    <row r="7986" spans="24:24" x14ac:dyDescent="0.35">
      <c r="X7986" s="8"/>
    </row>
    <row r="7987" spans="24:24" x14ac:dyDescent="0.35">
      <c r="X7987" s="8"/>
    </row>
    <row r="7988" spans="24:24" x14ac:dyDescent="0.35">
      <c r="X7988" s="8"/>
    </row>
    <row r="7989" spans="24:24" x14ac:dyDescent="0.35">
      <c r="X7989" s="8"/>
    </row>
    <row r="7990" spans="24:24" x14ac:dyDescent="0.35">
      <c r="X7990" s="8"/>
    </row>
    <row r="7991" spans="24:24" x14ac:dyDescent="0.35">
      <c r="X7991" s="8"/>
    </row>
    <row r="7992" spans="24:24" x14ac:dyDescent="0.35">
      <c r="X7992" s="8"/>
    </row>
    <row r="7993" spans="24:24" x14ac:dyDescent="0.35">
      <c r="X7993" s="8"/>
    </row>
    <row r="7994" spans="24:24" x14ac:dyDescent="0.35">
      <c r="X7994" s="8"/>
    </row>
    <row r="7995" spans="24:24" x14ac:dyDescent="0.35">
      <c r="X7995" s="8"/>
    </row>
    <row r="7996" spans="24:24" x14ac:dyDescent="0.35">
      <c r="X7996" s="8"/>
    </row>
    <row r="7997" spans="24:24" x14ac:dyDescent="0.35">
      <c r="X7997" s="8"/>
    </row>
    <row r="7998" spans="24:24" x14ac:dyDescent="0.35">
      <c r="X7998" s="8"/>
    </row>
    <row r="7999" spans="24:24" x14ac:dyDescent="0.35">
      <c r="X7999" s="8"/>
    </row>
    <row r="8000" spans="24:24" x14ac:dyDescent="0.35">
      <c r="X8000" s="8"/>
    </row>
    <row r="8001" spans="24:24" x14ac:dyDescent="0.35">
      <c r="X8001" s="8"/>
    </row>
    <row r="8002" spans="24:24" x14ac:dyDescent="0.35">
      <c r="X8002" s="8"/>
    </row>
    <row r="8003" spans="24:24" x14ac:dyDescent="0.35">
      <c r="X8003" s="8"/>
    </row>
    <row r="8004" spans="24:24" x14ac:dyDescent="0.35">
      <c r="X8004" s="8"/>
    </row>
    <row r="8005" spans="24:24" x14ac:dyDescent="0.35">
      <c r="X8005" s="8"/>
    </row>
    <row r="8006" spans="24:24" x14ac:dyDescent="0.35">
      <c r="X8006" s="8"/>
    </row>
    <row r="8007" spans="24:24" x14ac:dyDescent="0.35">
      <c r="X8007" s="8"/>
    </row>
    <row r="8008" spans="24:24" x14ac:dyDescent="0.35">
      <c r="X8008" s="8"/>
    </row>
    <row r="8009" spans="24:24" x14ac:dyDescent="0.35">
      <c r="X8009" s="8"/>
    </row>
    <row r="8010" spans="24:24" x14ac:dyDescent="0.35">
      <c r="X8010" s="8"/>
    </row>
    <row r="8011" spans="24:24" x14ac:dyDescent="0.35">
      <c r="X8011" s="8"/>
    </row>
    <row r="8012" spans="24:24" x14ac:dyDescent="0.35">
      <c r="X8012" s="8"/>
    </row>
    <row r="8013" spans="24:24" x14ac:dyDescent="0.35">
      <c r="X8013" s="8"/>
    </row>
    <row r="8014" spans="24:24" x14ac:dyDescent="0.35">
      <c r="X8014" s="8"/>
    </row>
    <row r="8015" spans="24:24" x14ac:dyDescent="0.35">
      <c r="X8015" s="8"/>
    </row>
    <row r="8016" spans="24:24" x14ac:dyDescent="0.35">
      <c r="X8016" s="8"/>
    </row>
    <row r="8017" spans="24:24" x14ac:dyDescent="0.35">
      <c r="X8017" s="8"/>
    </row>
    <row r="8018" spans="24:24" x14ac:dyDescent="0.35">
      <c r="X8018" s="8"/>
    </row>
    <row r="8019" spans="24:24" x14ac:dyDescent="0.35">
      <c r="X8019" s="8"/>
    </row>
    <row r="8020" spans="24:24" x14ac:dyDescent="0.35">
      <c r="X8020" s="8"/>
    </row>
    <row r="8021" spans="24:24" x14ac:dyDescent="0.35">
      <c r="X8021" s="8"/>
    </row>
    <row r="8022" spans="24:24" x14ac:dyDescent="0.35">
      <c r="X8022" s="8"/>
    </row>
    <row r="8023" spans="24:24" x14ac:dyDescent="0.35">
      <c r="X8023" s="8"/>
    </row>
    <row r="8024" spans="24:24" x14ac:dyDescent="0.35">
      <c r="X8024" s="8"/>
    </row>
    <row r="8025" spans="24:24" x14ac:dyDescent="0.35">
      <c r="X8025" s="8"/>
    </row>
    <row r="8026" spans="24:24" x14ac:dyDescent="0.35">
      <c r="X8026" s="8"/>
    </row>
    <row r="8027" spans="24:24" x14ac:dyDescent="0.35">
      <c r="X8027" s="8"/>
    </row>
    <row r="8028" spans="24:24" x14ac:dyDescent="0.35">
      <c r="X8028" s="8"/>
    </row>
    <row r="8029" spans="24:24" x14ac:dyDescent="0.35">
      <c r="X8029" s="8"/>
    </row>
    <row r="8030" spans="24:24" x14ac:dyDescent="0.35">
      <c r="X8030" s="8"/>
    </row>
    <row r="8031" spans="24:24" x14ac:dyDescent="0.35">
      <c r="X8031" s="8"/>
    </row>
    <row r="8032" spans="24:24" x14ac:dyDescent="0.35">
      <c r="X8032" s="8"/>
    </row>
    <row r="8033" spans="24:24" x14ac:dyDescent="0.35">
      <c r="X8033" s="8"/>
    </row>
    <row r="8034" spans="24:24" x14ac:dyDescent="0.35">
      <c r="X8034" s="8"/>
    </row>
    <row r="8035" spans="24:24" x14ac:dyDescent="0.35">
      <c r="X8035" s="8"/>
    </row>
    <row r="8036" spans="24:24" x14ac:dyDescent="0.35">
      <c r="X8036" s="8"/>
    </row>
    <row r="8037" spans="24:24" x14ac:dyDescent="0.35">
      <c r="X8037" s="8"/>
    </row>
    <row r="8038" spans="24:24" x14ac:dyDescent="0.35">
      <c r="X8038" s="8"/>
    </row>
    <row r="8039" spans="24:24" x14ac:dyDescent="0.35">
      <c r="X8039" s="8"/>
    </row>
    <row r="8040" spans="24:24" x14ac:dyDescent="0.35">
      <c r="X8040" s="8"/>
    </row>
    <row r="8041" spans="24:24" x14ac:dyDescent="0.35">
      <c r="X8041" s="8"/>
    </row>
    <row r="8042" spans="24:24" x14ac:dyDescent="0.35">
      <c r="X8042" s="8"/>
    </row>
    <row r="8043" spans="24:24" x14ac:dyDescent="0.35">
      <c r="X8043" s="8"/>
    </row>
    <row r="8044" spans="24:24" x14ac:dyDescent="0.35">
      <c r="X8044" s="8"/>
    </row>
    <row r="8045" spans="24:24" x14ac:dyDescent="0.35">
      <c r="X8045" s="8"/>
    </row>
    <row r="8046" spans="24:24" x14ac:dyDescent="0.35">
      <c r="X8046" s="8"/>
    </row>
    <row r="8047" spans="24:24" x14ac:dyDescent="0.35">
      <c r="X8047" s="8"/>
    </row>
    <row r="8048" spans="24:24" x14ac:dyDescent="0.35">
      <c r="X8048" s="8"/>
    </row>
    <row r="8049" spans="24:24" x14ac:dyDescent="0.35">
      <c r="X8049" s="8"/>
    </row>
    <row r="8050" spans="24:24" x14ac:dyDescent="0.35">
      <c r="X8050" s="8"/>
    </row>
    <row r="8051" spans="24:24" x14ac:dyDescent="0.35">
      <c r="X8051" s="8"/>
    </row>
    <row r="8052" spans="24:24" x14ac:dyDescent="0.35">
      <c r="X8052" s="8"/>
    </row>
    <row r="8053" spans="24:24" x14ac:dyDescent="0.35">
      <c r="X8053" s="8"/>
    </row>
    <row r="8054" spans="24:24" x14ac:dyDescent="0.35">
      <c r="X8054" s="8"/>
    </row>
    <row r="8055" spans="24:24" x14ac:dyDescent="0.35">
      <c r="X8055" s="8"/>
    </row>
    <row r="8056" spans="24:24" x14ac:dyDescent="0.35">
      <c r="X8056" s="8"/>
    </row>
    <row r="8057" spans="24:24" x14ac:dyDescent="0.35">
      <c r="X8057" s="8"/>
    </row>
    <row r="8058" spans="24:24" x14ac:dyDescent="0.35">
      <c r="X8058" s="8"/>
    </row>
    <row r="8059" spans="24:24" x14ac:dyDescent="0.35">
      <c r="X8059" s="8"/>
    </row>
    <row r="8060" spans="24:24" x14ac:dyDescent="0.35">
      <c r="X8060" s="8"/>
    </row>
    <row r="8061" spans="24:24" x14ac:dyDescent="0.35">
      <c r="X8061" s="8"/>
    </row>
    <row r="8062" spans="24:24" x14ac:dyDescent="0.35">
      <c r="X8062" s="8"/>
    </row>
    <row r="8063" spans="24:24" x14ac:dyDescent="0.35">
      <c r="X8063" s="8"/>
    </row>
    <row r="8064" spans="24:24" x14ac:dyDescent="0.35">
      <c r="X8064" s="8"/>
    </row>
    <row r="8065" spans="24:24" x14ac:dyDescent="0.35">
      <c r="X8065" s="8"/>
    </row>
    <row r="8066" spans="24:24" x14ac:dyDescent="0.35">
      <c r="X8066" s="8"/>
    </row>
    <row r="8067" spans="24:24" x14ac:dyDescent="0.35">
      <c r="X8067" s="8"/>
    </row>
    <row r="8068" spans="24:24" x14ac:dyDescent="0.35">
      <c r="X8068" s="8"/>
    </row>
    <row r="8069" spans="24:24" x14ac:dyDescent="0.35">
      <c r="X8069" s="8"/>
    </row>
    <row r="8070" spans="24:24" x14ac:dyDescent="0.35">
      <c r="X8070" s="8"/>
    </row>
    <row r="8071" spans="24:24" x14ac:dyDescent="0.35">
      <c r="X8071" s="8"/>
    </row>
    <row r="8072" spans="24:24" x14ac:dyDescent="0.35">
      <c r="X8072" s="8"/>
    </row>
    <row r="8073" spans="24:24" x14ac:dyDescent="0.35">
      <c r="X8073" s="8"/>
    </row>
    <row r="8074" spans="24:24" x14ac:dyDescent="0.35">
      <c r="X8074" s="8"/>
    </row>
    <row r="8075" spans="24:24" x14ac:dyDescent="0.35">
      <c r="X8075" s="8"/>
    </row>
    <row r="8076" spans="24:24" x14ac:dyDescent="0.35">
      <c r="X8076" s="8"/>
    </row>
    <row r="8077" spans="24:24" x14ac:dyDescent="0.35">
      <c r="X8077" s="8"/>
    </row>
    <row r="8078" spans="24:24" x14ac:dyDescent="0.35">
      <c r="X8078" s="8"/>
    </row>
    <row r="8079" spans="24:24" x14ac:dyDescent="0.35">
      <c r="X8079" s="8"/>
    </row>
    <row r="8080" spans="24:24" x14ac:dyDescent="0.35">
      <c r="X8080" s="8"/>
    </row>
    <row r="8081" spans="24:24" x14ac:dyDescent="0.35">
      <c r="X8081" s="8"/>
    </row>
    <row r="8082" spans="24:24" x14ac:dyDescent="0.35">
      <c r="X8082" s="8"/>
    </row>
    <row r="8083" spans="24:24" x14ac:dyDescent="0.35">
      <c r="X8083" s="8"/>
    </row>
    <row r="8084" spans="24:24" x14ac:dyDescent="0.35">
      <c r="X8084" s="8"/>
    </row>
    <row r="8085" spans="24:24" x14ac:dyDescent="0.35">
      <c r="X8085" s="8"/>
    </row>
    <row r="8086" spans="24:24" x14ac:dyDescent="0.35">
      <c r="X8086" s="8"/>
    </row>
    <row r="8087" spans="24:24" x14ac:dyDescent="0.35">
      <c r="X8087" s="8"/>
    </row>
    <row r="8088" spans="24:24" x14ac:dyDescent="0.35">
      <c r="X8088" s="8"/>
    </row>
    <row r="8089" spans="24:24" x14ac:dyDescent="0.35">
      <c r="X8089" s="8"/>
    </row>
    <row r="8090" spans="24:24" x14ac:dyDescent="0.35">
      <c r="X8090" s="8"/>
    </row>
    <row r="8091" spans="24:24" x14ac:dyDescent="0.35">
      <c r="X8091" s="8"/>
    </row>
    <row r="8092" spans="24:24" x14ac:dyDescent="0.35">
      <c r="X8092" s="8"/>
    </row>
    <row r="8093" spans="24:24" x14ac:dyDescent="0.35">
      <c r="X8093" s="8"/>
    </row>
    <row r="8094" spans="24:24" x14ac:dyDescent="0.35">
      <c r="X8094" s="8"/>
    </row>
    <row r="8095" spans="24:24" x14ac:dyDescent="0.35">
      <c r="X8095" s="8"/>
    </row>
    <row r="8096" spans="24:24" x14ac:dyDescent="0.35">
      <c r="X8096" s="8"/>
    </row>
    <row r="8097" spans="24:24" x14ac:dyDescent="0.35">
      <c r="X8097" s="8"/>
    </row>
    <row r="8098" spans="24:24" x14ac:dyDescent="0.35">
      <c r="X8098" s="8"/>
    </row>
    <row r="8099" spans="24:24" x14ac:dyDescent="0.35">
      <c r="X8099" s="8"/>
    </row>
    <row r="8100" spans="24:24" x14ac:dyDescent="0.35">
      <c r="X8100" s="8"/>
    </row>
    <row r="8101" spans="24:24" x14ac:dyDescent="0.35">
      <c r="X8101" s="8"/>
    </row>
    <row r="8102" spans="24:24" x14ac:dyDescent="0.35">
      <c r="X8102" s="8"/>
    </row>
    <row r="8103" spans="24:24" x14ac:dyDescent="0.35">
      <c r="X8103" s="8"/>
    </row>
    <row r="8104" spans="24:24" x14ac:dyDescent="0.35">
      <c r="X8104" s="8"/>
    </row>
    <row r="8105" spans="24:24" x14ac:dyDescent="0.35">
      <c r="X8105" s="8"/>
    </row>
    <row r="8106" spans="24:24" x14ac:dyDescent="0.35">
      <c r="X8106" s="8"/>
    </row>
    <row r="8107" spans="24:24" x14ac:dyDescent="0.35">
      <c r="X8107" s="8"/>
    </row>
    <row r="8108" spans="24:24" x14ac:dyDescent="0.35">
      <c r="X8108" s="8"/>
    </row>
    <row r="8109" spans="24:24" x14ac:dyDescent="0.35">
      <c r="X8109" s="8"/>
    </row>
    <row r="8110" spans="24:24" x14ac:dyDescent="0.35">
      <c r="X8110" s="8"/>
    </row>
    <row r="8111" spans="24:24" x14ac:dyDescent="0.35">
      <c r="X8111" s="8"/>
    </row>
    <row r="8112" spans="24:24" x14ac:dyDescent="0.35">
      <c r="X8112" s="8"/>
    </row>
    <row r="8113" spans="24:24" x14ac:dyDescent="0.35">
      <c r="X8113" s="8"/>
    </row>
    <row r="8114" spans="24:24" x14ac:dyDescent="0.35">
      <c r="X8114" s="8"/>
    </row>
    <row r="8115" spans="24:24" x14ac:dyDescent="0.35">
      <c r="X8115" s="8"/>
    </row>
    <row r="8116" spans="24:24" x14ac:dyDescent="0.35">
      <c r="X8116" s="8"/>
    </row>
    <row r="8117" spans="24:24" x14ac:dyDescent="0.35">
      <c r="X8117" s="8"/>
    </row>
    <row r="8118" spans="24:24" x14ac:dyDescent="0.35">
      <c r="X8118" s="8"/>
    </row>
    <row r="8119" spans="24:24" x14ac:dyDescent="0.35">
      <c r="X8119" s="8"/>
    </row>
    <row r="8120" spans="24:24" x14ac:dyDescent="0.35">
      <c r="X8120" s="8"/>
    </row>
    <row r="8121" spans="24:24" x14ac:dyDescent="0.35">
      <c r="X8121" s="8"/>
    </row>
    <row r="8122" spans="24:24" x14ac:dyDescent="0.35">
      <c r="X8122" s="8"/>
    </row>
    <row r="8123" spans="24:24" x14ac:dyDescent="0.35">
      <c r="X8123" s="8"/>
    </row>
    <row r="8124" spans="24:24" x14ac:dyDescent="0.35">
      <c r="X8124" s="8"/>
    </row>
    <row r="8125" spans="24:24" x14ac:dyDescent="0.35">
      <c r="X8125" s="8"/>
    </row>
    <row r="8126" spans="24:24" x14ac:dyDescent="0.35">
      <c r="X8126" s="8"/>
    </row>
    <row r="8127" spans="24:24" x14ac:dyDescent="0.35">
      <c r="X8127" s="8"/>
    </row>
    <row r="8128" spans="24:24" x14ac:dyDescent="0.35">
      <c r="X8128" s="8"/>
    </row>
    <row r="8129" spans="24:24" x14ac:dyDescent="0.35">
      <c r="X8129" s="8"/>
    </row>
    <row r="8130" spans="24:24" x14ac:dyDescent="0.35">
      <c r="X8130" s="8"/>
    </row>
    <row r="8131" spans="24:24" x14ac:dyDescent="0.35">
      <c r="X8131" s="8"/>
    </row>
    <row r="8132" spans="24:24" x14ac:dyDescent="0.35">
      <c r="X8132" s="8"/>
    </row>
    <row r="8133" spans="24:24" x14ac:dyDescent="0.35">
      <c r="X8133" s="8"/>
    </row>
    <row r="8134" spans="24:24" x14ac:dyDescent="0.35">
      <c r="X8134" s="8"/>
    </row>
    <row r="8135" spans="24:24" x14ac:dyDescent="0.35">
      <c r="X8135" s="8"/>
    </row>
    <row r="8136" spans="24:24" x14ac:dyDescent="0.35">
      <c r="X8136" s="8"/>
    </row>
    <row r="8137" spans="24:24" x14ac:dyDescent="0.35">
      <c r="X8137" s="8"/>
    </row>
    <row r="8138" spans="24:24" x14ac:dyDescent="0.35">
      <c r="X8138" s="8"/>
    </row>
    <row r="8139" spans="24:24" x14ac:dyDescent="0.35">
      <c r="X8139" s="8"/>
    </row>
    <row r="8140" spans="24:24" x14ac:dyDescent="0.35">
      <c r="X8140" s="8"/>
    </row>
    <row r="8141" spans="24:24" x14ac:dyDescent="0.35">
      <c r="X8141" s="8"/>
    </row>
    <row r="8142" spans="24:24" x14ac:dyDescent="0.35">
      <c r="X8142" s="8"/>
    </row>
    <row r="8143" spans="24:24" x14ac:dyDescent="0.35">
      <c r="X8143" s="8"/>
    </row>
    <row r="8144" spans="24:24" x14ac:dyDescent="0.35">
      <c r="X8144" s="8"/>
    </row>
    <row r="8145" spans="24:24" x14ac:dyDescent="0.35">
      <c r="X8145" s="8"/>
    </row>
    <row r="8146" spans="24:24" x14ac:dyDescent="0.35">
      <c r="X8146" s="8"/>
    </row>
    <row r="8147" spans="24:24" x14ac:dyDescent="0.35">
      <c r="X8147" s="8"/>
    </row>
    <row r="8148" spans="24:24" x14ac:dyDescent="0.35">
      <c r="X8148" s="8"/>
    </row>
    <row r="8149" spans="24:24" x14ac:dyDescent="0.35">
      <c r="X8149" s="8"/>
    </row>
    <row r="8150" spans="24:24" x14ac:dyDescent="0.35">
      <c r="X8150" s="8"/>
    </row>
    <row r="8151" spans="24:24" x14ac:dyDescent="0.35">
      <c r="X8151" s="8"/>
    </row>
    <row r="8152" spans="24:24" x14ac:dyDescent="0.35">
      <c r="X8152" s="8"/>
    </row>
    <row r="8153" spans="24:24" x14ac:dyDescent="0.35">
      <c r="X8153" s="8"/>
    </row>
    <row r="8154" spans="24:24" x14ac:dyDescent="0.35">
      <c r="X8154" s="8"/>
    </row>
    <row r="8155" spans="24:24" x14ac:dyDescent="0.35">
      <c r="X8155" s="8"/>
    </row>
    <row r="8156" spans="24:24" x14ac:dyDescent="0.35">
      <c r="X8156" s="8"/>
    </row>
    <row r="8157" spans="24:24" x14ac:dyDescent="0.35">
      <c r="X8157" s="8"/>
    </row>
    <row r="8158" spans="24:24" x14ac:dyDescent="0.35">
      <c r="X8158" s="8"/>
    </row>
    <row r="8159" spans="24:24" x14ac:dyDescent="0.35">
      <c r="X8159" s="8"/>
    </row>
    <row r="8160" spans="24:24" x14ac:dyDescent="0.35">
      <c r="X8160" s="8"/>
    </row>
    <row r="8161" spans="24:24" x14ac:dyDescent="0.35">
      <c r="X8161" s="8"/>
    </row>
    <row r="8162" spans="24:24" x14ac:dyDescent="0.35">
      <c r="X8162" s="8"/>
    </row>
    <row r="8163" spans="24:24" x14ac:dyDescent="0.35">
      <c r="X8163" s="8"/>
    </row>
    <row r="8164" spans="24:24" x14ac:dyDescent="0.35">
      <c r="X8164" s="8"/>
    </row>
    <row r="8165" spans="24:24" x14ac:dyDescent="0.35">
      <c r="X8165" s="8"/>
    </row>
    <row r="8166" spans="24:24" x14ac:dyDescent="0.35">
      <c r="X8166" s="8"/>
    </row>
    <row r="8167" spans="24:24" x14ac:dyDescent="0.35">
      <c r="X8167" s="8"/>
    </row>
    <row r="8168" spans="24:24" x14ac:dyDescent="0.35">
      <c r="X8168" s="8"/>
    </row>
    <row r="8169" spans="24:24" x14ac:dyDescent="0.35">
      <c r="X8169" s="8"/>
    </row>
    <row r="8170" spans="24:24" x14ac:dyDescent="0.35">
      <c r="X8170" s="8"/>
    </row>
    <row r="8171" spans="24:24" x14ac:dyDescent="0.35">
      <c r="X8171" s="8"/>
    </row>
    <row r="8172" spans="24:24" x14ac:dyDescent="0.35">
      <c r="X8172" s="8"/>
    </row>
    <row r="8173" spans="24:24" x14ac:dyDescent="0.35">
      <c r="X8173" s="8"/>
    </row>
    <row r="8174" spans="24:24" x14ac:dyDescent="0.35">
      <c r="X8174" s="8"/>
    </row>
    <row r="8175" spans="24:24" x14ac:dyDescent="0.35">
      <c r="X8175" s="8"/>
    </row>
    <row r="8176" spans="24:24" x14ac:dyDescent="0.35">
      <c r="X8176" s="8"/>
    </row>
    <row r="8177" spans="24:24" x14ac:dyDescent="0.35">
      <c r="X8177" s="8"/>
    </row>
    <row r="8178" spans="24:24" x14ac:dyDescent="0.35">
      <c r="X8178" s="8"/>
    </row>
    <row r="8179" spans="24:24" x14ac:dyDescent="0.35">
      <c r="X8179" s="8"/>
    </row>
    <row r="8180" spans="24:24" x14ac:dyDescent="0.35">
      <c r="X8180" s="8"/>
    </row>
    <row r="8181" spans="24:24" x14ac:dyDescent="0.35">
      <c r="X8181" s="8"/>
    </row>
    <row r="8182" spans="24:24" x14ac:dyDescent="0.35">
      <c r="X8182" s="8"/>
    </row>
    <row r="8183" spans="24:24" x14ac:dyDescent="0.35">
      <c r="X8183" s="8"/>
    </row>
    <row r="8184" spans="24:24" x14ac:dyDescent="0.35">
      <c r="X8184" s="8"/>
    </row>
    <row r="8185" spans="24:24" x14ac:dyDescent="0.35">
      <c r="X8185" s="8"/>
    </row>
    <row r="8186" spans="24:24" x14ac:dyDescent="0.35">
      <c r="X8186" s="8"/>
    </row>
    <row r="8187" spans="24:24" x14ac:dyDescent="0.35">
      <c r="X8187" s="8"/>
    </row>
    <row r="8188" spans="24:24" x14ac:dyDescent="0.35">
      <c r="X8188" s="8"/>
    </row>
    <row r="8189" spans="24:24" x14ac:dyDescent="0.35">
      <c r="X8189" s="8"/>
    </row>
    <row r="8190" spans="24:24" x14ac:dyDescent="0.35">
      <c r="X8190" s="8"/>
    </row>
    <row r="8191" spans="24:24" x14ac:dyDescent="0.35">
      <c r="X8191" s="8"/>
    </row>
    <row r="8192" spans="24:24" x14ac:dyDescent="0.35">
      <c r="X8192" s="8"/>
    </row>
    <row r="8193" spans="24:24" x14ac:dyDescent="0.35">
      <c r="X8193" s="8"/>
    </row>
    <row r="8194" spans="24:24" x14ac:dyDescent="0.35">
      <c r="X8194" s="8"/>
    </row>
    <row r="8195" spans="24:24" x14ac:dyDescent="0.35">
      <c r="X8195" s="8"/>
    </row>
    <row r="8196" spans="24:24" x14ac:dyDescent="0.35">
      <c r="X8196" s="8"/>
    </row>
    <row r="8197" spans="24:24" x14ac:dyDescent="0.35">
      <c r="X8197" s="8"/>
    </row>
    <row r="8198" spans="24:24" x14ac:dyDescent="0.35">
      <c r="X8198" s="8"/>
    </row>
    <row r="8199" spans="24:24" x14ac:dyDescent="0.35">
      <c r="X8199" s="8"/>
    </row>
    <row r="8200" spans="24:24" x14ac:dyDescent="0.35">
      <c r="X8200" s="8"/>
    </row>
    <row r="8201" spans="24:24" x14ac:dyDescent="0.35">
      <c r="X8201" s="8"/>
    </row>
    <row r="8202" spans="24:24" x14ac:dyDescent="0.35">
      <c r="X8202" s="8"/>
    </row>
    <row r="8203" spans="24:24" x14ac:dyDescent="0.35">
      <c r="X8203" s="8"/>
    </row>
    <row r="8204" spans="24:24" x14ac:dyDescent="0.35">
      <c r="X8204" s="8"/>
    </row>
    <row r="8205" spans="24:24" x14ac:dyDescent="0.35">
      <c r="X8205" s="8"/>
    </row>
    <row r="8206" spans="24:24" x14ac:dyDescent="0.35">
      <c r="X8206" s="8"/>
    </row>
    <row r="8207" spans="24:24" x14ac:dyDescent="0.35">
      <c r="X8207" s="8"/>
    </row>
    <row r="8208" spans="24:24" x14ac:dyDescent="0.35">
      <c r="X8208" s="8"/>
    </row>
    <row r="8209" spans="24:24" x14ac:dyDescent="0.35">
      <c r="X8209" s="8"/>
    </row>
    <row r="8210" spans="24:24" x14ac:dyDescent="0.35">
      <c r="X8210" s="8"/>
    </row>
    <row r="8211" spans="24:24" x14ac:dyDescent="0.35">
      <c r="X8211" s="8"/>
    </row>
    <row r="8212" spans="24:24" x14ac:dyDescent="0.35">
      <c r="X8212" s="8"/>
    </row>
    <row r="8213" spans="24:24" x14ac:dyDescent="0.35">
      <c r="X8213" s="8"/>
    </row>
    <row r="8214" spans="24:24" x14ac:dyDescent="0.35">
      <c r="X8214" s="8"/>
    </row>
    <row r="8215" spans="24:24" x14ac:dyDescent="0.35">
      <c r="X8215" s="8"/>
    </row>
    <row r="8216" spans="24:24" x14ac:dyDescent="0.35">
      <c r="X8216" s="8"/>
    </row>
    <row r="8217" spans="24:24" x14ac:dyDescent="0.35">
      <c r="X8217" s="8"/>
    </row>
    <row r="8218" spans="24:24" x14ac:dyDescent="0.35">
      <c r="X8218" s="8"/>
    </row>
    <row r="8219" spans="24:24" x14ac:dyDescent="0.35">
      <c r="X8219" s="8"/>
    </row>
    <row r="8220" spans="24:24" x14ac:dyDescent="0.35">
      <c r="X8220" s="8"/>
    </row>
    <row r="8221" spans="24:24" x14ac:dyDescent="0.35">
      <c r="X8221" s="8"/>
    </row>
    <row r="8222" spans="24:24" x14ac:dyDescent="0.35">
      <c r="X8222" s="8"/>
    </row>
    <row r="8223" spans="24:24" x14ac:dyDescent="0.35">
      <c r="X8223" s="8"/>
    </row>
    <row r="8224" spans="24:24" x14ac:dyDescent="0.35">
      <c r="X8224" s="8"/>
    </row>
    <row r="8225" spans="24:24" x14ac:dyDescent="0.35">
      <c r="X8225" s="8"/>
    </row>
    <row r="8226" spans="24:24" x14ac:dyDescent="0.35">
      <c r="X8226" s="8"/>
    </row>
    <row r="8227" spans="24:24" x14ac:dyDescent="0.35">
      <c r="X8227" s="8"/>
    </row>
    <row r="8228" spans="24:24" x14ac:dyDescent="0.35">
      <c r="X8228" s="8"/>
    </row>
    <row r="8229" spans="24:24" x14ac:dyDescent="0.35">
      <c r="X8229" s="8"/>
    </row>
    <row r="8230" spans="24:24" x14ac:dyDescent="0.35">
      <c r="X8230" s="8"/>
    </row>
    <row r="8231" spans="24:24" x14ac:dyDescent="0.35">
      <c r="X8231" s="8"/>
    </row>
    <row r="8232" spans="24:24" x14ac:dyDescent="0.35">
      <c r="X8232" s="8"/>
    </row>
    <row r="8233" spans="24:24" x14ac:dyDescent="0.35">
      <c r="X8233" s="8"/>
    </row>
    <row r="8234" spans="24:24" x14ac:dyDescent="0.35">
      <c r="X8234" s="8"/>
    </row>
    <row r="8235" spans="24:24" x14ac:dyDescent="0.35">
      <c r="X8235" s="8"/>
    </row>
    <row r="8236" spans="24:24" x14ac:dyDescent="0.35">
      <c r="X8236" s="8"/>
    </row>
    <row r="8237" spans="24:24" x14ac:dyDescent="0.35">
      <c r="X8237" s="8"/>
    </row>
    <row r="8238" spans="24:24" x14ac:dyDescent="0.35">
      <c r="X8238" s="8"/>
    </row>
    <row r="8239" spans="24:24" x14ac:dyDescent="0.35">
      <c r="X8239" s="8"/>
    </row>
    <row r="8240" spans="24:24" x14ac:dyDescent="0.35">
      <c r="X8240" s="8"/>
    </row>
    <row r="8241" spans="24:24" x14ac:dyDescent="0.35">
      <c r="X8241" s="8"/>
    </row>
    <row r="8242" spans="24:24" x14ac:dyDescent="0.35">
      <c r="X8242" s="8"/>
    </row>
    <row r="8243" spans="24:24" x14ac:dyDescent="0.35">
      <c r="X8243" s="8"/>
    </row>
    <row r="8244" spans="24:24" x14ac:dyDescent="0.35">
      <c r="X8244" s="8"/>
    </row>
    <row r="8245" spans="24:24" x14ac:dyDescent="0.35">
      <c r="X8245" s="8"/>
    </row>
    <row r="8246" spans="24:24" x14ac:dyDescent="0.35">
      <c r="X8246" s="8"/>
    </row>
    <row r="8247" spans="24:24" x14ac:dyDescent="0.35">
      <c r="X8247" s="8"/>
    </row>
    <row r="8248" spans="24:24" x14ac:dyDescent="0.35">
      <c r="X8248" s="8"/>
    </row>
    <row r="8249" spans="24:24" x14ac:dyDescent="0.35">
      <c r="X8249" s="8"/>
    </row>
    <row r="8250" spans="24:24" x14ac:dyDescent="0.35">
      <c r="X8250" s="8"/>
    </row>
    <row r="8251" spans="24:24" x14ac:dyDescent="0.35">
      <c r="X8251" s="8"/>
    </row>
    <row r="8252" spans="24:24" x14ac:dyDescent="0.35">
      <c r="X8252" s="8"/>
    </row>
    <row r="8253" spans="24:24" x14ac:dyDescent="0.35">
      <c r="X8253" s="8"/>
    </row>
    <row r="8254" spans="24:24" x14ac:dyDescent="0.35">
      <c r="X8254" s="8"/>
    </row>
    <row r="8255" spans="24:24" x14ac:dyDescent="0.35">
      <c r="X8255" s="8"/>
    </row>
    <row r="8256" spans="24:24" x14ac:dyDescent="0.35">
      <c r="X8256" s="8"/>
    </row>
    <row r="8257" spans="24:24" x14ac:dyDescent="0.35">
      <c r="X8257" s="8"/>
    </row>
    <row r="8258" spans="24:24" x14ac:dyDescent="0.35">
      <c r="X8258" s="8"/>
    </row>
    <row r="8259" spans="24:24" x14ac:dyDescent="0.35">
      <c r="X8259" s="8"/>
    </row>
    <row r="8260" spans="24:24" x14ac:dyDescent="0.35">
      <c r="X8260" s="8"/>
    </row>
    <row r="8261" spans="24:24" x14ac:dyDescent="0.35">
      <c r="X8261" s="8"/>
    </row>
    <row r="8262" spans="24:24" x14ac:dyDescent="0.35">
      <c r="X8262" s="8"/>
    </row>
    <row r="8263" spans="24:24" x14ac:dyDescent="0.35">
      <c r="X8263" s="8"/>
    </row>
    <row r="8264" spans="24:24" x14ac:dyDescent="0.35">
      <c r="X8264" s="8"/>
    </row>
    <row r="8265" spans="24:24" x14ac:dyDescent="0.35">
      <c r="X8265" s="8"/>
    </row>
    <row r="8266" spans="24:24" x14ac:dyDescent="0.35">
      <c r="X8266" s="8"/>
    </row>
    <row r="8267" spans="24:24" x14ac:dyDescent="0.35">
      <c r="X8267" s="8"/>
    </row>
    <row r="8268" spans="24:24" x14ac:dyDescent="0.35">
      <c r="X8268" s="8"/>
    </row>
    <row r="8269" spans="24:24" x14ac:dyDescent="0.35">
      <c r="X8269" s="8"/>
    </row>
    <row r="8270" spans="24:24" x14ac:dyDescent="0.35">
      <c r="X8270" s="8"/>
    </row>
    <row r="8271" spans="24:24" x14ac:dyDescent="0.35">
      <c r="X8271" s="8"/>
    </row>
    <row r="8272" spans="24:24" x14ac:dyDescent="0.35">
      <c r="X8272" s="8"/>
    </row>
    <row r="8273" spans="24:24" x14ac:dyDescent="0.35">
      <c r="X8273" s="8"/>
    </row>
    <row r="8274" spans="24:24" x14ac:dyDescent="0.35">
      <c r="X8274" s="8"/>
    </row>
    <row r="8275" spans="24:24" x14ac:dyDescent="0.35">
      <c r="X8275" s="8"/>
    </row>
    <row r="8276" spans="24:24" x14ac:dyDescent="0.35">
      <c r="X8276" s="8"/>
    </row>
    <row r="8277" spans="24:24" x14ac:dyDescent="0.35">
      <c r="X8277" s="8"/>
    </row>
    <row r="8278" spans="24:24" x14ac:dyDescent="0.35">
      <c r="X8278" s="8"/>
    </row>
    <row r="8279" spans="24:24" x14ac:dyDescent="0.35">
      <c r="X8279" s="8"/>
    </row>
    <row r="8280" spans="24:24" x14ac:dyDescent="0.35">
      <c r="X8280" s="8"/>
    </row>
    <row r="8281" spans="24:24" x14ac:dyDescent="0.35">
      <c r="X8281" s="8"/>
    </row>
    <row r="8282" spans="24:24" x14ac:dyDescent="0.35">
      <c r="X8282" s="8"/>
    </row>
    <row r="8283" spans="24:24" x14ac:dyDescent="0.35">
      <c r="X8283" s="8"/>
    </row>
    <row r="8284" spans="24:24" x14ac:dyDescent="0.35">
      <c r="X8284" s="8"/>
    </row>
    <row r="8285" spans="24:24" x14ac:dyDescent="0.35">
      <c r="X8285" s="8"/>
    </row>
    <row r="8286" spans="24:24" x14ac:dyDescent="0.35">
      <c r="X8286" s="8"/>
    </row>
    <row r="8287" spans="24:24" x14ac:dyDescent="0.35">
      <c r="X8287" s="8"/>
    </row>
    <row r="8288" spans="24:24" x14ac:dyDescent="0.35">
      <c r="X8288" s="8"/>
    </row>
    <row r="8289" spans="24:24" x14ac:dyDescent="0.35">
      <c r="X8289" s="8"/>
    </row>
    <row r="8290" spans="24:24" x14ac:dyDescent="0.35">
      <c r="X8290" s="8"/>
    </row>
    <row r="8291" spans="24:24" x14ac:dyDescent="0.35">
      <c r="X8291" s="8"/>
    </row>
    <row r="8292" spans="24:24" x14ac:dyDescent="0.35">
      <c r="X8292" s="8"/>
    </row>
    <row r="8293" spans="24:24" x14ac:dyDescent="0.35">
      <c r="X8293" s="8"/>
    </row>
    <row r="8294" spans="24:24" x14ac:dyDescent="0.35">
      <c r="X8294" s="8"/>
    </row>
    <row r="8295" spans="24:24" x14ac:dyDescent="0.35">
      <c r="X8295" s="8"/>
    </row>
    <row r="8296" spans="24:24" x14ac:dyDescent="0.35">
      <c r="X8296" s="8"/>
    </row>
    <row r="8297" spans="24:24" x14ac:dyDescent="0.35">
      <c r="X8297" s="8"/>
    </row>
    <row r="8298" spans="24:24" x14ac:dyDescent="0.35">
      <c r="X8298" s="8"/>
    </row>
    <row r="8299" spans="24:24" x14ac:dyDescent="0.35">
      <c r="X8299" s="8"/>
    </row>
    <row r="8300" spans="24:24" x14ac:dyDescent="0.35">
      <c r="X8300" s="8"/>
    </row>
    <row r="8301" spans="24:24" x14ac:dyDescent="0.35">
      <c r="X8301" s="8"/>
    </row>
    <row r="8302" spans="24:24" x14ac:dyDescent="0.35">
      <c r="X8302" s="8"/>
    </row>
    <row r="8303" spans="24:24" x14ac:dyDescent="0.35">
      <c r="X8303" s="8"/>
    </row>
    <row r="8304" spans="24:24" x14ac:dyDescent="0.35">
      <c r="X8304" s="8"/>
    </row>
    <row r="8305" spans="24:24" x14ac:dyDescent="0.35">
      <c r="X8305" s="8"/>
    </row>
    <row r="8306" spans="24:24" x14ac:dyDescent="0.35">
      <c r="X8306" s="8"/>
    </row>
    <row r="8307" spans="24:24" x14ac:dyDescent="0.35">
      <c r="X8307" s="8"/>
    </row>
    <row r="8308" spans="24:24" x14ac:dyDescent="0.35">
      <c r="X8308" s="8"/>
    </row>
    <row r="8309" spans="24:24" x14ac:dyDescent="0.35">
      <c r="X8309" s="8"/>
    </row>
    <row r="8310" spans="24:24" x14ac:dyDescent="0.35">
      <c r="X8310" s="8"/>
    </row>
    <row r="8311" spans="24:24" x14ac:dyDescent="0.35">
      <c r="X8311" s="8"/>
    </row>
    <row r="8312" spans="24:24" x14ac:dyDescent="0.35">
      <c r="X8312" s="8"/>
    </row>
    <row r="8313" spans="24:24" x14ac:dyDescent="0.35">
      <c r="X8313" s="8"/>
    </row>
    <row r="8314" spans="24:24" x14ac:dyDescent="0.35">
      <c r="X8314" s="8"/>
    </row>
    <row r="8315" spans="24:24" x14ac:dyDescent="0.35">
      <c r="X8315" s="8"/>
    </row>
    <row r="8316" spans="24:24" x14ac:dyDescent="0.35">
      <c r="X8316" s="8"/>
    </row>
    <row r="8317" spans="24:24" x14ac:dyDescent="0.35">
      <c r="X8317" s="8"/>
    </row>
    <row r="8318" spans="24:24" x14ac:dyDescent="0.35">
      <c r="X8318" s="8"/>
    </row>
    <row r="8319" spans="24:24" x14ac:dyDescent="0.35">
      <c r="X8319" s="8"/>
    </row>
    <row r="8320" spans="24:24" x14ac:dyDescent="0.35">
      <c r="X8320" s="8"/>
    </row>
    <row r="8321" spans="24:24" x14ac:dyDescent="0.35">
      <c r="X8321" s="8"/>
    </row>
    <row r="8322" spans="24:24" x14ac:dyDescent="0.35">
      <c r="X8322" s="8"/>
    </row>
    <row r="8323" spans="24:24" x14ac:dyDescent="0.35">
      <c r="X8323" s="8"/>
    </row>
    <row r="8324" spans="24:24" x14ac:dyDescent="0.35">
      <c r="X8324" s="8"/>
    </row>
    <row r="8325" spans="24:24" x14ac:dyDescent="0.35">
      <c r="X8325" s="8"/>
    </row>
    <row r="8326" spans="24:24" x14ac:dyDescent="0.35">
      <c r="X8326" s="8"/>
    </row>
    <row r="8327" spans="24:24" x14ac:dyDescent="0.35">
      <c r="X8327" s="8"/>
    </row>
    <row r="8328" spans="24:24" x14ac:dyDescent="0.35">
      <c r="X8328" s="8"/>
    </row>
    <row r="8329" spans="24:24" x14ac:dyDescent="0.35">
      <c r="X8329" s="8"/>
    </row>
    <row r="8330" spans="24:24" x14ac:dyDescent="0.35">
      <c r="X8330" s="8"/>
    </row>
    <row r="8331" spans="24:24" x14ac:dyDescent="0.35">
      <c r="X8331" s="8"/>
    </row>
    <row r="8332" spans="24:24" x14ac:dyDescent="0.35">
      <c r="X8332" s="8"/>
    </row>
    <row r="8333" spans="24:24" x14ac:dyDescent="0.35">
      <c r="X8333" s="8"/>
    </row>
    <row r="8334" spans="24:24" x14ac:dyDescent="0.35">
      <c r="X8334" s="8"/>
    </row>
    <row r="8335" spans="24:24" x14ac:dyDescent="0.35">
      <c r="X8335" s="8"/>
    </row>
    <row r="8336" spans="24:24" x14ac:dyDescent="0.35">
      <c r="X8336" s="8"/>
    </row>
    <row r="8337" spans="24:24" x14ac:dyDescent="0.35">
      <c r="X8337" s="8"/>
    </row>
    <row r="8338" spans="24:24" x14ac:dyDescent="0.35">
      <c r="X8338" s="8"/>
    </row>
    <row r="8339" spans="24:24" x14ac:dyDescent="0.35">
      <c r="X8339" s="8"/>
    </row>
    <row r="8340" spans="24:24" x14ac:dyDescent="0.35">
      <c r="X8340" s="8"/>
    </row>
    <row r="8341" spans="24:24" x14ac:dyDescent="0.35">
      <c r="X8341" s="8"/>
    </row>
    <row r="8342" spans="24:24" x14ac:dyDescent="0.35">
      <c r="X8342" s="8"/>
    </row>
    <row r="8343" spans="24:24" x14ac:dyDescent="0.35">
      <c r="X8343" s="8"/>
    </row>
    <row r="8344" spans="24:24" x14ac:dyDescent="0.35">
      <c r="X8344" s="8"/>
    </row>
    <row r="8345" spans="24:24" x14ac:dyDescent="0.35">
      <c r="X8345" s="8"/>
    </row>
    <row r="8346" spans="24:24" x14ac:dyDescent="0.35">
      <c r="X8346" s="8"/>
    </row>
    <row r="8347" spans="24:24" x14ac:dyDescent="0.35">
      <c r="X8347" s="8"/>
    </row>
    <row r="8348" spans="24:24" x14ac:dyDescent="0.35">
      <c r="X8348" s="8"/>
    </row>
    <row r="8349" spans="24:24" x14ac:dyDescent="0.35">
      <c r="X8349" s="8"/>
    </row>
    <row r="8350" spans="24:24" x14ac:dyDescent="0.35">
      <c r="X8350" s="8"/>
    </row>
    <row r="8351" spans="24:24" x14ac:dyDescent="0.35">
      <c r="X8351" s="8"/>
    </row>
    <row r="8352" spans="24:24" x14ac:dyDescent="0.35">
      <c r="X8352" s="8"/>
    </row>
    <row r="8353" spans="24:24" x14ac:dyDescent="0.35">
      <c r="X8353" s="8"/>
    </row>
    <row r="8354" spans="24:24" x14ac:dyDescent="0.35">
      <c r="X8354" s="8"/>
    </row>
    <row r="8355" spans="24:24" x14ac:dyDescent="0.35">
      <c r="X8355" s="8"/>
    </row>
    <row r="8356" spans="24:24" x14ac:dyDescent="0.35">
      <c r="X8356" s="8"/>
    </row>
    <row r="8357" spans="24:24" x14ac:dyDescent="0.35">
      <c r="X8357" s="8"/>
    </row>
    <row r="8358" spans="24:24" x14ac:dyDescent="0.35">
      <c r="X8358" s="8"/>
    </row>
    <row r="8359" spans="24:24" x14ac:dyDescent="0.35">
      <c r="X8359" s="8"/>
    </row>
    <row r="8360" spans="24:24" x14ac:dyDescent="0.35">
      <c r="X8360" s="8"/>
    </row>
    <row r="8361" spans="24:24" x14ac:dyDescent="0.35">
      <c r="X8361" s="8"/>
    </row>
    <row r="8362" spans="24:24" x14ac:dyDescent="0.35">
      <c r="X8362" s="8"/>
    </row>
    <row r="8363" spans="24:24" x14ac:dyDescent="0.35">
      <c r="X8363" s="8"/>
    </row>
    <row r="8364" spans="24:24" x14ac:dyDescent="0.35">
      <c r="X8364" s="8"/>
    </row>
    <row r="8365" spans="24:24" x14ac:dyDescent="0.35">
      <c r="X8365" s="8"/>
    </row>
    <row r="8366" spans="24:24" x14ac:dyDescent="0.35">
      <c r="X8366" s="8"/>
    </row>
    <row r="8367" spans="24:24" x14ac:dyDescent="0.35">
      <c r="X8367" s="8"/>
    </row>
    <row r="8368" spans="24:24" x14ac:dyDescent="0.35">
      <c r="X8368" s="8"/>
    </row>
    <row r="8369" spans="24:24" x14ac:dyDescent="0.35">
      <c r="X8369" s="8"/>
    </row>
    <row r="8370" spans="24:24" x14ac:dyDescent="0.35">
      <c r="X8370" s="8"/>
    </row>
    <row r="8371" spans="24:24" x14ac:dyDescent="0.35">
      <c r="X8371" s="8"/>
    </row>
    <row r="8372" spans="24:24" x14ac:dyDescent="0.35">
      <c r="X8372" s="8"/>
    </row>
    <row r="8373" spans="24:24" x14ac:dyDescent="0.35">
      <c r="X8373" s="8"/>
    </row>
    <row r="8374" spans="24:24" x14ac:dyDescent="0.35">
      <c r="X8374" s="8"/>
    </row>
    <row r="8375" spans="24:24" x14ac:dyDescent="0.35">
      <c r="X8375" s="8"/>
    </row>
    <row r="8376" spans="24:24" x14ac:dyDescent="0.35">
      <c r="X8376" s="8"/>
    </row>
    <row r="8377" spans="24:24" x14ac:dyDescent="0.35">
      <c r="X8377" s="8"/>
    </row>
    <row r="8378" spans="24:24" x14ac:dyDescent="0.35">
      <c r="X8378" s="8"/>
    </row>
    <row r="8379" spans="24:24" x14ac:dyDescent="0.35">
      <c r="X8379" s="8"/>
    </row>
    <row r="8380" spans="24:24" x14ac:dyDescent="0.35">
      <c r="X8380" s="8"/>
    </row>
    <row r="8381" spans="24:24" x14ac:dyDescent="0.35">
      <c r="X8381" s="8"/>
    </row>
    <row r="8382" spans="24:24" x14ac:dyDescent="0.35">
      <c r="X8382" s="8"/>
    </row>
    <row r="8383" spans="24:24" x14ac:dyDescent="0.35">
      <c r="X8383" s="8"/>
    </row>
    <row r="8384" spans="24:24" x14ac:dyDescent="0.35">
      <c r="X8384" s="8"/>
    </row>
    <row r="8385" spans="24:24" x14ac:dyDescent="0.35">
      <c r="X8385" s="8"/>
    </row>
    <row r="8386" spans="24:24" x14ac:dyDescent="0.35">
      <c r="X8386" s="8"/>
    </row>
    <row r="8387" spans="24:24" x14ac:dyDescent="0.35">
      <c r="X8387" s="8"/>
    </row>
    <row r="8388" spans="24:24" x14ac:dyDescent="0.35">
      <c r="X8388" s="8"/>
    </row>
    <row r="8389" spans="24:24" x14ac:dyDescent="0.35">
      <c r="X8389" s="8"/>
    </row>
    <row r="8390" spans="24:24" x14ac:dyDescent="0.35">
      <c r="X8390" s="8"/>
    </row>
    <row r="8391" spans="24:24" x14ac:dyDescent="0.35">
      <c r="X8391" s="8"/>
    </row>
    <row r="8392" spans="24:24" x14ac:dyDescent="0.35">
      <c r="X8392" s="8"/>
    </row>
    <row r="8393" spans="24:24" x14ac:dyDescent="0.35">
      <c r="X8393" s="8"/>
    </row>
    <row r="8394" spans="24:24" x14ac:dyDescent="0.35">
      <c r="X8394" s="8"/>
    </row>
    <row r="8395" spans="24:24" x14ac:dyDescent="0.35">
      <c r="X8395" s="8"/>
    </row>
    <row r="8396" spans="24:24" x14ac:dyDescent="0.35">
      <c r="X8396" s="8"/>
    </row>
    <row r="8397" spans="24:24" x14ac:dyDescent="0.35">
      <c r="X8397" s="8"/>
    </row>
    <row r="8398" spans="24:24" x14ac:dyDescent="0.35">
      <c r="X8398" s="8"/>
    </row>
    <row r="8399" spans="24:24" x14ac:dyDescent="0.35">
      <c r="X8399" s="8"/>
    </row>
    <row r="8400" spans="24:24" x14ac:dyDescent="0.35">
      <c r="X8400" s="8"/>
    </row>
    <row r="8401" spans="24:24" x14ac:dyDescent="0.35">
      <c r="X8401" s="8"/>
    </row>
    <row r="8402" spans="24:24" x14ac:dyDescent="0.35">
      <c r="X8402" s="8"/>
    </row>
    <row r="8403" spans="24:24" x14ac:dyDescent="0.35">
      <c r="X8403" s="8"/>
    </row>
    <row r="8404" spans="24:24" x14ac:dyDescent="0.35">
      <c r="X8404" s="8"/>
    </row>
    <row r="8405" spans="24:24" x14ac:dyDescent="0.35">
      <c r="X8405" s="8"/>
    </row>
    <row r="8406" spans="24:24" x14ac:dyDescent="0.35">
      <c r="X8406" s="8"/>
    </row>
    <row r="8407" spans="24:24" x14ac:dyDescent="0.35">
      <c r="X8407" s="8"/>
    </row>
    <row r="8408" spans="24:24" x14ac:dyDescent="0.35">
      <c r="X8408" s="8"/>
    </row>
    <row r="8409" spans="24:24" x14ac:dyDescent="0.35">
      <c r="X8409" s="8"/>
    </row>
    <row r="8410" spans="24:24" x14ac:dyDescent="0.35">
      <c r="X8410" s="8"/>
    </row>
    <row r="8411" spans="24:24" x14ac:dyDescent="0.35">
      <c r="X8411" s="8"/>
    </row>
    <row r="8412" spans="24:24" x14ac:dyDescent="0.35">
      <c r="X8412" s="8"/>
    </row>
    <row r="8413" spans="24:24" x14ac:dyDescent="0.35">
      <c r="X8413" s="8"/>
    </row>
    <row r="8414" spans="24:24" x14ac:dyDescent="0.35">
      <c r="X8414" s="8"/>
    </row>
    <row r="8415" spans="24:24" x14ac:dyDescent="0.35">
      <c r="X8415" s="8"/>
    </row>
    <row r="8416" spans="24:24" x14ac:dyDescent="0.35">
      <c r="X8416" s="8"/>
    </row>
    <row r="8417" spans="24:24" x14ac:dyDescent="0.35">
      <c r="X8417" s="8"/>
    </row>
    <row r="8418" spans="24:24" x14ac:dyDescent="0.35">
      <c r="X8418" s="8"/>
    </row>
    <row r="8419" spans="24:24" x14ac:dyDescent="0.35">
      <c r="X8419" s="8"/>
    </row>
    <row r="8420" spans="24:24" x14ac:dyDescent="0.35">
      <c r="X8420" s="8"/>
    </row>
    <row r="8421" spans="24:24" x14ac:dyDescent="0.35">
      <c r="X8421" s="8"/>
    </row>
    <row r="8422" spans="24:24" x14ac:dyDescent="0.35">
      <c r="X8422" s="8"/>
    </row>
    <row r="8423" spans="24:24" x14ac:dyDescent="0.35">
      <c r="X8423" s="8"/>
    </row>
    <row r="8424" spans="24:24" x14ac:dyDescent="0.35">
      <c r="X8424" s="8"/>
    </row>
    <row r="8425" spans="24:24" x14ac:dyDescent="0.35">
      <c r="X8425" s="8"/>
    </row>
    <row r="8426" spans="24:24" x14ac:dyDescent="0.35">
      <c r="X8426" s="8"/>
    </row>
    <row r="8427" spans="24:24" x14ac:dyDescent="0.35">
      <c r="X8427" s="8"/>
    </row>
    <row r="8428" spans="24:24" x14ac:dyDescent="0.35">
      <c r="X8428" s="8"/>
    </row>
    <row r="8429" spans="24:24" x14ac:dyDescent="0.35">
      <c r="X8429" s="8"/>
    </row>
    <row r="8430" spans="24:24" x14ac:dyDescent="0.35">
      <c r="X8430" s="8"/>
    </row>
    <row r="8431" spans="24:24" x14ac:dyDescent="0.35">
      <c r="X8431" s="8"/>
    </row>
    <row r="8432" spans="24:24" x14ac:dyDescent="0.35">
      <c r="X8432" s="8"/>
    </row>
    <row r="8433" spans="24:24" x14ac:dyDescent="0.35">
      <c r="X8433" s="8"/>
    </row>
    <row r="8434" spans="24:24" x14ac:dyDescent="0.35">
      <c r="X8434" s="8"/>
    </row>
    <row r="8435" spans="24:24" x14ac:dyDescent="0.35">
      <c r="X8435" s="8"/>
    </row>
    <row r="8436" spans="24:24" x14ac:dyDescent="0.35">
      <c r="X8436" s="8"/>
    </row>
    <row r="8437" spans="24:24" x14ac:dyDescent="0.35">
      <c r="X8437" s="8"/>
    </row>
    <row r="8438" spans="24:24" x14ac:dyDescent="0.35">
      <c r="X8438" s="8"/>
    </row>
    <row r="8439" spans="24:24" x14ac:dyDescent="0.35">
      <c r="X8439" s="8"/>
    </row>
    <row r="8440" spans="24:24" x14ac:dyDescent="0.35">
      <c r="X8440" s="8"/>
    </row>
    <row r="8441" spans="24:24" x14ac:dyDescent="0.35">
      <c r="X8441" s="8"/>
    </row>
    <row r="8442" spans="24:24" x14ac:dyDescent="0.35">
      <c r="X8442" s="8"/>
    </row>
    <row r="8443" spans="24:24" x14ac:dyDescent="0.35">
      <c r="X8443" s="8"/>
    </row>
    <row r="8444" spans="24:24" x14ac:dyDescent="0.35">
      <c r="X8444" s="8"/>
    </row>
    <row r="8445" spans="24:24" x14ac:dyDescent="0.35">
      <c r="X8445" s="8"/>
    </row>
    <row r="8446" spans="24:24" x14ac:dyDescent="0.35">
      <c r="X8446" s="8"/>
    </row>
    <row r="8447" spans="24:24" x14ac:dyDescent="0.35">
      <c r="X8447" s="8"/>
    </row>
    <row r="8448" spans="24:24" x14ac:dyDescent="0.35">
      <c r="X8448" s="8"/>
    </row>
    <row r="8449" spans="24:24" x14ac:dyDescent="0.35">
      <c r="X8449" s="8"/>
    </row>
    <row r="8450" spans="24:24" x14ac:dyDescent="0.35">
      <c r="X8450" s="8"/>
    </row>
    <row r="8451" spans="24:24" x14ac:dyDescent="0.35">
      <c r="X8451" s="8"/>
    </row>
    <row r="8452" spans="24:24" x14ac:dyDescent="0.35">
      <c r="X8452" s="8"/>
    </row>
    <row r="8453" spans="24:24" x14ac:dyDescent="0.35">
      <c r="X8453" s="8"/>
    </row>
    <row r="8454" spans="24:24" x14ac:dyDescent="0.35">
      <c r="X8454" s="8"/>
    </row>
    <row r="8455" spans="24:24" x14ac:dyDescent="0.35">
      <c r="X8455" s="8"/>
    </row>
    <row r="8456" spans="24:24" x14ac:dyDescent="0.35">
      <c r="X8456" s="8"/>
    </row>
    <row r="8457" spans="24:24" x14ac:dyDescent="0.35">
      <c r="X8457" s="8"/>
    </row>
    <row r="8458" spans="24:24" x14ac:dyDescent="0.35">
      <c r="X8458" s="8"/>
    </row>
    <row r="8459" spans="24:24" x14ac:dyDescent="0.35">
      <c r="X8459" s="8"/>
    </row>
    <row r="8460" spans="24:24" x14ac:dyDescent="0.35">
      <c r="X8460" s="8"/>
    </row>
    <row r="8461" spans="24:24" x14ac:dyDescent="0.35">
      <c r="X8461" s="8"/>
    </row>
    <row r="8462" spans="24:24" x14ac:dyDescent="0.35">
      <c r="X8462" s="8"/>
    </row>
    <row r="8463" spans="24:24" x14ac:dyDescent="0.35">
      <c r="X8463" s="8"/>
    </row>
    <row r="8464" spans="24:24" x14ac:dyDescent="0.35">
      <c r="X8464" s="8"/>
    </row>
    <row r="8465" spans="24:24" x14ac:dyDescent="0.35">
      <c r="X8465" s="8"/>
    </row>
    <row r="8466" spans="24:24" x14ac:dyDescent="0.35">
      <c r="X8466" s="8"/>
    </row>
    <row r="8467" spans="24:24" x14ac:dyDescent="0.35">
      <c r="X8467" s="8"/>
    </row>
    <row r="8468" spans="24:24" x14ac:dyDescent="0.35">
      <c r="X8468" s="8"/>
    </row>
    <row r="8469" spans="24:24" x14ac:dyDescent="0.35">
      <c r="X8469" s="8"/>
    </row>
    <row r="8470" spans="24:24" x14ac:dyDescent="0.35">
      <c r="X8470" s="8"/>
    </row>
    <row r="8471" spans="24:24" x14ac:dyDescent="0.35">
      <c r="X8471" s="8"/>
    </row>
    <row r="8472" spans="24:24" x14ac:dyDescent="0.35">
      <c r="X8472" s="8"/>
    </row>
    <row r="8473" spans="24:24" x14ac:dyDescent="0.35">
      <c r="X8473" s="8"/>
    </row>
    <row r="8474" spans="24:24" x14ac:dyDescent="0.35">
      <c r="X8474" s="8"/>
    </row>
    <row r="8475" spans="24:24" x14ac:dyDescent="0.35">
      <c r="X8475" s="8"/>
    </row>
    <row r="8476" spans="24:24" x14ac:dyDescent="0.35">
      <c r="X8476" s="8"/>
    </row>
    <row r="8477" spans="24:24" x14ac:dyDescent="0.35">
      <c r="X8477" s="8"/>
    </row>
    <row r="8478" spans="24:24" x14ac:dyDescent="0.35">
      <c r="X8478" s="8"/>
    </row>
    <row r="8479" spans="24:24" x14ac:dyDescent="0.35">
      <c r="X8479" s="8"/>
    </row>
    <row r="8480" spans="24:24" x14ac:dyDescent="0.35">
      <c r="X8480" s="8"/>
    </row>
    <row r="8481" spans="24:24" x14ac:dyDescent="0.35">
      <c r="X8481" s="8"/>
    </row>
    <row r="8482" spans="24:24" x14ac:dyDescent="0.35">
      <c r="X8482" s="8"/>
    </row>
    <row r="8483" spans="24:24" x14ac:dyDescent="0.35">
      <c r="X8483" s="8"/>
    </row>
    <row r="8484" spans="24:24" x14ac:dyDescent="0.35">
      <c r="X8484" s="8"/>
    </row>
    <row r="8485" spans="24:24" x14ac:dyDescent="0.35">
      <c r="X8485" s="8"/>
    </row>
    <row r="8486" spans="24:24" x14ac:dyDescent="0.35">
      <c r="X8486" s="8"/>
    </row>
    <row r="8487" spans="24:24" x14ac:dyDescent="0.35">
      <c r="X8487" s="8"/>
    </row>
    <row r="8488" spans="24:24" x14ac:dyDescent="0.35">
      <c r="X8488" s="8"/>
    </row>
    <row r="8489" spans="24:24" x14ac:dyDescent="0.35">
      <c r="X8489" s="8"/>
    </row>
    <row r="8490" spans="24:24" x14ac:dyDescent="0.35">
      <c r="X8490" s="8"/>
    </row>
    <row r="8491" spans="24:24" x14ac:dyDescent="0.35">
      <c r="X8491" s="8"/>
    </row>
    <row r="8492" spans="24:24" x14ac:dyDescent="0.35">
      <c r="X8492" s="8"/>
    </row>
    <row r="8493" spans="24:24" x14ac:dyDescent="0.35">
      <c r="X8493" s="8"/>
    </row>
    <row r="8494" spans="24:24" x14ac:dyDescent="0.35">
      <c r="X8494" s="8"/>
    </row>
    <row r="8495" spans="24:24" x14ac:dyDescent="0.35">
      <c r="X8495" s="8"/>
    </row>
    <row r="8496" spans="24:24" x14ac:dyDescent="0.35">
      <c r="X8496" s="8"/>
    </row>
    <row r="8497" spans="24:24" x14ac:dyDescent="0.35">
      <c r="X8497" s="8"/>
    </row>
    <row r="8498" spans="24:24" x14ac:dyDescent="0.35">
      <c r="X8498" s="8"/>
    </row>
    <row r="8499" spans="24:24" x14ac:dyDescent="0.35">
      <c r="X8499" s="8"/>
    </row>
    <row r="8500" spans="24:24" x14ac:dyDescent="0.35">
      <c r="X8500" s="8"/>
    </row>
    <row r="8501" spans="24:24" x14ac:dyDescent="0.35">
      <c r="X8501" s="8"/>
    </row>
    <row r="8502" spans="24:24" x14ac:dyDescent="0.35">
      <c r="X8502" s="8"/>
    </row>
    <row r="8503" spans="24:24" x14ac:dyDescent="0.35">
      <c r="X8503" s="8"/>
    </row>
    <row r="8504" spans="24:24" x14ac:dyDescent="0.35">
      <c r="X8504" s="8"/>
    </row>
    <row r="8505" spans="24:24" x14ac:dyDescent="0.35">
      <c r="X8505" s="8"/>
    </row>
    <row r="8506" spans="24:24" x14ac:dyDescent="0.35">
      <c r="X8506" s="8"/>
    </row>
    <row r="8507" spans="24:24" x14ac:dyDescent="0.35">
      <c r="X8507" s="8"/>
    </row>
    <row r="8508" spans="24:24" x14ac:dyDescent="0.35">
      <c r="X8508" s="8"/>
    </row>
    <row r="8509" spans="24:24" x14ac:dyDescent="0.35">
      <c r="X8509" s="8"/>
    </row>
    <row r="8510" spans="24:24" x14ac:dyDescent="0.35">
      <c r="X8510" s="8"/>
    </row>
    <row r="8511" spans="24:24" x14ac:dyDescent="0.35">
      <c r="X8511" s="8"/>
    </row>
    <row r="8512" spans="24:24" x14ac:dyDescent="0.35">
      <c r="X8512" s="8"/>
    </row>
    <row r="8513" spans="24:24" x14ac:dyDescent="0.35">
      <c r="X8513" s="8"/>
    </row>
    <row r="8514" spans="24:24" x14ac:dyDescent="0.35">
      <c r="X8514" s="8"/>
    </row>
    <row r="8515" spans="24:24" x14ac:dyDescent="0.35">
      <c r="X8515" s="8"/>
    </row>
    <row r="8516" spans="24:24" x14ac:dyDescent="0.35">
      <c r="X8516" s="8"/>
    </row>
    <row r="8517" spans="24:24" x14ac:dyDescent="0.35">
      <c r="X8517" s="8"/>
    </row>
    <row r="8518" spans="24:24" x14ac:dyDescent="0.35">
      <c r="X8518" s="8"/>
    </row>
    <row r="8519" spans="24:24" x14ac:dyDescent="0.35">
      <c r="X8519" s="8"/>
    </row>
    <row r="8520" spans="24:24" x14ac:dyDescent="0.35">
      <c r="X8520" s="8"/>
    </row>
    <row r="8521" spans="24:24" x14ac:dyDescent="0.35">
      <c r="X8521" s="8"/>
    </row>
    <row r="8522" spans="24:24" x14ac:dyDescent="0.35">
      <c r="X8522" s="8"/>
    </row>
    <row r="8523" spans="24:24" x14ac:dyDescent="0.35">
      <c r="X8523" s="8"/>
    </row>
    <row r="8524" spans="24:24" x14ac:dyDescent="0.35">
      <c r="X8524" s="8"/>
    </row>
    <row r="8525" spans="24:24" x14ac:dyDescent="0.35">
      <c r="X8525" s="8"/>
    </row>
    <row r="8526" spans="24:24" x14ac:dyDescent="0.35">
      <c r="X8526" s="8"/>
    </row>
    <row r="8527" spans="24:24" x14ac:dyDescent="0.35">
      <c r="X8527" s="8"/>
    </row>
    <row r="8528" spans="24:24" x14ac:dyDescent="0.35">
      <c r="X8528" s="8"/>
    </row>
    <row r="8529" spans="24:24" x14ac:dyDescent="0.35">
      <c r="X8529" s="8"/>
    </row>
    <row r="8530" spans="24:24" x14ac:dyDescent="0.35">
      <c r="X8530" s="8"/>
    </row>
    <row r="8531" spans="24:24" x14ac:dyDescent="0.35">
      <c r="X8531" s="8"/>
    </row>
    <row r="8532" spans="24:24" x14ac:dyDescent="0.35">
      <c r="X8532" s="8"/>
    </row>
    <row r="8533" spans="24:24" x14ac:dyDescent="0.35">
      <c r="X8533" s="8"/>
    </row>
    <row r="8534" spans="24:24" x14ac:dyDescent="0.35">
      <c r="X8534" s="8"/>
    </row>
    <row r="8535" spans="24:24" x14ac:dyDescent="0.35">
      <c r="X8535" s="8"/>
    </row>
    <row r="8536" spans="24:24" x14ac:dyDescent="0.35">
      <c r="X8536" s="8"/>
    </row>
    <row r="8537" spans="24:24" x14ac:dyDescent="0.35">
      <c r="X8537" s="8"/>
    </row>
    <row r="8538" spans="24:24" x14ac:dyDescent="0.35">
      <c r="X8538" s="8"/>
    </row>
    <row r="8539" spans="24:24" x14ac:dyDescent="0.35">
      <c r="X8539" s="8"/>
    </row>
    <row r="8540" spans="24:24" x14ac:dyDescent="0.35">
      <c r="X8540" s="8"/>
    </row>
    <row r="8541" spans="24:24" x14ac:dyDescent="0.35">
      <c r="X8541" s="8"/>
    </row>
    <row r="8542" spans="24:24" x14ac:dyDescent="0.35">
      <c r="X8542" s="8"/>
    </row>
    <row r="8543" spans="24:24" x14ac:dyDescent="0.35">
      <c r="X8543" s="8"/>
    </row>
    <row r="8544" spans="24:24" x14ac:dyDescent="0.35">
      <c r="X8544" s="8"/>
    </row>
    <row r="8545" spans="24:24" x14ac:dyDescent="0.35">
      <c r="X8545" s="8"/>
    </row>
    <row r="8546" spans="24:24" x14ac:dyDescent="0.35">
      <c r="X8546" s="8"/>
    </row>
    <row r="8547" spans="24:24" x14ac:dyDescent="0.35">
      <c r="X8547" s="8"/>
    </row>
    <row r="8548" spans="24:24" x14ac:dyDescent="0.35">
      <c r="X8548" s="8"/>
    </row>
    <row r="8549" spans="24:24" x14ac:dyDescent="0.35">
      <c r="X8549" s="8"/>
    </row>
    <row r="8550" spans="24:24" x14ac:dyDescent="0.35">
      <c r="X8550" s="8"/>
    </row>
    <row r="8551" spans="24:24" x14ac:dyDescent="0.35">
      <c r="X8551" s="8"/>
    </row>
    <row r="8552" spans="24:24" x14ac:dyDescent="0.35">
      <c r="X8552" s="8"/>
    </row>
    <row r="8553" spans="24:24" x14ac:dyDescent="0.35">
      <c r="X8553" s="8"/>
    </row>
    <row r="8554" spans="24:24" x14ac:dyDescent="0.35">
      <c r="X8554" s="8"/>
    </row>
    <row r="8555" spans="24:24" x14ac:dyDescent="0.35">
      <c r="X8555" s="8"/>
    </row>
    <row r="8556" spans="24:24" x14ac:dyDescent="0.35">
      <c r="X8556" s="8"/>
    </row>
    <row r="8557" spans="24:24" x14ac:dyDescent="0.35">
      <c r="X8557" s="8"/>
    </row>
    <row r="8558" spans="24:24" x14ac:dyDescent="0.35">
      <c r="X8558" s="8"/>
    </row>
    <row r="8559" spans="24:24" x14ac:dyDescent="0.35">
      <c r="X8559" s="8"/>
    </row>
    <row r="8560" spans="24:24" x14ac:dyDescent="0.35">
      <c r="X8560" s="8"/>
    </row>
    <row r="8561" spans="24:24" x14ac:dyDescent="0.35">
      <c r="X8561" s="8"/>
    </row>
    <row r="8562" spans="24:24" x14ac:dyDescent="0.35">
      <c r="X8562" s="8"/>
    </row>
    <row r="8563" spans="24:24" x14ac:dyDescent="0.35">
      <c r="X8563" s="8"/>
    </row>
    <row r="8564" spans="24:24" x14ac:dyDescent="0.35">
      <c r="X8564" s="8"/>
    </row>
    <row r="8565" spans="24:24" x14ac:dyDescent="0.35">
      <c r="X8565" s="8"/>
    </row>
    <row r="8566" spans="24:24" x14ac:dyDescent="0.35">
      <c r="X8566" s="8"/>
    </row>
    <row r="8567" spans="24:24" x14ac:dyDescent="0.35">
      <c r="X8567" s="8"/>
    </row>
    <row r="8568" spans="24:24" x14ac:dyDescent="0.35">
      <c r="X8568" s="8"/>
    </row>
    <row r="8569" spans="24:24" x14ac:dyDescent="0.35">
      <c r="X8569" s="8"/>
    </row>
    <row r="8570" spans="24:24" x14ac:dyDescent="0.35">
      <c r="X8570" s="8"/>
    </row>
    <row r="8571" spans="24:24" x14ac:dyDescent="0.35">
      <c r="X8571" s="8"/>
    </row>
    <row r="8572" spans="24:24" x14ac:dyDescent="0.35">
      <c r="X8572" s="8"/>
    </row>
    <row r="8573" spans="24:24" x14ac:dyDescent="0.35">
      <c r="X8573" s="8"/>
    </row>
    <row r="8574" spans="24:24" x14ac:dyDescent="0.35">
      <c r="X8574" s="8"/>
    </row>
    <row r="8575" spans="24:24" x14ac:dyDescent="0.35">
      <c r="X8575" s="8"/>
    </row>
    <row r="8576" spans="24:24" x14ac:dyDescent="0.35">
      <c r="X8576" s="8"/>
    </row>
    <row r="8577" spans="24:24" x14ac:dyDescent="0.35">
      <c r="X8577" s="8"/>
    </row>
    <row r="8578" spans="24:24" x14ac:dyDescent="0.35">
      <c r="X8578" s="8"/>
    </row>
    <row r="8579" spans="24:24" x14ac:dyDescent="0.35">
      <c r="X8579" s="8"/>
    </row>
    <row r="8580" spans="24:24" x14ac:dyDescent="0.35">
      <c r="X8580" s="8"/>
    </row>
    <row r="8581" spans="24:24" x14ac:dyDescent="0.35">
      <c r="X8581" s="8"/>
    </row>
    <row r="8582" spans="24:24" x14ac:dyDescent="0.35">
      <c r="X8582" s="8"/>
    </row>
    <row r="8583" spans="24:24" x14ac:dyDescent="0.35">
      <c r="X8583" s="8"/>
    </row>
    <row r="8584" spans="24:24" x14ac:dyDescent="0.35">
      <c r="X8584" s="8"/>
    </row>
    <row r="8585" spans="24:24" x14ac:dyDescent="0.35">
      <c r="X8585" s="8"/>
    </row>
    <row r="8586" spans="24:24" x14ac:dyDescent="0.35">
      <c r="X8586" s="8"/>
    </row>
    <row r="8587" spans="24:24" x14ac:dyDescent="0.35">
      <c r="X8587" s="8"/>
    </row>
    <row r="8588" spans="24:24" x14ac:dyDescent="0.35">
      <c r="X8588" s="8"/>
    </row>
    <row r="8589" spans="24:24" x14ac:dyDescent="0.35">
      <c r="X8589" s="8"/>
    </row>
    <row r="8590" spans="24:24" x14ac:dyDescent="0.35">
      <c r="X8590" s="8"/>
    </row>
    <row r="8591" spans="24:24" x14ac:dyDescent="0.35">
      <c r="X8591" s="8"/>
    </row>
    <row r="8592" spans="24:24" x14ac:dyDescent="0.35">
      <c r="X8592" s="8"/>
    </row>
    <row r="8593" spans="24:24" x14ac:dyDescent="0.35">
      <c r="X8593" s="8"/>
    </row>
    <row r="8594" spans="24:24" x14ac:dyDescent="0.35">
      <c r="X8594" s="8"/>
    </row>
    <row r="8595" spans="24:24" x14ac:dyDescent="0.35">
      <c r="X8595" s="8"/>
    </row>
    <row r="8596" spans="24:24" x14ac:dyDescent="0.35">
      <c r="X8596" s="8"/>
    </row>
    <row r="8597" spans="24:24" x14ac:dyDescent="0.35">
      <c r="X8597" s="8"/>
    </row>
    <row r="8598" spans="24:24" x14ac:dyDescent="0.35">
      <c r="X8598" s="8"/>
    </row>
    <row r="8599" spans="24:24" x14ac:dyDescent="0.35">
      <c r="X8599" s="8"/>
    </row>
    <row r="8600" spans="24:24" x14ac:dyDescent="0.35">
      <c r="X8600" s="8"/>
    </row>
    <row r="8601" spans="24:24" x14ac:dyDescent="0.35">
      <c r="X8601" s="8"/>
    </row>
    <row r="8602" spans="24:24" x14ac:dyDescent="0.35">
      <c r="X8602" s="8"/>
    </row>
    <row r="8603" spans="24:24" x14ac:dyDescent="0.35">
      <c r="X8603" s="8"/>
    </row>
    <row r="8604" spans="24:24" x14ac:dyDescent="0.35">
      <c r="X8604" s="8"/>
    </row>
    <row r="8605" spans="24:24" x14ac:dyDescent="0.35">
      <c r="X8605" s="8"/>
    </row>
    <row r="8606" spans="24:24" x14ac:dyDescent="0.35">
      <c r="X8606" s="8"/>
    </row>
    <row r="8607" spans="24:24" x14ac:dyDescent="0.35">
      <c r="X8607" s="8"/>
    </row>
    <row r="8608" spans="24:24" x14ac:dyDescent="0.35">
      <c r="X8608" s="8"/>
    </row>
    <row r="8609" spans="24:24" x14ac:dyDescent="0.35">
      <c r="X8609" s="8"/>
    </row>
    <row r="8610" spans="24:24" x14ac:dyDescent="0.35">
      <c r="X8610" s="8"/>
    </row>
    <row r="8611" spans="24:24" x14ac:dyDescent="0.35">
      <c r="X8611" s="8"/>
    </row>
    <row r="8612" spans="24:24" x14ac:dyDescent="0.35">
      <c r="X8612" s="8"/>
    </row>
    <row r="8613" spans="24:24" x14ac:dyDescent="0.35">
      <c r="X8613" s="8"/>
    </row>
    <row r="8614" spans="24:24" x14ac:dyDescent="0.35">
      <c r="X8614" s="8"/>
    </row>
    <row r="8615" spans="24:24" x14ac:dyDescent="0.35">
      <c r="X8615" s="8"/>
    </row>
    <row r="8616" spans="24:24" x14ac:dyDescent="0.35">
      <c r="X8616" s="8"/>
    </row>
    <row r="8617" spans="24:24" x14ac:dyDescent="0.35">
      <c r="X8617" s="8"/>
    </row>
    <row r="8618" spans="24:24" x14ac:dyDescent="0.35">
      <c r="X8618" s="8"/>
    </row>
    <row r="8619" spans="24:24" x14ac:dyDescent="0.35">
      <c r="X8619" s="8"/>
    </row>
    <row r="8620" spans="24:24" x14ac:dyDescent="0.35">
      <c r="X8620" s="8"/>
    </row>
    <row r="8621" spans="24:24" x14ac:dyDescent="0.35">
      <c r="X8621" s="8"/>
    </row>
    <row r="8622" spans="24:24" x14ac:dyDescent="0.35">
      <c r="X8622" s="8"/>
    </row>
    <row r="8623" spans="24:24" x14ac:dyDescent="0.35">
      <c r="X8623" s="8"/>
    </row>
    <row r="8624" spans="24:24" x14ac:dyDescent="0.35">
      <c r="X8624" s="8"/>
    </row>
    <row r="8625" spans="24:24" x14ac:dyDescent="0.35">
      <c r="X8625" s="8"/>
    </row>
    <row r="8626" spans="24:24" x14ac:dyDescent="0.35">
      <c r="X8626" s="8"/>
    </row>
    <row r="8627" spans="24:24" x14ac:dyDescent="0.35">
      <c r="X8627" s="8"/>
    </row>
    <row r="8628" spans="24:24" x14ac:dyDescent="0.35">
      <c r="X8628" s="8"/>
    </row>
    <row r="8629" spans="24:24" x14ac:dyDescent="0.35">
      <c r="X8629" s="8"/>
    </row>
    <row r="8630" spans="24:24" x14ac:dyDescent="0.35">
      <c r="X8630" s="8"/>
    </row>
    <row r="8631" spans="24:24" x14ac:dyDescent="0.35">
      <c r="X8631" s="8"/>
    </row>
    <row r="8632" spans="24:24" x14ac:dyDescent="0.35">
      <c r="X8632" s="8"/>
    </row>
    <row r="8633" spans="24:24" x14ac:dyDescent="0.35">
      <c r="X8633" s="8"/>
    </row>
    <row r="8634" spans="24:24" x14ac:dyDescent="0.35">
      <c r="X8634" s="8"/>
    </row>
    <row r="8635" spans="24:24" x14ac:dyDescent="0.35">
      <c r="X8635" s="8"/>
    </row>
    <row r="8636" spans="24:24" x14ac:dyDescent="0.35">
      <c r="X8636" s="8"/>
    </row>
    <row r="8637" spans="24:24" x14ac:dyDescent="0.35">
      <c r="X8637" s="8"/>
    </row>
    <row r="8638" spans="24:24" x14ac:dyDescent="0.35">
      <c r="X8638" s="8"/>
    </row>
    <row r="8639" spans="24:24" x14ac:dyDescent="0.35">
      <c r="X8639" s="8"/>
    </row>
    <row r="8640" spans="24:24" x14ac:dyDescent="0.35">
      <c r="X8640" s="8"/>
    </row>
    <row r="8641" spans="24:24" x14ac:dyDescent="0.35">
      <c r="X8641" s="8"/>
    </row>
    <row r="8642" spans="24:24" x14ac:dyDescent="0.35">
      <c r="X8642" s="8"/>
    </row>
    <row r="8643" spans="24:24" x14ac:dyDescent="0.35">
      <c r="X8643" s="8"/>
    </row>
    <row r="8644" spans="24:24" x14ac:dyDescent="0.35">
      <c r="X8644" s="8"/>
    </row>
    <row r="8645" spans="24:24" x14ac:dyDescent="0.35">
      <c r="X8645" s="8"/>
    </row>
    <row r="8646" spans="24:24" x14ac:dyDescent="0.35">
      <c r="X8646" s="8"/>
    </row>
    <row r="8647" spans="24:24" x14ac:dyDescent="0.35">
      <c r="X8647" s="8"/>
    </row>
    <row r="8648" spans="24:24" x14ac:dyDescent="0.35">
      <c r="X8648" s="8"/>
    </row>
    <row r="8649" spans="24:24" x14ac:dyDescent="0.35">
      <c r="X8649" s="8"/>
    </row>
    <row r="8650" spans="24:24" x14ac:dyDescent="0.35">
      <c r="X8650" s="8"/>
    </row>
    <row r="8651" spans="24:24" x14ac:dyDescent="0.35">
      <c r="X8651" s="8"/>
    </row>
    <row r="8652" spans="24:24" x14ac:dyDescent="0.35">
      <c r="X8652" s="8"/>
    </row>
    <row r="8653" spans="24:24" x14ac:dyDescent="0.35">
      <c r="X8653" s="8"/>
    </row>
    <row r="8654" spans="24:24" x14ac:dyDescent="0.35">
      <c r="X8654" s="8"/>
    </row>
    <row r="8655" spans="24:24" x14ac:dyDescent="0.35">
      <c r="X8655" s="8"/>
    </row>
    <row r="8656" spans="24:24" x14ac:dyDescent="0.35">
      <c r="X8656" s="8"/>
    </row>
    <row r="8657" spans="24:24" x14ac:dyDescent="0.35">
      <c r="X8657" s="8"/>
    </row>
    <row r="8658" spans="24:24" x14ac:dyDescent="0.35">
      <c r="X8658" s="8"/>
    </row>
    <row r="8659" spans="24:24" x14ac:dyDescent="0.35">
      <c r="X8659" s="8"/>
    </row>
    <row r="8660" spans="24:24" x14ac:dyDescent="0.35">
      <c r="X8660" s="8"/>
    </row>
    <row r="8661" spans="24:24" x14ac:dyDescent="0.35">
      <c r="X8661" s="8"/>
    </row>
    <row r="8662" spans="24:24" x14ac:dyDescent="0.35">
      <c r="X8662" s="8"/>
    </row>
    <row r="8663" spans="24:24" x14ac:dyDescent="0.35">
      <c r="X8663" s="8"/>
    </row>
    <row r="8664" spans="24:24" x14ac:dyDescent="0.35">
      <c r="X8664" s="8"/>
    </row>
    <row r="8665" spans="24:24" x14ac:dyDescent="0.35">
      <c r="X8665" s="8"/>
    </row>
    <row r="8666" spans="24:24" x14ac:dyDescent="0.35">
      <c r="X8666" s="8"/>
    </row>
    <row r="8667" spans="24:24" x14ac:dyDescent="0.35">
      <c r="X8667" s="8"/>
    </row>
    <row r="8668" spans="24:24" x14ac:dyDescent="0.35">
      <c r="X8668" s="8"/>
    </row>
    <row r="8669" spans="24:24" x14ac:dyDescent="0.35">
      <c r="X8669" s="8"/>
    </row>
    <row r="8670" spans="24:24" x14ac:dyDescent="0.35">
      <c r="X8670" s="8"/>
    </row>
    <row r="8671" spans="24:24" x14ac:dyDescent="0.35">
      <c r="X8671" s="8"/>
    </row>
    <row r="8672" spans="24:24" x14ac:dyDescent="0.35">
      <c r="X8672" s="8"/>
    </row>
    <row r="8673" spans="24:24" x14ac:dyDescent="0.35">
      <c r="X8673" s="8"/>
    </row>
    <row r="8674" spans="24:24" x14ac:dyDescent="0.35">
      <c r="X8674" s="8"/>
    </row>
    <row r="8675" spans="24:24" x14ac:dyDescent="0.35">
      <c r="X8675" s="8"/>
    </row>
    <row r="8676" spans="24:24" x14ac:dyDescent="0.35">
      <c r="X8676" s="8"/>
    </row>
    <row r="8677" spans="24:24" x14ac:dyDescent="0.35">
      <c r="X8677" s="8"/>
    </row>
    <row r="8678" spans="24:24" x14ac:dyDescent="0.35">
      <c r="X8678" s="8"/>
    </row>
    <row r="8679" spans="24:24" x14ac:dyDescent="0.35">
      <c r="X8679" s="8"/>
    </row>
    <row r="8680" spans="24:24" x14ac:dyDescent="0.35">
      <c r="X8680" s="8"/>
    </row>
    <row r="8681" spans="24:24" x14ac:dyDescent="0.35">
      <c r="X8681" s="8"/>
    </row>
    <row r="8682" spans="24:24" x14ac:dyDescent="0.35">
      <c r="X8682" s="8"/>
    </row>
    <row r="8683" spans="24:24" x14ac:dyDescent="0.35">
      <c r="X8683" s="8"/>
    </row>
    <row r="8684" spans="24:24" x14ac:dyDescent="0.35">
      <c r="X8684" s="8"/>
    </row>
    <row r="8685" spans="24:24" x14ac:dyDescent="0.35">
      <c r="X8685" s="8"/>
    </row>
    <row r="8686" spans="24:24" x14ac:dyDescent="0.35">
      <c r="X8686" s="8"/>
    </row>
    <row r="8687" spans="24:24" x14ac:dyDescent="0.35">
      <c r="X8687" s="8"/>
    </row>
    <row r="8688" spans="24:24" x14ac:dyDescent="0.35">
      <c r="X8688" s="8"/>
    </row>
    <row r="8689" spans="24:24" x14ac:dyDescent="0.35">
      <c r="X8689" s="8"/>
    </row>
    <row r="8690" spans="24:24" x14ac:dyDescent="0.35">
      <c r="X8690" s="8"/>
    </row>
    <row r="8691" spans="24:24" x14ac:dyDescent="0.35">
      <c r="X8691" s="8"/>
    </row>
    <row r="8692" spans="24:24" x14ac:dyDescent="0.35">
      <c r="X8692" s="8"/>
    </row>
    <row r="8693" spans="24:24" x14ac:dyDescent="0.35">
      <c r="X8693" s="8"/>
    </row>
    <row r="8694" spans="24:24" x14ac:dyDescent="0.35">
      <c r="X8694" s="8"/>
    </row>
    <row r="8695" spans="24:24" x14ac:dyDescent="0.35">
      <c r="X8695" s="8"/>
    </row>
    <row r="8696" spans="24:24" x14ac:dyDescent="0.35">
      <c r="X8696" s="8"/>
    </row>
    <row r="8697" spans="24:24" x14ac:dyDescent="0.35">
      <c r="X8697" s="8"/>
    </row>
    <row r="8698" spans="24:24" x14ac:dyDescent="0.35">
      <c r="X8698" s="8"/>
    </row>
    <row r="8699" spans="24:24" x14ac:dyDescent="0.35">
      <c r="X8699" s="8"/>
    </row>
    <row r="8700" spans="24:24" x14ac:dyDescent="0.35">
      <c r="X8700" s="8"/>
    </row>
    <row r="8701" spans="24:24" x14ac:dyDescent="0.35">
      <c r="X8701" s="8"/>
    </row>
    <row r="8702" spans="24:24" x14ac:dyDescent="0.35">
      <c r="X8702" s="8"/>
    </row>
    <row r="8703" spans="24:24" x14ac:dyDescent="0.35">
      <c r="X8703" s="8"/>
    </row>
    <row r="8704" spans="24:24" x14ac:dyDescent="0.35">
      <c r="X8704" s="8"/>
    </row>
    <row r="8705" spans="24:24" x14ac:dyDescent="0.35">
      <c r="X8705" s="8"/>
    </row>
    <row r="8706" spans="24:24" x14ac:dyDescent="0.35">
      <c r="X8706" s="8"/>
    </row>
    <row r="8707" spans="24:24" x14ac:dyDescent="0.35">
      <c r="X8707" s="8"/>
    </row>
    <row r="8708" spans="24:24" x14ac:dyDescent="0.35">
      <c r="X8708" s="8"/>
    </row>
    <row r="8709" spans="24:24" x14ac:dyDescent="0.35">
      <c r="X8709" s="8"/>
    </row>
    <row r="8710" spans="24:24" x14ac:dyDescent="0.35">
      <c r="X8710" s="8"/>
    </row>
    <row r="8711" spans="24:24" x14ac:dyDescent="0.35">
      <c r="X8711" s="8"/>
    </row>
    <row r="8712" spans="24:24" x14ac:dyDescent="0.35">
      <c r="X8712" s="8"/>
    </row>
    <row r="8713" spans="24:24" x14ac:dyDescent="0.35">
      <c r="X8713" s="8"/>
    </row>
    <row r="8714" spans="24:24" x14ac:dyDescent="0.35">
      <c r="X8714" s="8"/>
    </row>
    <row r="8715" spans="24:24" x14ac:dyDescent="0.35">
      <c r="X8715" s="8"/>
    </row>
    <row r="8716" spans="24:24" x14ac:dyDescent="0.35">
      <c r="X8716" s="8"/>
    </row>
    <row r="8717" spans="24:24" x14ac:dyDescent="0.35">
      <c r="X8717" s="8"/>
    </row>
    <row r="8718" spans="24:24" x14ac:dyDescent="0.35">
      <c r="X8718" s="8"/>
    </row>
    <row r="8719" spans="24:24" x14ac:dyDescent="0.35">
      <c r="X8719" s="8"/>
    </row>
    <row r="8720" spans="24:24" x14ac:dyDescent="0.35">
      <c r="X8720" s="8"/>
    </row>
    <row r="8721" spans="24:24" x14ac:dyDescent="0.35">
      <c r="X8721" s="8"/>
    </row>
    <row r="8722" spans="24:24" x14ac:dyDescent="0.35">
      <c r="X8722" s="8"/>
    </row>
    <row r="8723" spans="24:24" x14ac:dyDescent="0.35">
      <c r="X8723" s="8"/>
    </row>
    <row r="8724" spans="24:24" x14ac:dyDescent="0.35">
      <c r="X8724" s="8"/>
    </row>
    <row r="8725" spans="24:24" x14ac:dyDescent="0.35">
      <c r="X8725" s="8"/>
    </row>
    <row r="8726" spans="24:24" x14ac:dyDescent="0.35">
      <c r="X8726" s="8"/>
    </row>
    <row r="8727" spans="24:24" x14ac:dyDescent="0.35">
      <c r="X8727" s="8"/>
    </row>
    <row r="8728" spans="24:24" x14ac:dyDescent="0.35">
      <c r="X8728" s="8"/>
    </row>
    <row r="8729" spans="24:24" x14ac:dyDescent="0.35">
      <c r="X8729" s="8"/>
    </row>
    <row r="8730" spans="24:24" x14ac:dyDescent="0.35">
      <c r="X8730" s="8"/>
    </row>
    <row r="8731" spans="24:24" x14ac:dyDescent="0.35">
      <c r="X8731" s="8"/>
    </row>
    <row r="8732" spans="24:24" x14ac:dyDescent="0.35">
      <c r="X8732" s="8"/>
    </row>
    <row r="8733" spans="24:24" x14ac:dyDescent="0.35">
      <c r="X8733" s="8"/>
    </row>
    <row r="8734" spans="24:24" x14ac:dyDescent="0.35">
      <c r="X8734" s="8"/>
    </row>
    <row r="8735" spans="24:24" x14ac:dyDescent="0.35">
      <c r="X8735" s="8"/>
    </row>
    <row r="8736" spans="24:24" x14ac:dyDescent="0.35">
      <c r="X8736" s="8"/>
    </row>
    <row r="8737" spans="24:24" x14ac:dyDescent="0.35">
      <c r="X8737" s="8"/>
    </row>
    <row r="8738" spans="24:24" x14ac:dyDescent="0.35">
      <c r="X8738" s="8"/>
    </row>
    <row r="8739" spans="24:24" x14ac:dyDescent="0.35">
      <c r="X8739" s="8"/>
    </row>
    <row r="8740" spans="24:24" x14ac:dyDescent="0.35">
      <c r="X8740" s="8"/>
    </row>
    <row r="8741" spans="24:24" x14ac:dyDescent="0.35">
      <c r="X8741" s="8"/>
    </row>
    <row r="8742" spans="24:24" x14ac:dyDescent="0.35">
      <c r="X8742" s="8"/>
    </row>
    <row r="8743" spans="24:24" x14ac:dyDescent="0.35">
      <c r="X8743" s="8"/>
    </row>
    <row r="8744" spans="24:24" x14ac:dyDescent="0.35">
      <c r="X8744" s="8"/>
    </row>
    <row r="8745" spans="24:24" x14ac:dyDescent="0.35">
      <c r="X8745" s="8"/>
    </row>
    <row r="8746" spans="24:24" x14ac:dyDescent="0.35">
      <c r="X8746" s="8"/>
    </row>
    <row r="8747" spans="24:24" x14ac:dyDescent="0.35">
      <c r="X8747" s="8"/>
    </row>
    <row r="8748" spans="24:24" x14ac:dyDescent="0.35">
      <c r="X8748" s="8"/>
    </row>
    <row r="8749" spans="24:24" x14ac:dyDescent="0.35">
      <c r="X8749" s="8"/>
    </row>
    <row r="8750" spans="24:24" x14ac:dyDescent="0.35">
      <c r="X8750" s="8"/>
    </row>
    <row r="8751" spans="24:24" x14ac:dyDescent="0.35">
      <c r="X8751" s="8"/>
    </row>
    <row r="8752" spans="24:24" x14ac:dyDescent="0.35">
      <c r="X8752" s="8"/>
    </row>
    <row r="8753" spans="24:24" x14ac:dyDescent="0.35">
      <c r="X8753" s="8"/>
    </row>
    <row r="8754" spans="24:24" x14ac:dyDescent="0.35">
      <c r="X8754" s="8"/>
    </row>
    <row r="8755" spans="24:24" x14ac:dyDescent="0.35">
      <c r="X8755" s="8"/>
    </row>
    <row r="8756" spans="24:24" x14ac:dyDescent="0.35">
      <c r="X8756" s="8"/>
    </row>
    <row r="8757" spans="24:24" x14ac:dyDescent="0.35">
      <c r="X8757" s="8"/>
    </row>
    <row r="8758" spans="24:24" x14ac:dyDescent="0.35">
      <c r="X8758" s="8"/>
    </row>
    <row r="8759" spans="24:24" x14ac:dyDescent="0.35">
      <c r="X8759" s="8"/>
    </row>
    <row r="8760" spans="24:24" x14ac:dyDescent="0.35">
      <c r="X8760" s="8"/>
    </row>
    <row r="8761" spans="24:24" x14ac:dyDescent="0.35">
      <c r="X8761" s="8"/>
    </row>
    <row r="8762" spans="24:24" x14ac:dyDescent="0.35">
      <c r="X8762" s="8"/>
    </row>
    <row r="8763" spans="24:24" x14ac:dyDescent="0.35">
      <c r="X8763" s="8"/>
    </row>
    <row r="8764" spans="24:24" x14ac:dyDescent="0.35">
      <c r="X8764" s="8"/>
    </row>
    <row r="8765" spans="24:24" x14ac:dyDescent="0.35">
      <c r="X8765" s="8"/>
    </row>
    <row r="8766" spans="24:24" x14ac:dyDescent="0.35">
      <c r="X8766" s="8"/>
    </row>
    <row r="8767" spans="24:24" x14ac:dyDescent="0.35">
      <c r="X8767" s="8"/>
    </row>
    <row r="8768" spans="24:24" x14ac:dyDescent="0.35">
      <c r="X8768" s="8"/>
    </row>
    <row r="8769" spans="24:24" x14ac:dyDescent="0.35">
      <c r="X8769" s="8"/>
    </row>
    <row r="8770" spans="24:24" x14ac:dyDescent="0.35">
      <c r="X8770" s="8"/>
    </row>
    <row r="8771" spans="24:24" x14ac:dyDescent="0.35">
      <c r="X8771" s="8"/>
    </row>
    <row r="8772" spans="24:24" x14ac:dyDescent="0.35">
      <c r="X8772" s="8"/>
    </row>
    <row r="8773" spans="24:24" x14ac:dyDescent="0.35">
      <c r="X8773" s="8"/>
    </row>
    <row r="8774" spans="24:24" x14ac:dyDescent="0.35">
      <c r="X8774" s="8"/>
    </row>
    <row r="8775" spans="24:24" x14ac:dyDescent="0.35">
      <c r="X8775" s="8"/>
    </row>
    <row r="8776" spans="24:24" x14ac:dyDescent="0.35">
      <c r="X8776" s="8"/>
    </row>
    <row r="8777" spans="24:24" x14ac:dyDescent="0.35">
      <c r="X8777" s="8"/>
    </row>
    <row r="8778" spans="24:24" x14ac:dyDescent="0.35">
      <c r="X8778" s="8"/>
    </row>
    <row r="8779" spans="24:24" x14ac:dyDescent="0.35">
      <c r="X8779" s="8"/>
    </row>
    <row r="8780" spans="24:24" x14ac:dyDescent="0.35">
      <c r="X8780" s="8"/>
    </row>
    <row r="8781" spans="24:24" x14ac:dyDescent="0.35">
      <c r="X8781" s="8"/>
    </row>
    <row r="8782" spans="24:24" x14ac:dyDescent="0.35">
      <c r="X8782" s="8"/>
    </row>
    <row r="8783" spans="24:24" x14ac:dyDescent="0.35">
      <c r="X8783" s="8"/>
    </row>
    <row r="8784" spans="24:24" x14ac:dyDescent="0.35">
      <c r="X8784" s="8"/>
    </row>
    <row r="8785" spans="24:24" x14ac:dyDescent="0.35">
      <c r="X8785" s="8"/>
    </row>
    <row r="8786" spans="24:24" x14ac:dyDescent="0.35">
      <c r="X8786" s="8"/>
    </row>
    <row r="8787" spans="24:24" x14ac:dyDescent="0.35">
      <c r="X8787" s="8"/>
    </row>
    <row r="8788" spans="24:24" x14ac:dyDescent="0.35">
      <c r="X8788" s="8"/>
    </row>
    <row r="8789" spans="24:24" x14ac:dyDescent="0.35">
      <c r="X8789" s="8"/>
    </row>
    <row r="8790" spans="24:24" x14ac:dyDescent="0.35">
      <c r="X8790" s="8"/>
    </row>
    <row r="8791" spans="24:24" x14ac:dyDescent="0.35">
      <c r="X8791" s="8"/>
    </row>
    <row r="8792" spans="24:24" x14ac:dyDescent="0.35">
      <c r="X8792" s="8"/>
    </row>
    <row r="8793" spans="24:24" x14ac:dyDescent="0.35">
      <c r="X8793" s="8"/>
    </row>
    <row r="8794" spans="24:24" x14ac:dyDescent="0.35">
      <c r="X8794" s="8"/>
    </row>
    <row r="8795" spans="24:24" x14ac:dyDescent="0.35">
      <c r="X8795" s="8"/>
    </row>
    <row r="8796" spans="24:24" x14ac:dyDescent="0.35">
      <c r="X8796" s="8"/>
    </row>
    <row r="8797" spans="24:24" x14ac:dyDescent="0.35">
      <c r="X8797" s="8"/>
    </row>
    <row r="8798" spans="24:24" x14ac:dyDescent="0.35">
      <c r="X8798" s="8"/>
    </row>
    <row r="8799" spans="24:24" x14ac:dyDescent="0.35">
      <c r="X8799" s="8"/>
    </row>
    <row r="8800" spans="24:24" x14ac:dyDescent="0.35">
      <c r="X8800" s="8"/>
    </row>
    <row r="8801" spans="24:24" x14ac:dyDescent="0.35">
      <c r="X8801" s="8"/>
    </row>
    <row r="8802" spans="24:24" x14ac:dyDescent="0.35">
      <c r="X8802" s="8"/>
    </row>
    <row r="8803" spans="24:24" x14ac:dyDescent="0.35">
      <c r="X8803" s="8"/>
    </row>
    <row r="8804" spans="24:24" x14ac:dyDescent="0.35">
      <c r="X8804" s="8"/>
    </row>
    <row r="8805" spans="24:24" x14ac:dyDescent="0.35">
      <c r="X8805" s="8"/>
    </row>
    <row r="8806" spans="24:24" x14ac:dyDescent="0.35">
      <c r="X8806" s="8"/>
    </row>
    <row r="8807" spans="24:24" x14ac:dyDescent="0.35">
      <c r="X8807" s="8"/>
    </row>
    <row r="8808" spans="24:24" x14ac:dyDescent="0.35">
      <c r="X8808" s="8"/>
    </row>
    <row r="8809" spans="24:24" x14ac:dyDescent="0.35">
      <c r="X8809" s="8"/>
    </row>
    <row r="8810" spans="24:24" x14ac:dyDescent="0.35">
      <c r="X8810" s="8"/>
    </row>
    <row r="8811" spans="24:24" x14ac:dyDescent="0.35">
      <c r="X8811" s="8"/>
    </row>
    <row r="8812" spans="24:24" x14ac:dyDescent="0.35">
      <c r="X8812" s="8"/>
    </row>
    <row r="8813" spans="24:24" x14ac:dyDescent="0.35">
      <c r="X8813" s="8"/>
    </row>
    <row r="8814" spans="24:24" x14ac:dyDescent="0.35">
      <c r="X8814" s="8"/>
    </row>
    <row r="8815" spans="24:24" x14ac:dyDescent="0.35">
      <c r="X8815" s="8"/>
    </row>
    <row r="8816" spans="24:24" x14ac:dyDescent="0.35">
      <c r="X8816" s="8"/>
    </row>
    <row r="8817" spans="24:24" x14ac:dyDescent="0.35">
      <c r="X8817" s="8"/>
    </row>
    <row r="8818" spans="24:24" x14ac:dyDescent="0.35">
      <c r="X8818" s="8"/>
    </row>
    <row r="8819" spans="24:24" x14ac:dyDescent="0.35">
      <c r="X8819" s="8"/>
    </row>
    <row r="8820" spans="24:24" x14ac:dyDescent="0.35">
      <c r="X8820" s="8"/>
    </row>
    <row r="8821" spans="24:24" x14ac:dyDescent="0.35">
      <c r="X8821" s="8"/>
    </row>
    <row r="8822" spans="24:24" x14ac:dyDescent="0.35">
      <c r="X8822" s="8"/>
    </row>
    <row r="8823" spans="24:24" x14ac:dyDescent="0.35">
      <c r="X8823" s="8"/>
    </row>
    <row r="8824" spans="24:24" x14ac:dyDescent="0.35">
      <c r="X8824" s="8"/>
    </row>
    <row r="8825" spans="24:24" x14ac:dyDescent="0.35">
      <c r="X8825" s="8"/>
    </row>
    <row r="8826" spans="24:24" x14ac:dyDescent="0.35">
      <c r="X8826" s="8"/>
    </row>
    <row r="8827" spans="24:24" x14ac:dyDescent="0.35">
      <c r="X8827" s="8"/>
    </row>
    <row r="8828" spans="24:24" x14ac:dyDescent="0.35">
      <c r="X8828" s="8"/>
    </row>
    <row r="8829" spans="24:24" x14ac:dyDescent="0.35">
      <c r="X8829" s="8"/>
    </row>
    <row r="8830" spans="24:24" x14ac:dyDescent="0.35">
      <c r="X8830" s="8"/>
    </row>
    <row r="8831" spans="24:24" x14ac:dyDescent="0.35">
      <c r="X8831" s="8"/>
    </row>
    <row r="8832" spans="24:24" x14ac:dyDescent="0.35">
      <c r="X8832" s="8"/>
    </row>
    <row r="8833" spans="24:24" x14ac:dyDescent="0.35">
      <c r="X8833" s="8"/>
    </row>
    <row r="8834" spans="24:24" x14ac:dyDescent="0.35">
      <c r="X8834" s="8"/>
    </row>
    <row r="8835" spans="24:24" x14ac:dyDescent="0.35">
      <c r="X8835" s="8"/>
    </row>
    <row r="8836" spans="24:24" x14ac:dyDescent="0.35">
      <c r="X8836" s="8"/>
    </row>
    <row r="8837" spans="24:24" x14ac:dyDescent="0.35">
      <c r="X8837" s="8"/>
    </row>
    <row r="8838" spans="24:24" x14ac:dyDescent="0.35">
      <c r="X8838" s="8"/>
    </row>
    <row r="8839" spans="24:24" x14ac:dyDescent="0.35">
      <c r="X8839" s="8"/>
    </row>
    <row r="8840" spans="24:24" x14ac:dyDescent="0.35">
      <c r="X8840" s="8"/>
    </row>
    <row r="8841" spans="24:24" x14ac:dyDescent="0.35">
      <c r="X8841" s="8"/>
    </row>
    <row r="8842" spans="24:24" x14ac:dyDescent="0.35">
      <c r="X8842" s="8"/>
    </row>
    <row r="8843" spans="24:24" x14ac:dyDescent="0.35">
      <c r="X8843" s="8"/>
    </row>
    <row r="8844" spans="24:24" x14ac:dyDescent="0.35">
      <c r="X8844" s="8"/>
    </row>
    <row r="8845" spans="24:24" x14ac:dyDescent="0.35">
      <c r="X8845" s="8"/>
    </row>
    <row r="8846" spans="24:24" x14ac:dyDescent="0.35">
      <c r="X8846" s="8"/>
    </row>
    <row r="8847" spans="24:24" x14ac:dyDescent="0.35">
      <c r="X8847" s="8"/>
    </row>
    <row r="8848" spans="24:24" x14ac:dyDescent="0.35">
      <c r="X8848" s="8"/>
    </row>
    <row r="8849" spans="24:24" x14ac:dyDescent="0.35">
      <c r="X8849" s="8"/>
    </row>
    <row r="8850" spans="24:24" x14ac:dyDescent="0.35">
      <c r="X8850" s="8"/>
    </row>
    <row r="8851" spans="24:24" x14ac:dyDescent="0.35">
      <c r="X8851" s="8"/>
    </row>
    <row r="8852" spans="24:24" x14ac:dyDescent="0.35">
      <c r="X8852" s="8"/>
    </row>
    <row r="8853" spans="24:24" x14ac:dyDescent="0.35">
      <c r="X8853" s="8"/>
    </row>
    <row r="8854" spans="24:24" x14ac:dyDescent="0.35">
      <c r="X8854" s="8"/>
    </row>
    <row r="8855" spans="24:24" x14ac:dyDescent="0.35">
      <c r="X8855" s="8"/>
    </row>
    <row r="8856" spans="24:24" x14ac:dyDescent="0.35">
      <c r="X8856" s="8"/>
    </row>
    <row r="8857" spans="24:24" x14ac:dyDescent="0.35">
      <c r="X8857" s="8"/>
    </row>
    <row r="8858" spans="24:24" x14ac:dyDescent="0.35">
      <c r="X8858" s="8"/>
    </row>
    <row r="8859" spans="24:24" x14ac:dyDescent="0.35">
      <c r="X8859" s="8"/>
    </row>
    <row r="8860" spans="24:24" x14ac:dyDescent="0.35">
      <c r="X8860" s="8"/>
    </row>
    <row r="8861" spans="24:24" x14ac:dyDescent="0.35">
      <c r="X8861" s="8"/>
    </row>
    <row r="8862" spans="24:24" x14ac:dyDescent="0.35">
      <c r="X8862" s="8"/>
    </row>
    <row r="8863" spans="24:24" x14ac:dyDescent="0.35">
      <c r="X8863" s="8"/>
    </row>
    <row r="8864" spans="24:24" x14ac:dyDescent="0.35">
      <c r="X8864" s="8"/>
    </row>
    <row r="8865" spans="24:24" x14ac:dyDescent="0.35">
      <c r="X8865" s="8"/>
    </row>
    <row r="8866" spans="24:24" x14ac:dyDescent="0.35">
      <c r="X8866" s="8"/>
    </row>
    <row r="8867" spans="24:24" x14ac:dyDescent="0.35">
      <c r="X8867" s="8"/>
    </row>
    <row r="8868" spans="24:24" x14ac:dyDescent="0.35">
      <c r="X8868" s="8"/>
    </row>
    <row r="8869" spans="24:24" x14ac:dyDescent="0.35">
      <c r="X8869" s="8"/>
    </row>
    <row r="8870" spans="24:24" x14ac:dyDescent="0.35">
      <c r="X8870" s="8"/>
    </row>
    <row r="8871" spans="24:24" x14ac:dyDescent="0.35">
      <c r="X8871" s="8"/>
    </row>
    <row r="8872" spans="24:24" x14ac:dyDescent="0.35">
      <c r="X8872" s="8"/>
    </row>
    <row r="8873" spans="24:24" x14ac:dyDescent="0.35">
      <c r="X8873" s="8"/>
    </row>
    <row r="8874" spans="24:24" x14ac:dyDescent="0.35">
      <c r="X8874" s="8"/>
    </row>
    <row r="8875" spans="24:24" x14ac:dyDescent="0.35">
      <c r="X8875" s="8"/>
    </row>
    <row r="8876" spans="24:24" x14ac:dyDescent="0.35">
      <c r="X8876" s="8"/>
    </row>
    <row r="8877" spans="24:24" x14ac:dyDescent="0.35">
      <c r="X8877" s="8"/>
    </row>
    <row r="8878" spans="24:24" x14ac:dyDescent="0.35">
      <c r="X8878" s="8"/>
    </row>
    <row r="8879" spans="24:24" x14ac:dyDescent="0.35">
      <c r="X8879" s="8"/>
    </row>
    <row r="8880" spans="24:24" x14ac:dyDescent="0.35">
      <c r="X8880" s="8"/>
    </row>
    <row r="8881" spans="24:24" x14ac:dyDescent="0.35">
      <c r="X8881" s="8"/>
    </row>
    <row r="8882" spans="24:24" x14ac:dyDescent="0.35">
      <c r="X8882" s="8"/>
    </row>
    <row r="8883" spans="24:24" x14ac:dyDescent="0.35">
      <c r="X8883" s="8"/>
    </row>
    <row r="8884" spans="24:24" x14ac:dyDescent="0.35">
      <c r="X8884" s="8"/>
    </row>
    <row r="8885" spans="24:24" x14ac:dyDescent="0.35">
      <c r="X8885" s="8"/>
    </row>
    <row r="8886" spans="24:24" x14ac:dyDescent="0.35">
      <c r="X8886" s="8"/>
    </row>
    <row r="8887" spans="24:24" x14ac:dyDescent="0.35">
      <c r="X8887" s="8"/>
    </row>
    <row r="8888" spans="24:24" x14ac:dyDescent="0.35">
      <c r="X8888" s="8"/>
    </row>
    <row r="8889" spans="24:24" x14ac:dyDescent="0.35">
      <c r="X8889" s="8"/>
    </row>
    <row r="8890" spans="24:24" x14ac:dyDescent="0.35">
      <c r="X8890" s="8"/>
    </row>
    <row r="8891" spans="24:24" x14ac:dyDescent="0.35">
      <c r="X8891" s="8"/>
    </row>
    <row r="8892" spans="24:24" x14ac:dyDescent="0.35">
      <c r="X8892" s="8"/>
    </row>
    <row r="8893" spans="24:24" x14ac:dyDescent="0.35">
      <c r="X8893" s="8"/>
    </row>
    <row r="8894" spans="24:24" x14ac:dyDescent="0.35">
      <c r="X8894" s="8"/>
    </row>
    <row r="8895" spans="24:24" x14ac:dyDescent="0.35">
      <c r="X8895" s="8"/>
    </row>
    <row r="8896" spans="24:24" x14ac:dyDescent="0.35">
      <c r="X8896" s="8"/>
    </row>
    <row r="8897" spans="24:24" x14ac:dyDescent="0.35">
      <c r="X8897" s="8"/>
    </row>
    <row r="8898" spans="24:24" x14ac:dyDescent="0.35">
      <c r="X8898" s="8"/>
    </row>
    <row r="8899" spans="24:24" x14ac:dyDescent="0.35">
      <c r="X8899" s="8"/>
    </row>
    <row r="8900" spans="24:24" x14ac:dyDescent="0.35">
      <c r="X8900" s="8"/>
    </row>
    <row r="8901" spans="24:24" x14ac:dyDescent="0.35">
      <c r="X8901" s="8"/>
    </row>
    <row r="8902" spans="24:24" x14ac:dyDescent="0.35">
      <c r="X8902" s="8"/>
    </row>
    <row r="8903" spans="24:24" x14ac:dyDescent="0.35">
      <c r="X8903" s="8"/>
    </row>
    <row r="8904" spans="24:24" x14ac:dyDescent="0.35">
      <c r="X8904" s="8"/>
    </row>
    <row r="8905" spans="24:24" x14ac:dyDescent="0.35">
      <c r="X8905" s="8"/>
    </row>
    <row r="8906" spans="24:24" x14ac:dyDescent="0.35">
      <c r="X8906" s="8"/>
    </row>
    <row r="8907" spans="24:24" x14ac:dyDescent="0.35">
      <c r="X8907" s="8"/>
    </row>
    <row r="8908" spans="24:24" x14ac:dyDescent="0.35">
      <c r="X8908" s="8"/>
    </row>
    <row r="8909" spans="24:24" x14ac:dyDescent="0.35">
      <c r="X8909" s="8"/>
    </row>
    <row r="8910" spans="24:24" x14ac:dyDescent="0.35">
      <c r="X8910" s="8"/>
    </row>
    <row r="8911" spans="24:24" x14ac:dyDescent="0.35">
      <c r="X8911" s="8"/>
    </row>
    <row r="8912" spans="24:24" x14ac:dyDescent="0.35">
      <c r="X8912" s="8"/>
    </row>
    <row r="8913" spans="24:24" x14ac:dyDescent="0.35">
      <c r="X8913" s="8"/>
    </row>
    <row r="8914" spans="24:24" x14ac:dyDescent="0.35">
      <c r="X8914" s="8"/>
    </row>
    <row r="8915" spans="24:24" x14ac:dyDescent="0.35">
      <c r="X8915" s="8"/>
    </row>
    <row r="8916" spans="24:24" x14ac:dyDescent="0.35">
      <c r="X8916" s="8"/>
    </row>
    <row r="8917" spans="24:24" x14ac:dyDescent="0.35">
      <c r="X8917" s="8"/>
    </row>
    <row r="8918" spans="24:24" x14ac:dyDescent="0.35">
      <c r="X8918" s="8"/>
    </row>
    <row r="8919" spans="24:24" x14ac:dyDescent="0.35">
      <c r="X8919" s="8"/>
    </row>
    <row r="8920" spans="24:24" x14ac:dyDescent="0.35">
      <c r="X8920" s="8"/>
    </row>
    <row r="8921" spans="24:24" x14ac:dyDescent="0.35">
      <c r="X8921" s="8"/>
    </row>
    <row r="8922" spans="24:24" x14ac:dyDescent="0.35">
      <c r="X8922" s="8"/>
    </row>
    <row r="8923" spans="24:24" x14ac:dyDescent="0.35">
      <c r="X8923" s="8"/>
    </row>
    <row r="8924" spans="24:24" x14ac:dyDescent="0.35">
      <c r="X8924" s="8"/>
    </row>
    <row r="8925" spans="24:24" x14ac:dyDescent="0.35">
      <c r="X8925" s="8"/>
    </row>
    <row r="8926" spans="24:24" x14ac:dyDescent="0.35">
      <c r="X8926" s="8"/>
    </row>
    <row r="8927" spans="24:24" x14ac:dyDescent="0.35">
      <c r="X8927" s="8"/>
    </row>
    <row r="8928" spans="24:24" x14ac:dyDescent="0.35">
      <c r="X8928" s="8"/>
    </row>
    <row r="8929" spans="24:24" x14ac:dyDescent="0.35">
      <c r="X8929" s="8"/>
    </row>
    <row r="8930" spans="24:24" x14ac:dyDescent="0.35">
      <c r="X8930" s="8"/>
    </row>
    <row r="8931" spans="24:24" x14ac:dyDescent="0.35">
      <c r="X8931" s="8"/>
    </row>
    <row r="8932" spans="24:24" x14ac:dyDescent="0.35">
      <c r="X8932" s="8"/>
    </row>
    <row r="8933" spans="24:24" x14ac:dyDescent="0.35">
      <c r="X8933" s="8"/>
    </row>
    <row r="8934" spans="24:24" x14ac:dyDescent="0.35">
      <c r="X8934" s="8"/>
    </row>
    <row r="8935" spans="24:24" x14ac:dyDescent="0.35">
      <c r="X8935" s="8"/>
    </row>
    <row r="8936" spans="24:24" x14ac:dyDescent="0.35">
      <c r="X8936" s="8"/>
    </row>
    <row r="8937" spans="24:24" x14ac:dyDescent="0.35">
      <c r="X8937" s="8"/>
    </row>
    <row r="8938" spans="24:24" x14ac:dyDescent="0.35">
      <c r="X8938" s="8"/>
    </row>
    <row r="8939" spans="24:24" x14ac:dyDescent="0.35">
      <c r="X8939" s="8"/>
    </row>
    <row r="8940" spans="24:24" x14ac:dyDescent="0.35">
      <c r="X8940" s="8"/>
    </row>
    <row r="8941" spans="24:24" x14ac:dyDescent="0.35">
      <c r="X8941" s="8"/>
    </row>
    <row r="8942" spans="24:24" x14ac:dyDescent="0.35">
      <c r="X8942" s="8"/>
    </row>
    <row r="8943" spans="24:24" x14ac:dyDescent="0.35">
      <c r="X8943" s="8"/>
    </row>
    <row r="8944" spans="24:24" x14ac:dyDescent="0.35">
      <c r="X8944" s="8"/>
    </row>
    <row r="8945" spans="24:24" x14ac:dyDescent="0.35">
      <c r="X8945" s="8"/>
    </row>
    <row r="8946" spans="24:24" x14ac:dyDescent="0.35">
      <c r="X8946" s="8"/>
    </row>
    <row r="8947" spans="24:24" x14ac:dyDescent="0.35">
      <c r="X8947" s="8"/>
    </row>
    <row r="8948" spans="24:24" x14ac:dyDescent="0.35">
      <c r="X8948" s="8"/>
    </row>
    <row r="8949" spans="24:24" x14ac:dyDescent="0.35">
      <c r="X8949" s="8"/>
    </row>
    <row r="8950" spans="24:24" x14ac:dyDescent="0.35">
      <c r="X8950" s="8"/>
    </row>
    <row r="8951" spans="24:24" x14ac:dyDescent="0.35">
      <c r="X8951" s="8"/>
    </row>
    <row r="8952" spans="24:24" x14ac:dyDescent="0.35">
      <c r="X8952" s="8"/>
    </row>
    <row r="8953" spans="24:24" x14ac:dyDescent="0.35">
      <c r="X8953" s="8"/>
    </row>
    <row r="8954" spans="24:24" x14ac:dyDescent="0.35">
      <c r="X8954" s="8"/>
    </row>
    <row r="8955" spans="24:24" x14ac:dyDescent="0.35">
      <c r="X8955" s="8"/>
    </row>
    <row r="8956" spans="24:24" x14ac:dyDescent="0.35">
      <c r="X8956" s="8"/>
    </row>
    <row r="8957" spans="24:24" x14ac:dyDescent="0.35">
      <c r="X8957" s="8"/>
    </row>
    <row r="8958" spans="24:24" x14ac:dyDescent="0.35">
      <c r="X8958" s="8"/>
    </row>
    <row r="8959" spans="24:24" x14ac:dyDescent="0.35">
      <c r="X8959" s="8"/>
    </row>
    <row r="8960" spans="24:24" x14ac:dyDescent="0.35">
      <c r="X8960" s="8"/>
    </row>
    <row r="8961" spans="24:24" x14ac:dyDescent="0.35">
      <c r="X8961" s="8"/>
    </row>
    <row r="8962" spans="24:24" x14ac:dyDescent="0.35">
      <c r="X8962" s="8"/>
    </row>
    <row r="8963" spans="24:24" x14ac:dyDescent="0.35">
      <c r="X8963" s="8"/>
    </row>
    <row r="8964" spans="24:24" x14ac:dyDescent="0.35">
      <c r="X8964" s="8"/>
    </row>
    <row r="8965" spans="24:24" x14ac:dyDescent="0.35">
      <c r="X8965" s="8"/>
    </row>
    <row r="8966" spans="24:24" x14ac:dyDescent="0.35">
      <c r="X8966" s="8"/>
    </row>
    <row r="8967" spans="24:24" x14ac:dyDescent="0.35">
      <c r="X8967" s="8"/>
    </row>
    <row r="8968" spans="24:24" x14ac:dyDescent="0.35">
      <c r="X8968" s="8"/>
    </row>
    <row r="8969" spans="24:24" x14ac:dyDescent="0.35">
      <c r="X8969" s="8"/>
    </row>
    <row r="8970" spans="24:24" x14ac:dyDescent="0.35">
      <c r="X8970" s="8"/>
    </row>
    <row r="8971" spans="24:24" x14ac:dyDescent="0.35">
      <c r="X8971" s="8"/>
    </row>
    <row r="8972" spans="24:24" x14ac:dyDescent="0.35">
      <c r="X8972" s="8"/>
    </row>
    <row r="8973" spans="24:24" x14ac:dyDescent="0.35">
      <c r="X8973" s="8"/>
    </row>
    <row r="8974" spans="24:24" x14ac:dyDescent="0.35">
      <c r="X8974" s="8"/>
    </row>
    <row r="8975" spans="24:24" x14ac:dyDescent="0.35">
      <c r="X8975" s="8"/>
    </row>
    <row r="8976" spans="24:24" x14ac:dyDescent="0.35">
      <c r="X8976" s="8"/>
    </row>
    <row r="8977" spans="24:24" x14ac:dyDescent="0.35">
      <c r="X8977" s="8"/>
    </row>
    <row r="8978" spans="24:24" x14ac:dyDescent="0.35">
      <c r="X8978" s="8"/>
    </row>
    <row r="8979" spans="24:24" x14ac:dyDescent="0.35">
      <c r="X8979" s="8"/>
    </row>
    <row r="8980" spans="24:24" x14ac:dyDescent="0.35">
      <c r="X8980" s="8"/>
    </row>
    <row r="8981" spans="24:24" x14ac:dyDescent="0.35">
      <c r="X8981" s="8"/>
    </row>
    <row r="8982" spans="24:24" x14ac:dyDescent="0.35">
      <c r="X8982" s="8"/>
    </row>
    <row r="8983" spans="24:24" x14ac:dyDescent="0.35">
      <c r="X8983" s="8"/>
    </row>
    <row r="8984" spans="24:24" x14ac:dyDescent="0.35">
      <c r="X8984" s="8"/>
    </row>
    <row r="8985" spans="24:24" x14ac:dyDescent="0.35">
      <c r="X8985" s="8"/>
    </row>
    <row r="8986" spans="24:24" x14ac:dyDescent="0.35">
      <c r="X8986" s="8"/>
    </row>
    <row r="8987" spans="24:24" x14ac:dyDescent="0.35">
      <c r="X8987" s="8"/>
    </row>
    <row r="8988" spans="24:24" x14ac:dyDescent="0.35">
      <c r="X8988" s="8"/>
    </row>
    <row r="8989" spans="24:24" x14ac:dyDescent="0.35">
      <c r="X8989" s="8"/>
    </row>
    <row r="8990" spans="24:24" x14ac:dyDescent="0.35">
      <c r="X8990" s="8"/>
    </row>
    <row r="8991" spans="24:24" x14ac:dyDescent="0.35">
      <c r="X8991" s="8"/>
    </row>
    <row r="8992" spans="24:24" x14ac:dyDescent="0.35">
      <c r="X8992" s="8"/>
    </row>
    <row r="8993" spans="24:24" x14ac:dyDescent="0.35">
      <c r="X8993" s="8"/>
    </row>
    <row r="8994" spans="24:24" x14ac:dyDescent="0.35">
      <c r="X8994" s="8"/>
    </row>
    <row r="8995" spans="24:24" x14ac:dyDescent="0.35">
      <c r="X8995" s="8"/>
    </row>
    <row r="8996" spans="24:24" x14ac:dyDescent="0.35">
      <c r="X8996" s="8"/>
    </row>
    <row r="8997" spans="24:24" x14ac:dyDescent="0.35">
      <c r="X8997" s="8"/>
    </row>
    <row r="8998" spans="24:24" x14ac:dyDescent="0.35">
      <c r="X8998" s="8"/>
    </row>
    <row r="8999" spans="24:24" x14ac:dyDescent="0.35">
      <c r="X8999" s="8"/>
    </row>
    <row r="9000" spans="24:24" x14ac:dyDescent="0.35">
      <c r="X9000" s="8"/>
    </row>
    <row r="9001" spans="24:24" x14ac:dyDescent="0.35">
      <c r="X9001" s="8"/>
    </row>
    <row r="9002" spans="24:24" x14ac:dyDescent="0.35">
      <c r="X9002" s="8"/>
    </row>
    <row r="9003" spans="24:24" x14ac:dyDescent="0.35">
      <c r="X9003" s="8"/>
    </row>
    <row r="9004" spans="24:24" x14ac:dyDescent="0.35">
      <c r="X9004" s="8"/>
    </row>
    <row r="9005" spans="24:24" x14ac:dyDescent="0.35">
      <c r="X9005" s="8"/>
    </row>
    <row r="9006" spans="24:24" x14ac:dyDescent="0.35">
      <c r="X9006" s="8"/>
    </row>
    <row r="9007" spans="24:24" x14ac:dyDescent="0.35">
      <c r="X9007" s="8"/>
    </row>
    <row r="9008" spans="24:24" x14ac:dyDescent="0.35">
      <c r="X9008" s="8"/>
    </row>
    <row r="9009" spans="24:24" x14ac:dyDescent="0.35">
      <c r="X9009" s="8"/>
    </row>
    <row r="9010" spans="24:24" x14ac:dyDescent="0.35">
      <c r="X9010" s="8"/>
    </row>
    <row r="9011" spans="24:24" x14ac:dyDescent="0.35">
      <c r="X9011" s="8"/>
    </row>
    <row r="9012" spans="24:24" x14ac:dyDescent="0.35">
      <c r="X9012" s="8"/>
    </row>
    <row r="9013" spans="24:24" x14ac:dyDescent="0.35">
      <c r="X9013" s="8"/>
    </row>
    <row r="9014" spans="24:24" x14ac:dyDescent="0.35">
      <c r="X9014" s="8"/>
    </row>
    <row r="9015" spans="24:24" x14ac:dyDescent="0.35">
      <c r="X9015" s="8"/>
    </row>
    <row r="9016" spans="24:24" x14ac:dyDescent="0.35">
      <c r="X9016" s="8"/>
    </row>
    <row r="9017" spans="24:24" x14ac:dyDescent="0.35">
      <c r="X9017" s="8"/>
    </row>
    <row r="9018" spans="24:24" x14ac:dyDescent="0.35">
      <c r="X9018" s="8"/>
    </row>
    <row r="9019" spans="24:24" x14ac:dyDescent="0.35">
      <c r="X9019" s="8"/>
    </row>
    <row r="9020" spans="24:24" x14ac:dyDescent="0.35">
      <c r="X9020" s="8"/>
    </row>
    <row r="9021" spans="24:24" x14ac:dyDescent="0.35">
      <c r="X9021" s="8"/>
    </row>
    <row r="9022" spans="24:24" x14ac:dyDescent="0.35">
      <c r="X9022" s="8"/>
    </row>
    <row r="9023" spans="24:24" x14ac:dyDescent="0.35">
      <c r="X9023" s="8"/>
    </row>
    <row r="9024" spans="24:24" x14ac:dyDescent="0.35">
      <c r="X9024" s="8"/>
    </row>
    <row r="9025" spans="24:24" x14ac:dyDescent="0.35">
      <c r="X9025" s="8"/>
    </row>
    <row r="9026" spans="24:24" x14ac:dyDescent="0.35">
      <c r="X9026" s="8"/>
    </row>
    <row r="9027" spans="24:24" x14ac:dyDescent="0.35">
      <c r="X9027" s="8"/>
    </row>
    <row r="9028" spans="24:24" x14ac:dyDescent="0.35">
      <c r="X9028" s="8"/>
    </row>
    <row r="9029" spans="24:24" x14ac:dyDescent="0.35">
      <c r="X9029" s="8"/>
    </row>
    <row r="9030" spans="24:24" x14ac:dyDescent="0.35">
      <c r="X9030" s="8"/>
    </row>
    <row r="9031" spans="24:24" x14ac:dyDescent="0.35">
      <c r="X9031" s="8"/>
    </row>
    <row r="9032" spans="24:24" x14ac:dyDescent="0.35">
      <c r="X9032" s="8"/>
    </row>
    <row r="9033" spans="24:24" x14ac:dyDescent="0.35">
      <c r="X9033" s="8"/>
    </row>
    <row r="9034" spans="24:24" x14ac:dyDescent="0.35">
      <c r="X9034" s="8"/>
    </row>
    <row r="9035" spans="24:24" x14ac:dyDescent="0.35">
      <c r="X9035" s="8"/>
    </row>
    <row r="9036" spans="24:24" x14ac:dyDescent="0.35">
      <c r="X9036" s="8"/>
    </row>
    <row r="9037" spans="24:24" x14ac:dyDescent="0.35">
      <c r="X9037" s="8"/>
    </row>
    <row r="9038" spans="24:24" x14ac:dyDescent="0.35">
      <c r="X9038" s="8"/>
    </row>
    <row r="9039" spans="24:24" x14ac:dyDescent="0.35">
      <c r="X9039" s="8"/>
    </row>
    <row r="9040" spans="24:24" x14ac:dyDescent="0.35">
      <c r="X9040" s="8"/>
    </row>
    <row r="9041" spans="24:24" x14ac:dyDescent="0.35">
      <c r="X9041" s="8"/>
    </row>
    <row r="9042" spans="24:24" x14ac:dyDescent="0.35">
      <c r="X9042" s="8"/>
    </row>
    <row r="9043" spans="24:24" x14ac:dyDescent="0.35">
      <c r="X9043" s="8"/>
    </row>
    <row r="9044" spans="24:24" x14ac:dyDescent="0.35">
      <c r="X9044" s="8"/>
    </row>
    <row r="9045" spans="24:24" x14ac:dyDescent="0.35">
      <c r="X9045" s="8"/>
    </row>
    <row r="9046" spans="24:24" x14ac:dyDescent="0.35">
      <c r="X9046" s="8"/>
    </row>
    <row r="9047" spans="24:24" x14ac:dyDescent="0.35">
      <c r="X9047" s="8"/>
    </row>
    <row r="9048" spans="24:24" x14ac:dyDescent="0.35">
      <c r="X9048" s="8"/>
    </row>
    <row r="9049" spans="24:24" x14ac:dyDescent="0.35">
      <c r="X9049" s="8"/>
    </row>
    <row r="9050" spans="24:24" x14ac:dyDescent="0.35">
      <c r="X9050" s="8"/>
    </row>
    <row r="9051" spans="24:24" x14ac:dyDescent="0.35">
      <c r="X9051" s="8"/>
    </row>
    <row r="9052" spans="24:24" x14ac:dyDescent="0.35">
      <c r="X9052" s="8"/>
    </row>
    <row r="9053" spans="24:24" x14ac:dyDescent="0.35">
      <c r="X9053" s="8"/>
    </row>
    <row r="9054" spans="24:24" x14ac:dyDescent="0.35">
      <c r="X9054" s="8"/>
    </row>
    <row r="9055" spans="24:24" x14ac:dyDescent="0.35">
      <c r="X9055" s="8"/>
    </row>
    <row r="9056" spans="24:24" x14ac:dyDescent="0.35">
      <c r="X9056" s="8"/>
    </row>
    <row r="9057" spans="24:24" x14ac:dyDescent="0.35">
      <c r="X9057" s="8"/>
    </row>
    <row r="9058" spans="24:24" x14ac:dyDescent="0.35">
      <c r="X9058" s="8"/>
    </row>
    <row r="9059" spans="24:24" x14ac:dyDescent="0.35">
      <c r="X9059" s="8"/>
    </row>
    <row r="9060" spans="24:24" x14ac:dyDescent="0.35">
      <c r="X9060" s="8"/>
    </row>
    <row r="9061" spans="24:24" x14ac:dyDescent="0.35">
      <c r="X9061" s="8"/>
    </row>
    <row r="9062" spans="24:24" x14ac:dyDescent="0.35">
      <c r="X9062" s="8"/>
    </row>
    <row r="9063" spans="24:24" x14ac:dyDescent="0.35">
      <c r="X9063" s="8"/>
    </row>
    <row r="9064" spans="24:24" x14ac:dyDescent="0.35">
      <c r="X9064" s="8"/>
    </row>
    <row r="9065" spans="24:24" x14ac:dyDescent="0.35">
      <c r="X9065" s="8"/>
    </row>
    <row r="9066" spans="24:24" x14ac:dyDescent="0.35">
      <c r="X9066" s="8"/>
    </row>
    <row r="9067" spans="24:24" x14ac:dyDescent="0.35">
      <c r="X9067" s="8"/>
    </row>
    <row r="9068" spans="24:24" x14ac:dyDescent="0.35">
      <c r="X9068" s="8"/>
    </row>
    <row r="9069" spans="24:24" x14ac:dyDescent="0.35">
      <c r="X9069" s="8"/>
    </row>
    <row r="9070" spans="24:24" x14ac:dyDescent="0.35">
      <c r="X9070" s="8"/>
    </row>
    <row r="9071" spans="24:24" x14ac:dyDescent="0.35">
      <c r="X9071" s="8"/>
    </row>
    <row r="9072" spans="24:24" x14ac:dyDescent="0.35">
      <c r="X9072" s="8"/>
    </row>
    <row r="9073" spans="24:24" x14ac:dyDescent="0.35">
      <c r="X9073" s="8"/>
    </row>
    <row r="9074" spans="24:24" x14ac:dyDescent="0.35">
      <c r="X9074" s="8"/>
    </row>
    <row r="9075" spans="24:24" x14ac:dyDescent="0.35">
      <c r="X9075" s="8"/>
    </row>
    <row r="9076" spans="24:24" x14ac:dyDescent="0.35">
      <c r="X9076" s="8"/>
    </row>
    <row r="9077" spans="24:24" x14ac:dyDescent="0.35">
      <c r="X9077" s="8"/>
    </row>
    <row r="9078" spans="24:24" x14ac:dyDescent="0.35">
      <c r="X9078" s="8"/>
    </row>
    <row r="9079" spans="24:24" x14ac:dyDescent="0.35">
      <c r="X9079" s="8"/>
    </row>
    <row r="9080" spans="24:24" x14ac:dyDescent="0.35">
      <c r="X9080" s="8"/>
    </row>
    <row r="9081" spans="24:24" x14ac:dyDescent="0.35">
      <c r="X9081" s="8"/>
    </row>
    <row r="9082" spans="24:24" x14ac:dyDescent="0.35">
      <c r="X9082" s="8"/>
    </row>
    <row r="9083" spans="24:24" x14ac:dyDescent="0.35">
      <c r="X9083" s="8"/>
    </row>
    <row r="9084" spans="24:24" x14ac:dyDescent="0.35">
      <c r="X9084" s="8"/>
    </row>
    <row r="9085" spans="24:24" x14ac:dyDescent="0.35">
      <c r="X9085" s="8"/>
    </row>
    <row r="9086" spans="24:24" x14ac:dyDescent="0.35">
      <c r="X9086" s="8"/>
    </row>
    <row r="9087" spans="24:24" x14ac:dyDescent="0.35">
      <c r="X9087" s="8"/>
    </row>
    <row r="9088" spans="24:24" x14ac:dyDescent="0.35">
      <c r="X9088" s="8"/>
    </row>
    <row r="9089" spans="24:24" x14ac:dyDescent="0.35">
      <c r="X9089" s="8"/>
    </row>
    <row r="9090" spans="24:24" x14ac:dyDescent="0.35">
      <c r="X9090" s="8"/>
    </row>
    <row r="9091" spans="24:24" x14ac:dyDescent="0.35">
      <c r="X9091" s="8"/>
    </row>
    <row r="9092" spans="24:24" x14ac:dyDescent="0.35">
      <c r="X9092" s="8"/>
    </row>
    <row r="9093" spans="24:24" x14ac:dyDescent="0.35">
      <c r="X9093" s="8"/>
    </row>
    <row r="9094" spans="24:24" x14ac:dyDescent="0.35">
      <c r="X9094" s="8"/>
    </row>
    <row r="9095" spans="24:24" x14ac:dyDescent="0.35">
      <c r="X9095" s="8"/>
    </row>
    <row r="9096" spans="24:24" x14ac:dyDescent="0.35">
      <c r="X9096" s="8"/>
    </row>
    <row r="9097" spans="24:24" x14ac:dyDescent="0.35">
      <c r="X9097" s="8"/>
    </row>
    <row r="9098" spans="24:24" x14ac:dyDescent="0.35">
      <c r="X9098" s="8"/>
    </row>
    <row r="9099" spans="24:24" x14ac:dyDescent="0.35">
      <c r="X9099" s="8"/>
    </row>
    <row r="9100" spans="24:24" x14ac:dyDescent="0.35">
      <c r="X9100" s="8"/>
    </row>
    <row r="9101" spans="24:24" x14ac:dyDescent="0.35">
      <c r="X9101" s="8"/>
    </row>
    <row r="9102" spans="24:24" x14ac:dyDescent="0.35">
      <c r="X9102" s="8"/>
    </row>
    <row r="9103" spans="24:24" x14ac:dyDescent="0.35">
      <c r="X9103" s="8"/>
    </row>
    <row r="9104" spans="24:24" x14ac:dyDescent="0.35">
      <c r="X9104" s="8"/>
    </row>
    <row r="9105" spans="24:24" x14ac:dyDescent="0.35">
      <c r="X9105" s="8"/>
    </row>
    <row r="9106" spans="24:24" x14ac:dyDescent="0.35">
      <c r="X9106" s="8"/>
    </row>
    <row r="9107" spans="24:24" x14ac:dyDescent="0.35">
      <c r="X9107" s="8"/>
    </row>
    <row r="9108" spans="24:24" x14ac:dyDescent="0.35">
      <c r="X9108" s="8"/>
    </row>
    <row r="9109" spans="24:24" x14ac:dyDescent="0.35">
      <c r="X9109" s="8"/>
    </row>
    <row r="9110" spans="24:24" x14ac:dyDescent="0.35">
      <c r="X9110" s="8"/>
    </row>
    <row r="9111" spans="24:24" x14ac:dyDescent="0.35">
      <c r="X9111" s="8"/>
    </row>
    <row r="9112" spans="24:24" x14ac:dyDescent="0.35">
      <c r="X9112" s="8"/>
    </row>
    <row r="9113" spans="24:24" x14ac:dyDescent="0.35">
      <c r="X9113" s="8"/>
    </row>
    <row r="9114" spans="24:24" x14ac:dyDescent="0.35">
      <c r="X9114" s="8"/>
    </row>
    <row r="9115" spans="24:24" x14ac:dyDescent="0.35">
      <c r="X9115" s="8"/>
    </row>
    <row r="9116" spans="24:24" x14ac:dyDescent="0.35">
      <c r="X9116" s="8"/>
    </row>
    <row r="9117" spans="24:24" x14ac:dyDescent="0.35">
      <c r="X9117" s="8"/>
    </row>
    <row r="9118" spans="24:24" x14ac:dyDescent="0.35">
      <c r="X9118" s="8"/>
    </row>
    <row r="9119" spans="24:24" x14ac:dyDescent="0.35">
      <c r="X9119" s="8"/>
    </row>
    <row r="9120" spans="24:24" x14ac:dyDescent="0.35">
      <c r="X9120" s="8"/>
    </row>
    <row r="9121" spans="24:24" x14ac:dyDescent="0.35">
      <c r="X9121" s="8"/>
    </row>
    <row r="9122" spans="24:24" x14ac:dyDescent="0.35">
      <c r="X9122" s="8"/>
    </row>
    <row r="9123" spans="24:24" x14ac:dyDescent="0.35">
      <c r="X9123" s="8"/>
    </row>
    <row r="9124" spans="24:24" x14ac:dyDescent="0.35">
      <c r="X9124" s="8"/>
    </row>
    <row r="9125" spans="24:24" x14ac:dyDescent="0.35">
      <c r="X9125" s="8"/>
    </row>
    <row r="9126" spans="24:24" x14ac:dyDescent="0.35">
      <c r="X9126" s="8"/>
    </row>
    <row r="9127" spans="24:24" x14ac:dyDescent="0.35">
      <c r="X9127" s="8"/>
    </row>
    <row r="9128" spans="24:24" x14ac:dyDescent="0.35">
      <c r="X9128" s="8"/>
    </row>
    <row r="9129" spans="24:24" x14ac:dyDescent="0.35">
      <c r="X9129" s="8"/>
    </row>
    <row r="9130" spans="24:24" x14ac:dyDescent="0.35">
      <c r="X9130" s="8"/>
    </row>
    <row r="9131" spans="24:24" x14ac:dyDescent="0.35">
      <c r="X9131" s="8"/>
    </row>
    <row r="9132" spans="24:24" x14ac:dyDescent="0.35">
      <c r="X9132" s="8"/>
    </row>
    <row r="9133" spans="24:24" x14ac:dyDescent="0.35">
      <c r="X9133" s="8"/>
    </row>
    <row r="9134" spans="24:24" x14ac:dyDescent="0.35">
      <c r="X9134" s="8"/>
    </row>
    <row r="9135" spans="24:24" x14ac:dyDescent="0.35">
      <c r="X9135" s="8"/>
    </row>
    <row r="9136" spans="24:24" x14ac:dyDescent="0.35">
      <c r="X9136" s="8"/>
    </row>
    <row r="9137" spans="24:24" x14ac:dyDescent="0.35">
      <c r="X9137" s="8"/>
    </row>
    <row r="9138" spans="24:24" x14ac:dyDescent="0.35">
      <c r="X9138" s="8"/>
    </row>
    <row r="9139" spans="24:24" x14ac:dyDescent="0.35">
      <c r="X9139" s="8"/>
    </row>
    <row r="9140" spans="24:24" x14ac:dyDescent="0.35">
      <c r="X9140" s="8"/>
    </row>
    <row r="9141" spans="24:24" x14ac:dyDescent="0.35">
      <c r="X9141" s="8"/>
    </row>
    <row r="9142" spans="24:24" x14ac:dyDescent="0.35">
      <c r="X9142" s="8"/>
    </row>
    <row r="9143" spans="24:24" x14ac:dyDescent="0.35">
      <c r="X9143" s="8"/>
    </row>
    <row r="9144" spans="24:24" x14ac:dyDescent="0.35">
      <c r="X9144" s="8"/>
    </row>
    <row r="9145" spans="24:24" x14ac:dyDescent="0.35">
      <c r="X9145" s="8"/>
    </row>
    <row r="9146" spans="24:24" x14ac:dyDescent="0.35">
      <c r="X9146" s="8"/>
    </row>
    <row r="9147" spans="24:24" x14ac:dyDescent="0.35">
      <c r="X9147" s="8"/>
    </row>
    <row r="9148" spans="24:24" x14ac:dyDescent="0.35">
      <c r="X9148" s="8"/>
    </row>
    <row r="9149" spans="24:24" x14ac:dyDescent="0.35">
      <c r="X9149" s="8"/>
    </row>
    <row r="9150" spans="24:24" x14ac:dyDescent="0.35">
      <c r="X9150" s="8"/>
    </row>
    <row r="9151" spans="24:24" x14ac:dyDescent="0.35">
      <c r="X9151" s="8"/>
    </row>
    <row r="9152" spans="24:24" x14ac:dyDescent="0.35">
      <c r="X9152" s="8"/>
    </row>
    <row r="9153" spans="24:24" x14ac:dyDescent="0.35">
      <c r="X9153" s="8"/>
    </row>
    <row r="9154" spans="24:24" x14ac:dyDescent="0.35">
      <c r="X9154" s="8"/>
    </row>
    <row r="9155" spans="24:24" x14ac:dyDescent="0.35">
      <c r="X9155" s="8"/>
    </row>
    <row r="9156" spans="24:24" x14ac:dyDescent="0.35">
      <c r="X9156" s="8"/>
    </row>
    <row r="9157" spans="24:24" x14ac:dyDescent="0.35">
      <c r="X9157" s="8"/>
    </row>
    <row r="9158" spans="24:24" x14ac:dyDescent="0.35">
      <c r="X9158" s="8"/>
    </row>
    <row r="9159" spans="24:24" x14ac:dyDescent="0.35">
      <c r="X9159" s="8"/>
    </row>
    <row r="9160" spans="24:24" x14ac:dyDescent="0.35">
      <c r="X9160" s="8"/>
    </row>
    <row r="9161" spans="24:24" x14ac:dyDescent="0.35">
      <c r="X9161" s="8"/>
    </row>
    <row r="9162" spans="24:24" x14ac:dyDescent="0.35">
      <c r="X9162" s="8"/>
    </row>
    <row r="9163" spans="24:24" x14ac:dyDescent="0.35">
      <c r="X9163" s="8"/>
    </row>
    <row r="9164" spans="24:24" x14ac:dyDescent="0.35">
      <c r="X9164" s="8"/>
    </row>
    <row r="9165" spans="24:24" x14ac:dyDescent="0.35">
      <c r="X9165" s="8"/>
    </row>
    <row r="9166" spans="24:24" x14ac:dyDescent="0.35">
      <c r="X9166" s="8"/>
    </row>
    <row r="9167" spans="24:24" x14ac:dyDescent="0.35">
      <c r="X9167" s="8"/>
    </row>
    <row r="9168" spans="24:24" x14ac:dyDescent="0.35">
      <c r="X9168" s="8"/>
    </row>
    <row r="9169" spans="24:24" x14ac:dyDescent="0.35">
      <c r="X9169" s="8"/>
    </row>
    <row r="9170" spans="24:24" x14ac:dyDescent="0.35">
      <c r="X9170" s="8"/>
    </row>
    <row r="9171" spans="24:24" x14ac:dyDescent="0.35">
      <c r="X9171" s="8"/>
    </row>
    <row r="9172" spans="24:24" x14ac:dyDescent="0.35">
      <c r="X9172" s="8"/>
    </row>
    <row r="9173" spans="24:24" x14ac:dyDescent="0.35">
      <c r="X9173" s="8"/>
    </row>
    <row r="9174" spans="24:24" x14ac:dyDescent="0.35">
      <c r="X9174" s="8"/>
    </row>
    <row r="9175" spans="24:24" x14ac:dyDescent="0.35">
      <c r="X9175" s="8"/>
    </row>
    <row r="9176" spans="24:24" x14ac:dyDescent="0.35">
      <c r="X9176" s="8"/>
    </row>
    <row r="9177" spans="24:24" x14ac:dyDescent="0.35">
      <c r="X9177" s="8"/>
    </row>
    <row r="9178" spans="24:24" x14ac:dyDescent="0.35">
      <c r="X9178" s="8"/>
    </row>
    <row r="9179" spans="24:24" x14ac:dyDescent="0.35">
      <c r="X9179" s="8"/>
    </row>
    <row r="9180" spans="24:24" x14ac:dyDescent="0.35">
      <c r="X9180" s="8"/>
    </row>
    <row r="9181" spans="24:24" x14ac:dyDescent="0.35">
      <c r="X9181" s="8"/>
    </row>
    <row r="9182" spans="24:24" x14ac:dyDescent="0.35">
      <c r="X9182" s="8"/>
    </row>
    <row r="9183" spans="24:24" x14ac:dyDescent="0.35">
      <c r="X9183" s="8"/>
    </row>
    <row r="9184" spans="24:24" x14ac:dyDescent="0.35">
      <c r="X9184" s="8"/>
    </row>
    <row r="9185" spans="24:24" x14ac:dyDescent="0.35">
      <c r="X9185" s="8"/>
    </row>
    <row r="9186" spans="24:24" x14ac:dyDescent="0.35">
      <c r="X9186" s="8"/>
    </row>
    <row r="9187" spans="24:24" x14ac:dyDescent="0.35">
      <c r="X9187" s="8"/>
    </row>
    <row r="9188" spans="24:24" x14ac:dyDescent="0.35">
      <c r="X9188" s="8"/>
    </row>
    <row r="9189" spans="24:24" x14ac:dyDescent="0.35">
      <c r="X9189" s="8"/>
    </row>
    <row r="9190" spans="24:24" x14ac:dyDescent="0.35">
      <c r="X9190" s="8"/>
    </row>
    <row r="9191" spans="24:24" x14ac:dyDescent="0.35">
      <c r="X9191" s="8"/>
    </row>
    <row r="9192" spans="24:24" x14ac:dyDescent="0.35">
      <c r="X9192" s="8"/>
    </row>
    <row r="9193" spans="24:24" x14ac:dyDescent="0.35">
      <c r="X9193" s="8"/>
    </row>
    <row r="9194" spans="24:24" x14ac:dyDescent="0.35">
      <c r="X9194" s="8"/>
    </row>
    <row r="9195" spans="24:24" x14ac:dyDescent="0.35">
      <c r="X9195" s="8"/>
    </row>
    <row r="9196" spans="24:24" x14ac:dyDescent="0.35">
      <c r="X9196" s="8"/>
    </row>
    <row r="9197" spans="24:24" x14ac:dyDescent="0.35">
      <c r="X9197" s="8"/>
    </row>
    <row r="9198" spans="24:24" x14ac:dyDescent="0.35">
      <c r="X9198" s="8"/>
    </row>
    <row r="9199" spans="24:24" x14ac:dyDescent="0.35">
      <c r="X9199" s="8"/>
    </row>
    <row r="9200" spans="24:24" x14ac:dyDescent="0.35">
      <c r="X9200" s="8"/>
    </row>
    <row r="9201" spans="24:24" x14ac:dyDescent="0.35">
      <c r="X9201" s="8"/>
    </row>
    <row r="9202" spans="24:24" x14ac:dyDescent="0.35">
      <c r="X9202" s="8"/>
    </row>
    <row r="9203" spans="24:24" x14ac:dyDescent="0.35">
      <c r="X9203" s="8"/>
    </row>
    <row r="9204" spans="24:24" x14ac:dyDescent="0.35">
      <c r="X9204" s="8"/>
    </row>
    <row r="9205" spans="24:24" x14ac:dyDescent="0.35">
      <c r="X9205" s="8"/>
    </row>
    <row r="9206" spans="24:24" x14ac:dyDescent="0.35">
      <c r="X9206" s="8"/>
    </row>
    <row r="9207" spans="24:24" x14ac:dyDescent="0.35">
      <c r="X9207" s="8"/>
    </row>
    <row r="9208" spans="24:24" x14ac:dyDescent="0.35">
      <c r="X9208" s="8"/>
    </row>
    <row r="9209" spans="24:24" x14ac:dyDescent="0.35">
      <c r="X9209" s="8"/>
    </row>
    <row r="9210" spans="24:24" x14ac:dyDescent="0.35">
      <c r="X9210" s="8"/>
    </row>
    <row r="9211" spans="24:24" x14ac:dyDescent="0.35">
      <c r="X9211" s="8"/>
    </row>
    <row r="9212" spans="24:24" x14ac:dyDescent="0.35">
      <c r="X9212" s="8"/>
    </row>
    <row r="9213" spans="24:24" x14ac:dyDescent="0.35">
      <c r="X9213" s="8"/>
    </row>
    <row r="9214" spans="24:24" x14ac:dyDescent="0.35">
      <c r="X9214" s="8"/>
    </row>
    <row r="9215" spans="24:24" x14ac:dyDescent="0.35">
      <c r="X9215" s="8"/>
    </row>
    <row r="9216" spans="24:24" x14ac:dyDescent="0.35">
      <c r="X9216" s="8"/>
    </row>
    <row r="9217" spans="24:24" x14ac:dyDescent="0.35">
      <c r="X9217" s="8"/>
    </row>
    <row r="9218" spans="24:24" x14ac:dyDescent="0.35">
      <c r="X9218" s="8"/>
    </row>
    <row r="9219" spans="24:24" x14ac:dyDescent="0.35">
      <c r="X9219" s="8"/>
    </row>
    <row r="9220" spans="24:24" x14ac:dyDescent="0.35">
      <c r="X9220" s="8"/>
    </row>
    <row r="9221" spans="24:24" x14ac:dyDescent="0.35">
      <c r="X9221" s="8"/>
    </row>
    <row r="9222" spans="24:24" x14ac:dyDescent="0.35">
      <c r="X9222" s="8"/>
    </row>
    <row r="9223" spans="24:24" x14ac:dyDescent="0.35">
      <c r="X9223" s="8"/>
    </row>
    <row r="9224" spans="24:24" x14ac:dyDescent="0.35">
      <c r="X9224" s="8"/>
    </row>
    <row r="9225" spans="24:24" x14ac:dyDescent="0.35">
      <c r="X9225" s="8"/>
    </row>
    <row r="9226" spans="24:24" x14ac:dyDescent="0.35">
      <c r="X9226" s="8"/>
    </row>
    <row r="9227" spans="24:24" x14ac:dyDescent="0.35">
      <c r="X9227" s="8"/>
    </row>
    <row r="9228" spans="24:24" x14ac:dyDescent="0.35">
      <c r="X9228" s="8"/>
    </row>
    <row r="9229" spans="24:24" x14ac:dyDescent="0.35">
      <c r="X9229" s="8"/>
    </row>
    <row r="9230" spans="24:24" x14ac:dyDescent="0.35">
      <c r="X9230" s="8"/>
    </row>
    <row r="9231" spans="24:24" x14ac:dyDescent="0.35">
      <c r="X9231" s="8"/>
    </row>
    <row r="9232" spans="24:24" x14ac:dyDescent="0.35">
      <c r="X9232" s="8"/>
    </row>
    <row r="9233" spans="24:24" x14ac:dyDescent="0.35">
      <c r="X9233" s="8"/>
    </row>
    <row r="9234" spans="24:24" x14ac:dyDescent="0.35">
      <c r="X9234" s="8"/>
    </row>
    <row r="9235" spans="24:24" x14ac:dyDescent="0.35">
      <c r="X9235" s="8"/>
    </row>
    <row r="9236" spans="24:24" x14ac:dyDescent="0.35">
      <c r="X9236" s="8"/>
    </row>
    <row r="9237" spans="24:24" x14ac:dyDescent="0.35">
      <c r="X9237" s="8"/>
    </row>
    <row r="9238" spans="24:24" x14ac:dyDescent="0.35">
      <c r="X9238" s="8"/>
    </row>
    <row r="9239" spans="24:24" x14ac:dyDescent="0.35">
      <c r="X9239" s="8"/>
    </row>
    <row r="9240" spans="24:24" x14ac:dyDescent="0.35">
      <c r="X9240" s="8"/>
    </row>
    <row r="9241" spans="24:24" x14ac:dyDescent="0.35">
      <c r="X9241" s="8"/>
    </row>
    <row r="9242" spans="24:24" x14ac:dyDescent="0.35">
      <c r="X9242" s="8"/>
    </row>
    <row r="9243" spans="24:24" x14ac:dyDescent="0.35">
      <c r="X9243" s="8"/>
    </row>
    <row r="9244" spans="24:24" x14ac:dyDescent="0.35">
      <c r="X9244" s="8"/>
    </row>
    <row r="9245" spans="24:24" x14ac:dyDescent="0.35">
      <c r="X9245" s="8"/>
    </row>
    <row r="9246" spans="24:24" x14ac:dyDescent="0.35">
      <c r="X9246" s="8"/>
    </row>
    <row r="9247" spans="24:24" x14ac:dyDescent="0.35">
      <c r="X9247" s="8"/>
    </row>
    <row r="9248" spans="24:24" x14ac:dyDescent="0.35">
      <c r="X9248" s="8"/>
    </row>
    <row r="9249" spans="24:24" x14ac:dyDescent="0.35">
      <c r="X9249" s="8"/>
    </row>
    <row r="9250" spans="24:24" x14ac:dyDescent="0.35">
      <c r="X9250" s="8"/>
    </row>
    <row r="9251" spans="24:24" x14ac:dyDescent="0.35">
      <c r="X9251" s="8"/>
    </row>
    <row r="9252" spans="24:24" x14ac:dyDescent="0.35">
      <c r="X9252" s="8"/>
    </row>
    <row r="9253" spans="24:24" x14ac:dyDescent="0.35">
      <c r="X9253" s="8"/>
    </row>
    <row r="9254" spans="24:24" x14ac:dyDescent="0.35">
      <c r="X9254" s="8"/>
    </row>
    <row r="9255" spans="24:24" x14ac:dyDescent="0.35">
      <c r="X9255" s="8"/>
    </row>
    <row r="9256" spans="24:24" x14ac:dyDescent="0.35">
      <c r="X9256" s="8"/>
    </row>
    <row r="9257" spans="24:24" x14ac:dyDescent="0.35">
      <c r="X9257" s="8"/>
    </row>
    <row r="9258" spans="24:24" x14ac:dyDescent="0.35">
      <c r="X9258" s="8"/>
    </row>
    <row r="9259" spans="24:24" x14ac:dyDescent="0.35">
      <c r="X9259" s="8"/>
    </row>
    <row r="9260" spans="24:24" x14ac:dyDescent="0.35">
      <c r="X9260" s="8"/>
    </row>
    <row r="9261" spans="24:24" x14ac:dyDescent="0.35">
      <c r="X9261" s="8"/>
    </row>
    <row r="9262" spans="24:24" x14ac:dyDescent="0.35">
      <c r="X9262" s="8"/>
    </row>
    <row r="9263" spans="24:24" x14ac:dyDescent="0.35">
      <c r="X9263" s="8"/>
    </row>
    <row r="9264" spans="24:24" x14ac:dyDescent="0.35">
      <c r="X9264" s="8"/>
    </row>
    <row r="9265" spans="24:24" x14ac:dyDescent="0.35">
      <c r="X9265" s="8"/>
    </row>
    <row r="9266" spans="24:24" x14ac:dyDescent="0.35">
      <c r="X9266" s="8"/>
    </row>
    <row r="9267" spans="24:24" x14ac:dyDescent="0.35">
      <c r="X9267" s="8"/>
    </row>
    <row r="9268" spans="24:24" x14ac:dyDescent="0.35">
      <c r="X9268" s="8"/>
    </row>
    <row r="9269" spans="24:24" x14ac:dyDescent="0.35">
      <c r="X9269" s="8"/>
    </row>
    <row r="9270" spans="24:24" x14ac:dyDescent="0.35">
      <c r="X9270" s="8"/>
    </row>
    <row r="9271" spans="24:24" x14ac:dyDescent="0.35">
      <c r="X9271" s="8"/>
    </row>
    <row r="9272" spans="24:24" x14ac:dyDescent="0.35">
      <c r="X9272" s="8"/>
    </row>
    <row r="9273" spans="24:24" x14ac:dyDescent="0.35">
      <c r="X9273" s="8"/>
    </row>
    <row r="9274" spans="24:24" x14ac:dyDescent="0.35">
      <c r="X9274" s="8"/>
    </row>
    <row r="9275" spans="24:24" x14ac:dyDescent="0.35">
      <c r="X9275" s="8"/>
    </row>
    <row r="9276" spans="24:24" x14ac:dyDescent="0.35">
      <c r="X9276" s="8"/>
    </row>
    <row r="9277" spans="24:24" x14ac:dyDescent="0.35">
      <c r="X9277" s="8"/>
    </row>
    <row r="9278" spans="24:24" x14ac:dyDescent="0.35">
      <c r="X9278" s="8"/>
    </row>
    <row r="9279" spans="24:24" x14ac:dyDescent="0.35">
      <c r="X9279" s="8"/>
    </row>
    <row r="9280" spans="24:24" x14ac:dyDescent="0.35">
      <c r="X9280" s="8"/>
    </row>
    <row r="9281" spans="24:24" x14ac:dyDescent="0.35">
      <c r="X9281" s="8"/>
    </row>
    <row r="9282" spans="24:24" x14ac:dyDescent="0.35">
      <c r="X9282" s="8"/>
    </row>
    <row r="9283" spans="24:24" x14ac:dyDescent="0.35">
      <c r="X9283" s="8"/>
    </row>
    <row r="9284" spans="24:24" x14ac:dyDescent="0.35">
      <c r="X9284" s="8"/>
    </row>
    <row r="9285" spans="24:24" x14ac:dyDescent="0.35">
      <c r="X9285" s="8"/>
    </row>
    <row r="9286" spans="24:24" x14ac:dyDescent="0.35">
      <c r="X9286" s="8"/>
    </row>
    <row r="9287" spans="24:24" x14ac:dyDescent="0.35">
      <c r="X9287" s="8"/>
    </row>
    <row r="9288" spans="24:24" x14ac:dyDescent="0.35">
      <c r="X9288" s="8"/>
    </row>
    <row r="9289" spans="24:24" x14ac:dyDescent="0.35">
      <c r="X9289" s="8"/>
    </row>
    <row r="9290" spans="24:24" x14ac:dyDescent="0.35">
      <c r="X9290" s="8"/>
    </row>
    <row r="9291" spans="24:24" x14ac:dyDescent="0.35">
      <c r="X9291" s="8"/>
    </row>
    <row r="9292" spans="24:24" x14ac:dyDescent="0.35">
      <c r="X9292" s="8"/>
    </row>
    <row r="9293" spans="24:24" x14ac:dyDescent="0.35">
      <c r="X9293" s="8"/>
    </row>
    <row r="9294" spans="24:24" x14ac:dyDescent="0.35">
      <c r="X9294" s="8"/>
    </row>
    <row r="9295" spans="24:24" x14ac:dyDescent="0.35">
      <c r="X9295" s="8"/>
    </row>
    <row r="9296" spans="24:24" x14ac:dyDescent="0.35">
      <c r="X9296" s="8"/>
    </row>
    <row r="9297" spans="24:24" x14ac:dyDescent="0.35">
      <c r="X9297" s="8"/>
    </row>
    <row r="9298" spans="24:24" x14ac:dyDescent="0.35">
      <c r="X9298" s="8"/>
    </row>
    <row r="9299" spans="24:24" x14ac:dyDescent="0.35">
      <c r="X9299" s="8"/>
    </row>
    <row r="9300" spans="24:24" x14ac:dyDescent="0.35">
      <c r="X9300" s="8"/>
    </row>
    <row r="9301" spans="24:24" x14ac:dyDescent="0.35">
      <c r="X9301" s="8"/>
    </row>
    <row r="9302" spans="24:24" x14ac:dyDescent="0.35">
      <c r="X9302" s="8"/>
    </row>
    <row r="9303" spans="24:24" x14ac:dyDescent="0.35">
      <c r="X9303" s="8"/>
    </row>
    <row r="9304" spans="24:24" x14ac:dyDescent="0.35">
      <c r="X9304" s="8"/>
    </row>
    <row r="9305" spans="24:24" x14ac:dyDescent="0.35">
      <c r="X9305" s="8"/>
    </row>
    <row r="9306" spans="24:24" x14ac:dyDescent="0.35">
      <c r="X9306" s="8"/>
    </row>
    <row r="9307" spans="24:24" x14ac:dyDescent="0.35">
      <c r="X9307" s="8"/>
    </row>
    <row r="9308" spans="24:24" x14ac:dyDescent="0.35">
      <c r="X9308" s="8"/>
    </row>
    <row r="9309" spans="24:24" x14ac:dyDescent="0.35">
      <c r="X9309" s="8"/>
    </row>
    <row r="9310" spans="24:24" x14ac:dyDescent="0.35">
      <c r="X9310" s="8"/>
    </row>
    <row r="9311" spans="24:24" x14ac:dyDescent="0.35">
      <c r="X9311" s="8"/>
    </row>
    <row r="9312" spans="24:24" x14ac:dyDescent="0.35">
      <c r="X9312" s="8"/>
    </row>
    <row r="9313" spans="24:24" x14ac:dyDescent="0.35">
      <c r="X9313" s="8"/>
    </row>
    <row r="9314" spans="24:24" x14ac:dyDescent="0.35">
      <c r="X9314" s="8"/>
    </row>
    <row r="9315" spans="24:24" x14ac:dyDescent="0.35">
      <c r="X9315" s="8"/>
    </row>
    <row r="9316" spans="24:24" x14ac:dyDescent="0.35">
      <c r="X9316" s="8"/>
    </row>
    <row r="9317" spans="24:24" x14ac:dyDescent="0.35">
      <c r="X9317" s="8"/>
    </row>
    <row r="9318" spans="24:24" x14ac:dyDescent="0.35">
      <c r="X9318" s="8"/>
    </row>
    <row r="9319" spans="24:24" x14ac:dyDescent="0.35">
      <c r="X9319" s="8"/>
    </row>
    <row r="9320" spans="24:24" x14ac:dyDescent="0.35">
      <c r="X9320" s="8"/>
    </row>
    <row r="9321" spans="24:24" x14ac:dyDescent="0.35">
      <c r="X9321" s="8"/>
    </row>
    <row r="9322" spans="24:24" x14ac:dyDescent="0.35">
      <c r="X9322" s="8"/>
    </row>
    <row r="9323" spans="24:24" x14ac:dyDescent="0.35">
      <c r="X9323" s="8"/>
    </row>
    <row r="9324" spans="24:24" x14ac:dyDescent="0.35">
      <c r="X9324" s="8"/>
    </row>
    <row r="9325" spans="24:24" x14ac:dyDescent="0.35">
      <c r="X9325" s="8"/>
    </row>
    <row r="9326" spans="24:24" x14ac:dyDescent="0.35">
      <c r="X9326" s="8"/>
    </row>
    <row r="9327" spans="24:24" x14ac:dyDescent="0.35">
      <c r="X9327" s="8"/>
    </row>
    <row r="9328" spans="24:24" x14ac:dyDescent="0.35">
      <c r="X9328" s="8"/>
    </row>
    <row r="9329" spans="24:24" x14ac:dyDescent="0.35">
      <c r="X9329" s="8"/>
    </row>
    <row r="9330" spans="24:24" x14ac:dyDescent="0.35">
      <c r="X9330" s="8"/>
    </row>
    <row r="9331" spans="24:24" x14ac:dyDescent="0.35">
      <c r="X9331" s="8"/>
    </row>
    <row r="9332" spans="24:24" x14ac:dyDescent="0.35">
      <c r="X9332" s="8"/>
    </row>
    <row r="9333" spans="24:24" x14ac:dyDescent="0.35">
      <c r="X9333" s="8"/>
    </row>
    <row r="9334" spans="24:24" x14ac:dyDescent="0.35">
      <c r="X9334" s="8"/>
    </row>
    <row r="9335" spans="24:24" x14ac:dyDescent="0.35">
      <c r="X9335" s="8"/>
    </row>
    <row r="9336" spans="24:24" x14ac:dyDescent="0.35">
      <c r="X9336" s="8"/>
    </row>
    <row r="9337" spans="24:24" x14ac:dyDescent="0.35">
      <c r="X9337" s="8"/>
    </row>
    <row r="9338" spans="24:24" x14ac:dyDescent="0.35">
      <c r="X9338" s="8"/>
    </row>
    <row r="9339" spans="24:24" x14ac:dyDescent="0.35">
      <c r="X9339" s="8"/>
    </row>
    <row r="9340" spans="24:24" x14ac:dyDescent="0.35">
      <c r="X9340" s="8"/>
    </row>
    <row r="9341" spans="24:24" x14ac:dyDescent="0.35">
      <c r="X9341" s="8"/>
    </row>
    <row r="9342" spans="24:24" x14ac:dyDescent="0.35">
      <c r="X9342" s="8"/>
    </row>
    <row r="9343" spans="24:24" x14ac:dyDescent="0.35">
      <c r="X9343" s="8"/>
    </row>
    <row r="9344" spans="24:24" x14ac:dyDescent="0.35">
      <c r="X9344" s="8"/>
    </row>
    <row r="9345" spans="24:24" x14ac:dyDescent="0.35">
      <c r="X9345" s="8"/>
    </row>
    <row r="9346" spans="24:24" x14ac:dyDescent="0.35">
      <c r="X9346" s="8"/>
    </row>
    <row r="9347" spans="24:24" x14ac:dyDescent="0.35">
      <c r="X9347" s="8"/>
    </row>
    <row r="9348" spans="24:24" x14ac:dyDescent="0.35">
      <c r="X9348" s="8"/>
    </row>
    <row r="9349" spans="24:24" x14ac:dyDescent="0.35">
      <c r="X9349" s="8"/>
    </row>
    <row r="9350" spans="24:24" x14ac:dyDescent="0.35">
      <c r="X9350" s="8"/>
    </row>
    <row r="9351" spans="24:24" x14ac:dyDescent="0.35">
      <c r="X9351" s="8"/>
    </row>
    <row r="9352" spans="24:24" x14ac:dyDescent="0.35">
      <c r="X9352" s="8"/>
    </row>
    <row r="9353" spans="24:24" x14ac:dyDescent="0.35">
      <c r="X9353" s="8"/>
    </row>
    <row r="9354" spans="24:24" x14ac:dyDescent="0.35">
      <c r="X9354" s="8"/>
    </row>
    <row r="9355" spans="24:24" x14ac:dyDescent="0.35">
      <c r="X9355" s="8"/>
    </row>
    <row r="9356" spans="24:24" x14ac:dyDescent="0.35">
      <c r="X9356" s="8"/>
    </row>
    <row r="9357" spans="24:24" x14ac:dyDescent="0.35">
      <c r="X9357" s="8"/>
    </row>
    <row r="9358" spans="24:24" x14ac:dyDescent="0.35">
      <c r="X9358" s="8"/>
    </row>
    <row r="9359" spans="24:24" x14ac:dyDescent="0.35">
      <c r="X9359" s="8"/>
    </row>
    <row r="9360" spans="24:24" x14ac:dyDescent="0.35">
      <c r="X9360" s="8"/>
    </row>
    <row r="9361" spans="24:24" x14ac:dyDescent="0.35">
      <c r="X9361" s="8"/>
    </row>
    <row r="9362" spans="24:24" x14ac:dyDescent="0.35">
      <c r="X9362" s="8"/>
    </row>
    <row r="9363" spans="24:24" x14ac:dyDescent="0.35">
      <c r="X9363" s="8"/>
    </row>
    <row r="9364" spans="24:24" x14ac:dyDescent="0.35">
      <c r="X9364" s="8"/>
    </row>
    <row r="9365" spans="24:24" x14ac:dyDescent="0.35">
      <c r="X9365" s="8"/>
    </row>
    <row r="9366" spans="24:24" x14ac:dyDescent="0.35">
      <c r="X9366" s="8"/>
    </row>
    <row r="9367" spans="24:24" x14ac:dyDescent="0.35">
      <c r="X9367" s="8"/>
    </row>
    <row r="9368" spans="24:24" x14ac:dyDescent="0.35">
      <c r="X9368" s="8"/>
    </row>
    <row r="9369" spans="24:24" x14ac:dyDescent="0.35">
      <c r="X9369" s="8"/>
    </row>
    <row r="9370" spans="24:24" x14ac:dyDescent="0.35">
      <c r="X9370" s="8"/>
    </row>
    <row r="9371" spans="24:24" x14ac:dyDescent="0.35">
      <c r="X9371" s="8"/>
    </row>
    <row r="9372" spans="24:24" x14ac:dyDescent="0.35">
      <c r="X9372" s="8"/>
    </row>
    <row r="9373" spans="24:24" x14ac:dyDescent="0.35">
      <c r="X9373" s="8"/>
    </row>
    <row r="9374" spans="24:24" x14ac:dyDescent="0.35">
      <c r="X9374" s="8"/>
    </row>
    <row r="9375" spans="24:24" x14ac:dyDescent="0.35">
      <c r="X9375" s="8"/>
    </row>
    <row r="9376" spans="24:24" x14ac:dyDescent="0.35">
      <c r="X9376" s="8"/>
    </row>
    <row r="9377" spans="24:24" x14ac:dyDescent="0.35">
      <c r="X9377" s="8"/>
    </row>
    <row r="9378" spans="24:24" x14ac:dyDescent="0.35">
      <c r="X9378" s="8"/>
    </row>
    <row r="9379" spans="24:24" x14ac:dyDescent="0.35">
      <c r="X9379" s="8"/>
    </row>
    <row r="9380" spans="24:24" x14ac:dyDescent="0.35">
      <c r="X9380" s="8"/>
    </row>
    <row r="9381" spans="24:24" x14ac:dyDescent="0.35">
      <c r="X9381" s="8"/>
    </row>
    <row r="9382" spans="24:24" x14ac:dyDescent="0.35">
      <c r="X9382" s="8"/>
    </row>
    <row r="9383" spans="24:24" x14ac:dyDescent="0.35">
      <c r="X9383" s="8"/>
    </row>
    <row r="9384" spans="24:24" x14ac:dyDescent="0.35">
      <c r="X9384" s="8"/>
    </row>
    <row r="9385" spans="24:24" x14ac:dyDescent="0.35">
      <c r="X9385" s="8"/>
    </row>
    <row r="9386" spans="24:24" x14ac:dyDescent="0.35">
      <c r="X9386" s="8"/>
    </row>
    <row r="9387" spans="24:24" x14ac:dyDescent="0.35">
      <c r="X9387" s="8"/>
    </row>
    <row r="9388" spans="24:24" x14ac:dyDescent="0.35">
      <c r="X9388" s="8"/>
    </row>
    <row r="9389" spans="24:24" x14ac:dyDescent="0.35">
      <c r="X9389" s="8"/>
    </row>
    <row r="9390" spans="24:24" x14ac:dyDescent="0.35">
      <c r="X9390" s="8"/>
    </row>
    <row r="9391" spans="24:24" x14ac:dyDescent="0.35">
      <c r="X9391" s="8"/>
    </row>
    <row r="9392" spans="24:24" x14ac:dyDescent="0.35">
      <c r="X9392" s="8"/>
    </row>
    <row r="9393" spans="24:24" x14ac:dyDescent="0.35">
      <c r="X9393" s="8"/>
    </row>
    <row r="9394" spans="24:24" x14ac:dyDescent="0.35">
      <c r="X9394" s="8"/>
    </row>
    <row r="9395" spans="24:24" x14ac:dyDescent="0.35">
      <c r="X9395" s="8"/>
    </row>
    <row r="9396" spans="24:24" x14ac:dyDescent="0.35">
      <c r="X9396" s="8"/>
    </row>
    <row r="9397" spans="24:24" x14ac:dyDescent="0.35">
      <c r="X9397" s="8"/>
    </row>
    <row r="9398" spans="24:24" x14ac:dyDescent="0.35">
      <c r="X9398" s="8"/>
    </row>
    <row r="9399" spans="24:24" x14ac:dyDescent="0.35">
      <c r="X9399" s="8"/>
    </row>
    <row r="9400" spans="24:24" x14ac:dyDescent="0.35">
      <c r="X9400" s="8"/>
    </row>
    <row r="9401" spans="24:24" x14ac:dyDescent="0.35">
      <c r="X9401" s="8"/>
    </row>
    <row r="9402" spans="24:24" x14ac:dyDescent="0.35">
      <c r="X9402" s="8"/>
    </row>
    <row r="9403" spans="24:24" x14ac:dyDescent="0.35">
      <c r="X9403" s="8"/>
    </row>
    <row r="9404" spans="24:24" x14ac:dyDescent="0.35">
      <c r="X9404" s="8"/>
    </row>
    <row r="9405" spans="24:24" x14ac:dyDescent="0.35">
      <c r="X9405" s="8"/>
    </row>
    <row r="9406" spans="24:24" x14ac:dyDescent="0.35">
      <c r="X9406" s="8"/>
    </row>
    <row r="9407" spans="24:24" x14ac:dyDescent="0.35">
      <c r="X9407" s="8"/>
    </row>
    <row r="9408" spans="24:24" x14ac:dyDescent="0.35">
      <c r="X9408" s="8"/>
    </row>
    <row r="9409" spans="24:24" x14ac:dyDescent="0.35">
      <c r="X9409" s="8"/>
    </row>
    <row r="9410" spans="24:24" x14ac:dyDescent="0.35">
      <c r="X9410" s="8"/>
    </row>
    <row r="9411" spans="24:24" x14ac:dyDescent="0.35">
      <c r="X9411" s="8"/>
    </row>
    <row r="9412" spans="24:24" x14ac:dyDescent="0.35">
      <c r="X9412" s="8"/>
    </row>
    <row r="9413" spans="24:24" x14ac:dyDescent="0.35">
      <c r="X9413" s="8"/>
    </row>
    <row r="9414" spans="24:24" x14ac:dyDescent="0.35">
      <c r="X9414" s="8"/>
    </row>
    <row r="9415" spans="24:24" x14ac:dyDescent="0.35">
      <c r="X9415" s="8"/>
    </row>
    <row r="9416" spans="24:24" x14ac:dyDescent="0.35">
      <c r="X9416" s="8"/>
    </row>
    <row r="9417" spans="24:24" x14ac:dyDescent="0.35">
      <c r="X9417" s="8"/>
    </row>
    <row r="9418" spans="24:24" x14ac:dyDescent="0.35">
      <c r="X9418" s="8"/>
    </row>
    <row r="9419" spans="24:24" x14ac:dyDescent="0.35">
      <c r="X9419" s="8"/>
    </row>
    <row r="9420" spans="24:24" x14ac:dyDescent="0.35">
      <c r="X9420" s="8"/>
    </row>
    <row r="9421" spans="24:24" x14ac:dyDescent="0.35">
      <c r="X9421" s="8"/>
    </row>
    <row r="9422" spans="24:24" x14ac:dyDescent="0.35">
      <c r="X9422" s="8"/>
    </row>
    <row r="9423" spans="24:24" x14ac:dyDescent="0.35">
      <c r="X9423" s="8"/>
    </row>
    <row r="9424" spans="24:24" x14ac:dyDescent="0.35">
      <c r="X9424" s="8"/>
    </row>
    <row r="9425" spans="24:24" x14ac:dyDescent="0.35">
      <c r="X9425" s="8"/>
    </row>
    <row r="9426" spans="24:24" x14ac:dyDescent="0.35">
      <c r="X9426" s="8"/>
    </row>
    <row r="9427" spans="24:24" x14ac:dyDescent="0.35">
      <c r="X9427" s="8"/>
    </row>
    <row r="9428" spans="24:24" x14ac:dyDescent="0.35">
      <c r="X9428" s="8"/>
    </row>
    <row r="9429" spans="24:24" x14ac:dyDescent="0.35">
      <c r="X9429" s="8"/>
    </row>
    <row r="9430" spans="24:24" x14ac:dyDescent="0.35">
      <c r="X9430" s="8"/>
    </row>
    <row r="9431" spans="24:24" x14ac:dyDescent="0.35">
      <c r="X9431" s="8"/>
    </row>
    <row r="9432" spans="24:24" x14ac:dyDescent="0.35">
      <c r="X9432" s="8"/>
    </row>
    <row r="9433" spans="24:24" x14ac:dyDescent="0.35">
      <c r="X9433" s="8"/>
    </row>
    <row r="9434" spans="24:24" x14ac:dyDescent="0.35">
      <c r="X9434" s="8"/>
    </row>
    <row r="9435" spans="24:24" x14ac:dyDescent="0.35">
      <c r="X9435" s="8"/>
    </row>
    <row r="9436" spans="24:24" x14ac:dyDescent="0.35">
      <c r="X9436" s="8"/>
    </row>
    <row r="9437" spans="24:24" x14ac:dyDescent="0.35">
      <c r="X9437" s="8"/>
    </row>
    <row r="9438" spans="24:24" x14ac:dyDescent="0.35">
      <c r="X9438" s="8"/>
    </row>
    <row r="9439" spans="24:24" x14ac:dyDescent="0.35">
      <c r="X9439" s="8"/>
    </row>
    <row r="9440" spans="24:24" x14ac:dyDescent="0.35">
      <c r="X9440" s="8"/>
    </row>
    <row r="9441" spans="24:24" x14ac:dyDescent="0.35">
      <c r="X9441" s="8"/>
    </row>
    <row r="9442" spans="24:24" x14ac:dyDescent="0.35">
      <c r="X9442" s="8"/>
    </row>
    <row r="9443" spans="24:24" x14ac:dyDescent="0.35">
      <c r="X9443" s="8"/>
    </row>
    <row r="9444" spans="24:24" x14ac:dyDescent="0.35">
      <c r="X9444" s="8"/>
    </row>
    <row r="9445" spans="24:24" x14ac:dyDescent="0.35">
      <c r="X9445" s="8"/>
    </row>
    <row r="9446" spans="24:24" x14ac:dyDescent="0.35">
      <c r="X9446" s="8"/>
    </row>
    <row r="9447" spans="24:24" x14ac:dyDescent="0.35">
      <c r="X9447" s="8"/>
    </row>
    <row r="9448" spans="24:24" x14ac:dyDescent="0.35">
      <c r="X9448" s="8"/>
    </row>
    <row r="9449" spans="24:24" x14ac:dyDescent="0.35">
      <c r="X9449" s="8"/>
    </row>
    <row r="9450" spans="24:24" x14ac:dyDescent="0.35">
      <c r="X9450" s="8"/>
    </row>
    <row r="9451" spans="24:24" x14ac:dyDescent="0.35">
      <c r="X9451" s="8"/>
    </row>
    <row r="9452" spans="24:24" x14ac:dyDescent="0.35">
      <c r="X9452" s="8"/>
    </row>
    <row r="9453" spans="24:24" x14ac:dyDescent="0.35">
      <c r="X9453" s="8"/>
    </row>
    <row r="9454" spans="24:24" x14ac:dyDescent="0.35">
      <c r="X9454" s="8"/>
    </row>
    <row r="9455" spans="24:24" x14ac:dyDescent="0.35">
      <c r="X9455" s="8"/>
    </row>
    <row r="9456" spans="24:24" x14ac:dyDescent="0.35">
      <c r="X9456" s="8"/>
    </row>
    <row r="9457" spans="24:24" x14ac:dyDescent="0.35">
      <c r="X9457" s="8"/>
    </row>
    <row r="9458" spans="24:24" x14ac:dyDescent="0.35">
      <c r="X9458" s="8"/>
    </row>
    <row r="9459" spans="24:24" x14ac:dyDescent="0.35">
      <c r="X9459" s="8"/>
    </row>
    <row r="9460" spans="24:24" x14ac:dyDescent="0.35">
      <c r="X9460" s="8"/>
    </row>
    <row r="9461" spans="24:24" x14ac:dyDescent="0.35">
      <c r="X9461" s="8"/>
    </row>
    <row r="9462" spans="24:24" x14ac:dyDescent="0.35">
      <c r="X9462" s="8"/>
    </row>
    <row r="9463" spans="24:24" x14ac:dyDescent="0.35">
      <c r="X9463" s="8"/>
    </row>
    <row r="9464" spans="24:24" x14ac:dyDescent="0.35">
      <c r="X9464" s="8"/>
    </row>
    <row r="9465" spans="24:24" x14ac:dyDescent="0.35">
      <c r="X9465" s="8"/>
    </row>
    <row r="9466" spans="24:24" x14ac:dyDescent="0.35">
      <c r="X9466" s="8"/>
    </row>
    <row r="9467" spans="24:24" x14ac:dyDescent="0.35">
      <c r="X9467" s="8"/>
    </row>
    <row r="9468" spans="24:24" x14ac:dyDescent="0.35">
      <c r="X9468" s="8"/>
    </row>
    <row r="9469" spans="24:24" x14ac:dyDescent="0.35">
      <c r="X9469" s="8"/>
    </row>
    <row r="9470" spans="24:24" x14ac:dyDescent="0.35">
      <c r="X9470" s="8"/>
    </row>
    <row r="9471" spans="24:24" x14ac:dyDescent="0.35">
      <c r="X9471" s="8"/>
    </row>
    <row r="9472" spans="24:24" x14ac:dyDescent="0.35">
      <c r="X9472" s="8"/>
    </row>
    <row r="9473" spans="24:24" x14ac:dyDescent="0.35">
      <c r="X9473" s="8"/>
    </row>
    <row r="9474" spans="24:24" x14ac:dyDescent="0.35">
      <c r="X9474" s="8"/>
    </row>
    <row r="9475" spans="24:24" x14ac:dyDescent="0.35">
      <c r="X9475" s="8"/>
    </row>
    <row r="9476" spans="24:24" x14ac:dyDescent="0.35">
      <c r="X9476" s="8"/>
    </row>
    <row r="9477" spans="24:24" x14ac:dyDescent="0.35">
      <c r="X9477" s="8"/>
    </row>
    <row r="9478" spans="24:24" x14ac:dyDescent="0.35">
      <c r="X9478" s="8"/>
    </row>
    <row r="9479" spans="24:24" x14ac:dyDescent="0.35">
      <c r="X9479" s="8"/>
    </row>
    <row r="9480" spans="24:24" x14ac:dyDescent="0.35">
      <c r="X9480" s="8"/>
    </row>
    <row r="9481" spans="24:24" x14ac:dyDescent="0.35">
      <c r="X9481" s="8"/>
    </row>
    <row r="9482" spans="24:24" x14ac:dyDescent="0.35">
      <c r="X9482" s="8"/>
    </row>
    <row r="9483" spans="24:24" x14ac:dyDescent="0.35">
      <c r="X9483" s="8"/>
    </row>
    <row r="9484" spans="24:24" x14ac:dyDescent="0.35">
      <c r="X9484" s="8"/>
    </row>
    <row r="9485" spans="24:24" x14ac:dyDescent="0.35">
      <c r="X9485" s="8"/>
    </row>
    <row r="9486" spans="24:24" x14ac:dyDescent="0.35">
      <c r="X9486" s="8"/>
    </row>
    <row r="9487" spans="24:24" x14ac:dyDescent="0.35">
      <c r="X9487" s="8"/>
    </row>
    <row r="9488" spans="24:24" x14ac:dyDescent="0.35">
      <c r="X9488" s="8"/>
    </row>
    <row r="9489" spans="24:24" x14ac:dyDescent="0.35">
      <c r="X9489" s="8"/>
    </row>
    <row r="9490" spans="24:24" x14ac:dyDescent="0.35">
      <c r="X9490" s="8"/>
    </row>
    <row r="9491" spans="24:24" x14ac:dyDescent="0.35">
      <c r="X9491" s="8"/>
    </row>
    <row r="9492" spans="24:24" x14ac:dyDescent="0.35">
      <c r="X9492" s="8"/>
    </row>
    <row r="9493" spans="24:24" x14ac:dyDescent="0.35">
      <c r="X9493" s="8"/>
    </row>
    <row r="9494" spans="24:24" x14ac:dyDescent="0.35">
      <c r="X9494" s="8"/>
    </row>
    <row r="9495" spans="24:24" x14ac:dyDescent="0.35">
      <c r="X9495" s="8"/>
    </row>
    <row r="9496" spans="24:24" x14ac:dyDescent="0.35">
      <c r="X9496" s="8"/>
    </row>
    <row r="9497" spans="24:24" x14ac:dyDescent="0.35">
      <c r="X9497" s="8"/>
    </row>
    <row r="9498" spans="24:24" x14ac:dyDescent="0.35">
      <c r="X9498" s="8"/>
    </row>
    <row r="9499" spans="24:24" x14ac:dyDescent="0.35">
      <c r="X9499" s="8"/>
    </row>
    <row r="9500" spans="24:24" x14ac:dyDescent="0.35">
      <c r="X9500" s="8"/>
    </row>
    <row r="9501" spans="24:24" x14ac:dyDescent="0.35">
      <c r="X9501" s="8"/>
    </row>
    <row r="9502" spans="24:24" x14ac:dyDescent="0.35">
      <c r="X9502" s="8"/>
    </row>
    <row r="9503" spans="24:24" x14ac:dyDescent="0.35">
      <c r="X9503" s="8"/>
    </row>
    <row r="9504" spans="24:24" x14ac:dyDescent="0.35">
      <c r="X9504" s="8"/>
    </row>
    <row r="9505" spans="24:24" x14ac:dyDescent="0.35">
      <c r="X9505" s="8"/>
    </row>
    <row r="9506" spans="24:24" x14ac:dyDescent="0.35">
      <c r="X9506" s="8"/>
    </row>
    <row r="9507" spans="24:24" x14ac:dyDescent="0.35">
      <c r="X9507" s="8"/>
    </row>
    <row r="9508" spans="24:24" x14ac:dyDescent="0.35">
      <c r="X9508" s="8"/>
    </row>
    <row r="9509" spans="24:24" x14ac:dyDescent="0.35">
      <c r="X9509" s="8"/>
    </row>
    <row r="9510" spans="24:24" x14ac:dyDescent="0.35">
      <c r="X9510" s="8"/>
    </row>
    <row r="9511" spans="24:24" x14ac:dyDescent="0.35">
      <c r="X9511" s="8"/>
    </row>
    <row r="9512" spans="24:24" x14ac:dyDescent="0.35">
      <c r="X9512" s="8"/>
    </row>
    <row r="9513" spans="24:24" x14ac:dyDescent="0.35">
      <c r="X9513" s="8"/>
    </row>
    <row r="9514" spans="24:24" x14ac:dyDescent="0.35">
      <c r="X9514" s="8"/>
    </row>
    <row r="9515" spans="24:24" x14ac:dyDescent="0.35">
      <c r="X9515" s="8"/>
    </row>
    <row r="9516" spans="24:24" x14ac:dyDescent="0.35">
      <c r="X9516" s="8"/>
    </row>
    <row r="9517" spans="24:24" x14ac:dyDescent="0.35">
      <c r="X9517" s="8"/>
    </row>
    <row r="9518" spans="24:24" x14ac:dyDescent="0.35">
      <c r="X9518" s="8"/>
    </row>
    <row r="9519" spans="24:24" x14ac:dyDescent="0.35">
      <c r="X9519" s="8"/>
    </row>
    <row r="9520" spans="24:24" x14ac:dyDescent="0.35">
      <c r="X9520" s="8"/>
    </row>
    <row r="9521" spans="24:24" x14ac:dyDescent="0.35">
      <c r="X9521" s="8"/>
    </row>
    <row r="9522" spans="24:24" x14ac:dyDescent="0.35">
      <c r="X9522" s="8"/>
    </row>
    <row r="9523" spans="24:24" x14ac:dyDescent="0.35">
      <c r="X9523" s="8"/>
    </row>
    <row r="9524" spans="24:24" x14ac:dyDescent="0.35">
      <c r="X9524" s="8"/>
    </row>
    <row r="9525" spans="24:24" x14ac:dyDescent="0.35">
      <c r="X9525" s="8"/>
    </row>
    <row r="9526" spans="24:24" x14ac:dyDescent="0.35">
      <c r="X9526" s="8"/>
    </row>
    <row r="9527" spans="24:24" x14ac:dyDescent="0.35">
      <c r="X9527" s="8"/>
    </row>
    <row r="9528" spans="24:24" x14ac:dyDescent="0.35">
      <c r="X9528" s="8"/>
    </row>
    <row r="9529" spans="24:24" x14ac:dyDescent="0.35">
      <c r="X9529" s="8"/>
    </row>
    <row r="9530" spans="24:24" x14ac:dyDescent="0.35">
      <c r="X9530" s="8"/>
    </row>
    <row r="9531" spans="24:24" x14ac:dyDescent="0.35">
      <c r="X9531" s="8"/>
    </row>
    <row r="9532" spans="24:24" x14ac:dyDescent="0.35">
      <c r="X9532" s="8"/>
    </row>
    <row r="9533" spans="24:24" x14ac:dyDescent="0.35">
      <c r="X9533" s="8"/>
    </row>
    <row r="9534" spans="24:24" x14ac:dyDescent="0.35">
      <c r="X9534" s="8"/>
    </row>
    <row r="9535" spans="24:24" x14ac:dyDescent="0.35">
      <c r="X9535" s="8"/>
    </row>
    <row r="9536" spans="24:24" x14ac:dyDescent="0.35">
      <c r="X9536" s="8"/>
    </row>
    <row r="9537" spans="24:24" x14ac:dyDescent="0.35">
      <c r="X9537" s="8"/>
    </row>
    <row r="9538" spans="24:24" x14ac:dyDescent="0.35">
      <c r="X9538" s="8"/>
    </row>
    <row r="9539" spans="24:24" x14ac:dyDescent="0.35">
      <c r="X9539" s="8"/>
    </row>
    <row r="9540" spans="24:24" x14ac:dyDescent="0.35">
      <c r="X9540" s="8"/>
    </row>
    <row r="9541" spans="24:24" x14ac:dyDescent="0.35">
      <c r="X9541" s="8"/>
    </row>
    <row r="9542" spans="24:24" x14ac:dyDescent="0.35">
      <c r="X9542" s="8"/>
    </row>
    <row r="9543" spans="24:24" x14ac:dyDescent="0.35">
      <c r="X9543" s="8"/>
    </row>
    <row r="9544" spans="24:24" x14ac:dyDescent="0.35">
      <c r="X9544" s="8"/>
    </row>
    <row r="9545" spans="24:24" x14ac:dyDescent="0.35">
      <c r="X9545" s="8"/>
    </row>
    <row r="9546" spans="24:24" x14ac:dyDescent="0.35">
      <c r="X9546" s="8"/>
    </row>
    <row r="9547" spans="24:24" x14ac:dyDescent="0.35">
      <c r="X9547" s="8"/>
    </row>
    <row r="9548" spans="24:24" x14ac:dyDescent="0.35">
      <c r="X9548" s="8"/>
    </row>
    <row r="9549" spans="24:24" x14ac:dyDescent="0.35">
      <c r="X9549" s="8"/>
    </row>
    <row r="9550" spans="24:24" x14ac:dyDescent="0.35">
      <c r="X9550" s="8"/>
    </row>
    <row r="9551" spans="24:24" x14ac:dyDescent="0.35">
      <c r="X9551" s="8"/>
    </row>
    <row r="9552" spans="24:24" x14ac:dyDescent="0.35">
      <c r="X9552" s="8"/>
    </row>
    <row r="9553" spans="24:24" x14ac:dyDescent="0.35">
      <c r="X9553" s="8"/>
    </row>
    <row r="9554" spans="24:24" x14ac:dyDescent="0.35">
      <c r="X9554" s="8"/>
    </row>
    <row r="9555" spans="24:24" x14ac:dyDescent="0.35">
      <c r="X9555" s="8"/>
    </row>
    <row r="9556" spans="24:24" x14ac:dyDescent="0.35">
      <c r="X9556" s="8"/>
    </row>
    <row r="9557" spans="24:24" x14ac:dyDescent="0.35">
      <c r="X9557" s="8"/>
    </row>
    <row r="9558" spans="24:24" x14ac:dyDescent="0.35">
      <c r="X9558" s="8"/>
    </row>
    <row r="9559" spans="24:24" x14ac:dyDescent="0.35">
      <c r="X9559" s="8"/>
    </row>
    <row r="9560" spans="24:24" x14ac:dyDescent="0.35">
      <c r="X9560" s="8"/>
    </row>
    <row r="9561" spans="24:24" x14ac:dyDescent="0.35">
      <c r="X9561" s="8"/>
    </row>
    <row r="9562" spans="24:24" x14ac:dyDescent="0.35">
      <c r="X9562" s="8"/>
    </row>
    <row r="9563" spans="24:24" x14ac:dyDescent="0.35">
      <c r="X9563" s="8"/>
    </row>
    <row r="9564" spans="24:24" x14ac:dyDescent="0.35">
      <c r="X9564" s="8"/>
    </row>
    <row r="9565" spans="24:24" x14ac:dyDescent="0.35">
      <c r="X9565" s="8"/>
    </row>
    <row r="9566" spans="24:24" x14ac:dyDescent="0.35">
      <c r="X9566" s="8"/>
    </row>
    <row r="9567" spans="24:24" x14ac:dyDescent="0.35">
      <c r="X9567" s="8"/>
    </row>
    <row r="9568" spans="24:24" x14ac:dyDescent="0.35">
      <c r="X9568" s="8"/>
    </row>
    <row r="9569" spans="24:24" x14ac:dyDescent="0.35">
      <c r="X9569" s="8"/>
    </row>
    <row r="9570" spans="24:24" x14ac:dyDescent="0.35">
      <c r="X9570" s="8"/>
    </row>
    <row r="9571" spans="24:24" x14ac:dyDescent="0.35">
      <c r="X9571" s="8"/>
    </row>
    <row r="9572" spans="24:24" x14ac:dyDescent="0.35">
      <c r="X9572" s="8"/>
    </row>
    <row r="9573" spans="24:24" x14ac:dyDescent="0.35">
      <c r="X9573" s="8"/>
    </row>
    <row r="9574" spans="24:24" x14ac:dyDescent="0.35">
      <c r="X9574" s="8"/>
    </row>
    <row r="9575" spans="24:24" x14ac:dyDescent="0.35">
      <c r="X9575" s="8"/>
    </row>
    <row r="9576" spans="24:24" x14ac:dyDescent="0.35">
      <c r="X9576" s="8"/>
    </row>
    <row r="9577" spans="24:24" x14ac:dyDescent="0.35">
      <c r="X9577" s="8"/>
    </row>
    <row r="9578" spans="24:24" x14ac:dyDescent="0.35">
      <c r="X9578" s="8"/>
    </row>
    <row r="9579" spans="24:24" x14ac:dyDescent="0.35">
      <c r="X9579" s="8"/>
    </row>
    <row r="9580" spans="24:24" x14ac:dyDescent="0.35">
      <c r="X9580" s="8"/>
    </row>
    <row r="9581" spans="24:24" x14ac:dyDescent="0.35">
      <c r="X9581" s="8"/>
    </row>
    <row r="9582" spans="24:24" x14ac:dyDescent="0.35">
      <c r="X9582" s="8"/>
    </row>
    <row r="9583" spans="24:24" x14ac:dyDescent="0.35">
      <c r="X9583" s="8"/>
    </row>
    <row r="9584" spans="24:24" x14ac:dyDescent="0.35">
      <c r="X9584" s="8"/>
    </row>
    <row r="9585" spans="24:24" x14ac:dyDescent="0.35">
      <c r="X9585" s="8"/>
    </row>
    <row r="9586" spans="24:24" x14ac:dyDescent="0.35">
      <c r="X9586" s="8"/>
    </row>
    <row r="9587" spans="24:24" x14ac:dyDescent="0.35">
      <c r="X9587" s="8"/>
    </row>
    <row r="9588" spans="24:24" x14ac:dyDescent="0.35">
      <c r="X9588" s="8"/>
    </row>
    <row r="9589" spans="24:24" x14ac:dyDescent="0.35">
      <c r="X9589" s="8"/>
    </row>
    <row r="9590" spans="24:24" x14ac:dyDescent="0.35">
      <c r="X9590" s="8"/>
    </row>
    <row r="9591" spans="24:24" x14ac:dyDescent="0.35">
      <c r="X9591" s="8"/>
    </row>
    <row r="9592" spans="24:24" x14ac:dyDescent="0.35">
      <c r="X9592" s="8"/>
    </row>
    <row r="9593" spans="24:24" x14ac:dyDescent="0.35">
      <c r="X9593" s="8"/>
    </row>
    <row r="9594" spans="24:24" x14ac:dyDescent="0.35">
      <c r="X9594" s="8"/>
    </row>
    <row r="9595" spans="24:24" x14ac:dyDescent="0.35">
      <c r="X9595" s="8"/>
    </row>
    <row r="9596" spans="24:24" x14ac:dyDescent="0.35">
      <c r="X9596" s="8"/>
    </row>
    <row r="9597" spans="24:24" x14ac:dyDescent="0.35">
      <c r="X9597" s="8"/>
    </row>
    <row r="9598" spans="24:24" x14ac:dyDescent="0.35">
      <c r="X9598" s="8"/>
    </row>
    <row r="9599" spans="24:24" x14ac:dyDescent="0.35">
      <c r="X9599" s="8"/>
    </row>
    <row r="9600" spans="24:24" x14ac:dyDescent="0.35">
      <c r="X9600" s="8"/>
    </row>
    <row r="9601" spans="24:24" x14ac:dyDescent="0.35">
      <c r="X9601" s="8"/>
    </row>
    <row r="9602" spans="24:24" x14ac:dyDescent="0.35">
      <c r="X9602" s="8"/>
    </row>
    <row r="9603" spans="24:24" x14ac:dyDescent="0.35">
      <c r="X9603" s="8"/>
    </row>
    <row r="9604" spans="24:24" x14ac:dyDescent="0.35">
      <c r="X9604" s="8"/>
    </row>
    <row r="9605" spans="24:24" x14ac:dyDescent="0.35">
      <c r="X9605" s="8"/>
    </row>
    <row r="9606" spans="24:24" x14ac:dyDescent="0.35">
      <c r="X9606" s="8"/>
    </row>
    <row r="9607" spans="24:24" x14ac:dyDescent="0.35">
      <c r="X9607" s="8"/>
    </row>
    <row r="9608" spans="24:24" x14ac:dyDescent="0.35">
      <c r="X9608" s="8"/>
    </row>
    <row r="9609" spans="24:24" x14ac:dyDescent="0.35">
      <c r="X9609" s="8"/>
    </row>
    <row r="9610" spans="24:24" x14ac:dyDescent="0.35">
      <c r="X9610" s="8"/>
    </row>
    <row r="9611" spans="24:24" x14ac:dyDescent="0.35">
      <c r="X9611" s="8"/>
    </row>
    <row r="9612" spans="24:24" x14ac:dyDescent="0.35">
      <c r="X9612" s="8"/>
    </row>
    <row r="9613" spans="24:24" x14ac:dyDescent="0.35">
      <c r="X9613" s="8"/>
    </row>
    <row r="9614" spans="24:24" x14ac:dyDescent="0.35">
      <c r="X9614" s="8"/>
    </row>
    <row r="9615" spans="24:24" x14ac:dyDescent="0.35">
      <c r="X9615" s="8"/>
    </row>
    <row r="9616" spans="24:24" x14ac:dyDescent="0.35">
      <c r="X9616" s="8"/>
    </row>
    <row r="9617" spans="24:24" x14ac:dyDescent="0.35">
      <c r="X9617" s="8"/>
    </row>
    <row r="9618" spans="24:24" x14ac:dyDescent="0.35">
      <c r="X9618" s="8"/>
    </row>
    <row r="9619" spans="24:24" x14ac:dyDescent="0.35">
      <c r="X9619" s="8"/>
    </row>
    <row r="9620" spans="24:24" x14ac:dyDescent="0.35">
      <c r="X9620" s="8"/>
    </row>
    <row r="9621" spans="24:24" x14ac:dyDescent="0.35">
      <c r="X9621" s="8"/>
    </row>
    <row r="9622" spans="24:24" x14ac:dyDescent="0.35">
      <c r="X9622" s="8"/>
    </row>
    <row r="9623" spans="24:24" x14ac:dyDescent="0.35">
      <c r="X9623" s="8"/>
    </row>
    <row r="9624" spans="24:24" x14ac:dyDescent="0.35">
      <c r="X9624" s="8"/>
    </row>
    <row r="9625" spans="24:24" x14ac:dyDescent="0.35">
      <c r="X9625" s="8"/>
    </row>
    <row r="9626" spans="24:24" x14ac:dyDescent="0.35">
      <c r="X9626" s="8"/>
    </row>
    <row r="9627" spans="24:24" x14ac:dyDescent="0.35">
      <c r="X9627" s="8"/>
    </row>
    <row r="9628" spans="24:24" x14ac:dyDescent="0.35">
      <c r="X9628" s="8"/>
    </row>
    <row r="9629" spans="24:24" x14ac:dyDescent="0.35">
      <c r="X9629" s="8"/>
    </row>
    <row r="9630" spans="24:24" x14ac:dyDescent="0.35">
      <c r="X9630" s="8"/>
    </row>
    <row r="9631" spans="24:24" x14ac:dyDescent="0.35">
      <c r="X9631" s="8"/>
    </row>
    <row r="9632" spans="24:24" x14ac:dyDescent="0.35">
      <c r="X9632" s="8"/>
    </row>
    <row r="9633" spans="24:24" x14ac:dyDescent="0.35">
      <c r="X9633" s="8"/>
    </row>
    <row r="9634" spans="24:24" x14ac:dyDescent="0.35">
      <c r="X9634" s="8"/>
    </row>
    <row r="9635" spans="24:24" x14ac:dyDescent="0.35">
      <c r="X9635" s="8"/>
    </row>
    <row r="9636" spans="24:24" x14ac:dyDescent="0.35">
      <c r="X9636" s="8"/>
    </row>
    <row r="9637" spans="24:24" x14ac:dyDescent="0.35">
      <c r="X9637" s="8"/>
    </row>
    <row r="9638" spans="24:24" x14ac:dyDescent="0.35">
      <c r="X9638" s="8"/>
    </row>
    <row r="9639" spans="24:24" x14ac:dyDescent="0.35">
      <c r="X9639" s="8"/>
    </row>
    <row r="9640" spans="24:24" x14ac:dyDescent="0.35">
      <c r="X9640" s="8"/>
    </row>
    <row r="9641" spans="24:24" x14ac:dyDescent="0.35">
      <c r="X9641" s="8"/>
    </row>
    <row r="9642" spans="24:24" x14ac:dyDescent="0.35">
      <c r="X9642" s="8"/>
    </row>
    <row r="9643" spans="24:24" x14ac:dyDescent="0.35">
      <c r="X9643" s="8"/>
    </row>
    <row r="9644" spans="24:24" x14ac:dyDescent="0.35">
      <c r="X9644" s="8"/>
    </row>
    <row r="9645" spans="24:24" x14ac:dyDescent="0.35">
      <c r="X9645" s="8"/>
    </row>
    <row r="9646" spans="24:24" x14ac:dyDescent="0.35">
      <c r="X9646" s="8"/>
    </row>
    <row r="9647" spans="24:24" x14ac:dyDescent="0.35">
      <c r="X9647" s="8"/>
    </row>
    <row r="9648" spans="24:24" x14ac:dyDescent="0.35">
      <c r="X9648" s="8"/>
    </row>
    <row r="9649" spans="24:24" x14ac:dyDescent="0.35">
      <c r="X9649" s="8"/>
    </row>
    <row r="9650" spans="24:24" x14ac:dyDescent="0.35">
      <c r="X9650" s="8"/>
    </row>
    <row r="9651" spans="24:24" x14ac:dyDescent="0.35">
      <c r="X9651" s="8"/>
    </row>
    <row r="9652" spans="24:24" x14ac:dyDescent="0.35">
      <c r="X9652" s="8"/>
    </row>
    <row r="9653" spans="24:24" x14ac:dyDescent="0.35">
      <c r="X9653" s="8"/>
    </row>
    <row r="9654" spans="24:24" x14ac:dyDescent="0.35">
      <c r="X9654" s="8"/>
    </row>
    <row r="9655" spans="24:24" x14ac:dyDescent="0.35">
      <c r="X9655" s="8"/>
    </row>
    <row r="9656" spans="24:24" x14ac:dyDescent="0.35">
      <c r="X9656" s="8"/>
    </row>
    <row r="9657" spans="24:24" x14ac:dyDescent="0.35">
      <c r="X9657" s="8"/>
    </row>
    <row r="9658" spans="24:24" x14ac:dyDescent="0.35">
      <c r="X9658" s="8"/>
    </row>
    <row r="9659" spans="24:24" x14ac:dyDescent="0.35">
      <c r="X9659" s="8"/>
    </row>
    <row r="9660" spans="24:24" x14ac:dyDescent="0.35">
      <c r="X9660" s="8"/>
    </row>
    <row r="9661" spans="24:24" x14ac:dyDescent="0.35">
      <c r="X9661" s="8"/>
    </row>
    <row r="9662" spans="24:24" x14ac:dyDescent="0.35">
      <c r="X9662" s="8"/>
    </row>
    <row r="9663" spans="24:24" x14ac:dyDescent="0.35">
      <c r="X9663" s="8"/>
    </row>
    <row r="9664" spans="24:24" x14ac:dyDescent="0.35">
      <c r="X9664" s="8"/>
    </row>
    <row r="9665" spans="24:24" x14ac:dyDescent="0.35">
      <c r="X9665" s="8"/>
    </row>
    <row r="9666" spans="24:24" x14ac:dyDescent="0.35">
      <c r="X9666" s="8"/>
    </row>
    <row r="9667" spans="24:24" x14ac:dyDescent="0.35">
      <c r="X9667" s="8"/>
    </row>
    <row r="9668" spans="24:24" x14ac:dyDescent="0.35">
      <c r="X9668" s="8"/>
    </row>
    <row r="9669" spans="24:24" x14ac:dyDescent="0.35">
      <c r="X9669" s="8"/>
    </row>
    <row r="9670" spans="24:24" x14ac:dyDescent="0.35">
      <c r="X9670" s="8"/>
    </row>
    <row r="9671" spans="24:24" x14ac:dyDescent="0.35">
      <c r="X9671" s="8"/>
    </row>
    <row r="9672" spans="24:24" x14ac:dyDescent="0.35">
      <c r="X9672" s="8"/>
    </row>
    <row r="9673" spans="24:24" x14ac:dyDescent="0.35">
      <c r="X9673" s="8"/>
    </row>
    <row r="9674" spans="24:24" x14ac:dyDescent="0.35">
      <c r="X9674" s="8"/>
    </row>
    <row r="9675" spans="24:24" x14ac:dyDescent="0.35">
      <c r="X9675" s="8"/>
    </row>
    <row r="9676" spans="24:24" x14ac:dyDescent="0.35">
      <c r="X9676" s="8"/>
    </row>
    <row r="9677" spans="24:24" x14ac:dyDescent="0.35">
      <c r="X9677" s="8"/>
    </row>
    <row r="9678" spans="24:24" x14ac:dyDescent="0.35">
      <c r="X9678" s="8"/>
    </row>
    <row r="9679" spans="24:24" x14ac:dyDescent="0.35">
      <c r="X9679" s="8"/>
    </row>
    <row r="9680" spans="24:24" x14ac:dyDescent="0.35">
      <c r="X9680" s="8"/>
    </row>
    <row r="9681" spans="24:24" x14ac:dyDescent="0.35">
      <c r="X9681" s="8"/>
    </row>
    <row r="9682" spans="24:24" x14ac:dyDescent="0.35">
      <c r="X9682" s="8"/>
    </row>
    <row r="9683" spans="24:24" x14ac:dyDescent="0.35">
      <c r="X9683" s="8"/>
    </row>
    <row r="9684" spans="24:24" x14ac:dyDescent="0.35">
      <c r="X9684" s="8"/>
    </row>
    <row r="9685" spans="24:24" x14ac:dyDescent="0.35">
      <c r="X9685" s="8"/>
    </row>
    <row r="9686" spans="24:24" x14ac:dyDescent="0.35">
      <c r="X9686" s="8"/>
    </row>
    <row r="9687" spans="24:24" x14ac:dyDescent="0.35">
      <c r="X9687" s="8"/>
    </row>
    <row r="9688" spans="24:24" x14ac:dyDescent="0.35">
      <c r="X9688" s="8"/>
    </row>
    <row r="9689" spans="24:24" x14ac:dyDescent="0.35">
      <c r="X9689" s="8"/>
    </row>
    <row r="9690" spans="24:24" x14ac:dyDescent="0.35">
      <c r="X9690" s="8"/>
    </row>
    <row r="9691" spans="24:24" x14ac:dyDescent="0.35">
      <c r="X9691" s="8"/>
    </row>
    <row r="9692" spans="24:24" x14ac:dyDescent="0.35">
      <c r="X9692" s="8"/>
    </row>
    <row r="9693" spans="24:24" x14ac:dyDescent="0.35">
      <c r="X9693" s="8"/>
    </row>
    <row r="9694" spans="24:24" x14ac:dyDescent="0.35">
      <c r="X9694" s="8"/>
    </row>
    <row r="9695" spans="24:24" x14ac:dyDescent="0.35">
      <c r="X9695" s="8"/>
    </row>
    <row r="9696" spans="24:24" x14ac:dyDescent="0.35">
      <c r="X9696" s="8"/>
    </row>
    <row r="9697" spans="24:24" x14ac:dyDescent="0.35">
      <c r="X9697" s="8"/>
    </row>
    <row r="9698" spans="24:24" x14ac:dyDescent="0.35">
      <c r="X9698" s="8"/>
    </row>
    <row r="9699" spans="24:24" x14ac:dyDescent="0.35">
      <c r="X9699" s="8"/>
    </row>
    <row r="9700" spans="24:24" x14ac:dyDescent="0.35">
      <c r="X9700" s="8"/>
    </row>
    <row r="9701" spans="24:24" x14ac:dyDescent="0.35">
      <c r="X9701" s="8"/>
    </row>
    <row r="9702" spans="24:24" x14ac:dyDescent="0.35">
      <c r="X9702" s="8"/>
    </row>
    <row r="9703" spans="24:24" x14ac:dyDescent="0.35">
      <c r="X9703" s="8"/>
    </row>
    <row r="9704" spans="24:24" x14ac:dyDescent="0.35">
      <c r="X9704" s="8"/>
    </row>
    <row r="9705" spans="24:24" x14ac:dyDescent="0.35">
      <c r="X9705" s="8"/>
    </row>
    <row r="9706" spans="24:24" x14ac:dyDescent="0.35">
      <c r="X9706" s="8"/>
    </row>
    <row r="9707" spans="24:24" x14ac:dyDescent="0.35">
      <c r="X9707" s="8"/>
    </row>
    <row r="9708" spans="24:24" x14ac:dyDescent="0.35">
      <c r="X9708" s="8"/>
    </row>
    <row r="9709" spans="24:24" x14ac:dyDescent="0.35">
      <c r="X9709" s="8"/>
    </row>
    <row r="9710" spans="24:24" x14ac:dyDescent="0.35">
      <c r="X9710" s="8"/>
    </row>
    <row r="9711" spans="24:24" x14ac:dyDescent="0.35">
      <c r="X9711" s="8"/>
    </row>
    <row r="9712" spans="24:24" x14ac:dyDescent="0.35">
      <c r="X9712" s="8"/>
    </row>
    <row r="9713" spans="24:24" x14ac:dyDescent="0.35">
      <c r="X9713" s="8"/>
    </row>
    <row r="9714" spans="24:24" x14ac:dyDescent="0.35">
      <c r="X9714" s="8"/>
    </row>
    <row r="9715" spans="24:24" x14ac:dyDescent="0.35">
      <c r="X9715" s="8"/>
    </row>
    <row r="9716" spans="24:24" x14ac:dyDescent="0.35">
      <c r="X9716" s="8"/>
    </row>
    <row r="9717" spans="24:24" x14ac:dyDescent="0.35">
      <c r="X9717" s="8"/>
    </row>
    <row r="9718" spans="24:24" x14ac:dyDescent="0.35">
      <c r="X9718" s="8"/>
    </row>
    <row r="9719" spans="24:24" x14ac:dyDescent="0.35">
      <c r="X9719" s="8"/>
    </row>
    <row r="9720" spans="24:24" x14ac:dyDescent="0.35">
      <c r="X9720" s="8"/>
    </row>
    <row r="9721" spans="24:24" x14ac:dyDescent="0.35">
      <c r="X9721" s="8"/>
    </row>
    <row r="9722" spans="24:24" x14ac:dyDescent="0.35">
      <c r="X9722" s="8"/>
    </row>
    <row r="9723" spans="24:24" x14ac:dyDescent="0.35">
      <c r="X9723" s="8"/>
    </row>
    <row r="9724" spans="24:24" x14ac:dyDescent="0.35">
      <c r="X9724" s="8"/>
    </row>
    <row r="9725" spans="24:24" x14ac:dyDescent="0.35">
      <c r="X9725" s="8"/>
    </row>
    <row r="9726" spans="24:24" x14ac:dyDescent="0.35">
      <c r="X9726" s="8"/>
    </row>
    <row r="9727" spans="24:24" x14ac:dyDescent="0.35">
      <c r="X9727" s="8"/>
    </row>
    <row r="9728" spans="24:24" x14ac:dyDescent="0.35">
      <c r="X9728" s="8"/>
    </row>
    <row r="9729" spans="24:24" x14ac:dyDescent="0.35">
      <c r="X9729" s="8"/>
    </row>
    <row r="9730" spans="24:24" x14ac:dyDescent="0.35">
      <c r="X9730" s="8"/>
    </row>
    <row r="9731" spans="24:24" x14ac:dyDescent="0.35">
      <c r="X9731" s="8"/>
    </row>
    <row r="9732" spans="24:24" x14ac:dyDescent="0.35">
      <c r="X9732" s="8"/>
    </row>
    <row r="9733" spans="24:24" x14ac:dyDescent="0.35">
      <c r="X9733" s="8"/>
    </row>
    <row r="9734" spans="24:24" x14ac:dyDescent="0.35">
      <c r="X9734" s="8"/>
    </row>
    <row r="9735" spans="24:24" x14ac:dyDescent="0.35">
      <c r="X9735" s="8"/>
    </row>
    <row r="9736" spans="24:24" x14ac:dyDescent="0.35">
      <c r="X9736" s="8"/>
    </row>
    <row r="9737" spans="24:24" x14ac:dyDescent="0.35">
      <c r="X9737" s="8"/>
    </row>
    <row r="9738" spans="24:24" x14ac:dyDescent="0.35">
      <c r="X9738" s="8"/>
    </row>
    <row r="9739" spans="24:24" x14ac:dyDescent="0.35">
      <c r="X9739" s="8"/>
    </row>
    <row r="9740" spans="24:24" x14ac:dyDescent="0.35">
      <c r="X9740" s="8"/>
    </row>
    <row r="9741" spans="24:24" x14ac:dyDescent="0.35">
      <c r="X9741" s="8"/>
    </row>
    <row r="9742" spans="24:24" x14ac:dyDescent="0.35">
      <c r="X9742" s="8"/>
    </row>
    <row r="9743" spans="24:24" x14ac:dyDescent="0.35">
      <c r="X9743" s="8"/>
    </row>
    <row r="9744" spans="24:24" x14ac:dyDescent="0.35">
      <c r="X9744" s="8"/>
    </row>
    <row r="9745" spans="24:24" x14ac:dyDescent="0.35">
      <c r="X9745" s="8"/>
    </row>
    <row r="9746" spans="24:24" x14ac:dyDescent="0.35">
      <c r="X9746" s="8"/>
    </row>
    <row r="9747" spans="24:24" x14ac:dyDescent="0.35">
      <c r="X9747" s="8"/>
    </row>
    <row r="9748" spans="24:24" x14ac:dyDescent="0.35">
      <c r="X9748" s="8"/>
    </row>
    <row r="9749" spans="24:24" x14ac:dyDescent="0.35">
      <c r="X9749" s="8"/>
    </row>
    <row r="9750" spans="24:24" x14ac:dyDescent="0.35">
      <c r="X9750" s="8"/>
    </row>
    <row r="9751" spans="24:24" x14ac:dyDescent="0.35">
      <c r="X9751" s="8"/>
    </row>
    <row r="9752" spans="24:24" x14ac:dyDescent="0.35">
      <c r="X9752" s="8"/>
    </row>
    <row r="9753" spans="24:24" x14ac:dyDescent="0.35">
      <c r="X9753" s="8"/>
    </row>
    <row r="9754" spans="24:24" x14ac:dyDescent="0.35">
      <c r="X9754" s="8"/>
    </row>
    <row r="9755" spans="24:24" x14ac:dyDescent="0.35">
      <c r="X9755" s="8"/>
    </row>
    <row r="9756" spans="24:24" x14ac:dyDescent="0.35">
      <c r="X9756" s="8"/>
    </row>
    <row r="9757" spans="24:24" x14ac:dyDescent="0.35">
      <c r="X9757" s="8"/>
    </row>
    <row r="9758" spans="24:24" x14ac:dyDescent="0.35">
      <c r="X9758" s="8"/>
    </row>
    <row r="9759" spans="24:24" x14ac:dyDescent="0.35">
      <c r="X9759" s="8"/>
    </row>
    <row r="9760" spans="24:24" x14ac:dyDescent="0.35">
      <c r="X9760" s="8"/>
    </row>
    <row r="9761" spans="24:24" x14ac:dyDescent="0.35">
      <c r="X9761" s="8"/>
    </row>
    <row r="9762" spans="24:24" x14ac:dyDescent="0.35">
      <c r="X9762" s="8"/>
    </row>
    <row r="9763" spans="24:24" x14ac:dyDescent="0.35">
      <c r="X9763" s="8"/>
    </row>
    <row r="9764" spans="24:24" x14ac:dyDescent="0.35">
      <c r="X9764" s="8"/>
    </row>
    <row r="9765" spans="24:24" x14ac:dyDescent="0.35">
      <c r="X9765" s="8"/>
    </row>
    <row r="9766" spans="24:24" x14ac:dyDescent="0.35">
      <c r="X9766" s="8"/>
    </row>
    <row r="9767" spans="24:24" x14ac:dyDescent="0.35">
      <c r="X9767" s="8"/>
    </row>
    <row r="9768" spans="24:24" x14ac:dyDescent="0.35">
      <c r="X9768" s="8"/>
    </row>
    <row r="9769" spans="24:24" x14ac:dyDescent="0.35">
      <c r="X9769" s="8"/>
    </row>
    <row r="9770" spans="24:24" x14ac:dyDescent="0.35">
      <c r="X9770" s="8"/>
    </row>
    <row r="9771" spans="24:24" x14ac:dyDescent="0.35">
      <c r="X9771" s="8"/>
    </row>
    <row r="9772" spans="24:24" x14ac:dyDescent="0.35">
      <c r="X9772" s="8"/>
    </row>
    <row r="9773" spans="24:24" x14ac:dyDescent="0.35">
      <c r="X9773" s="8"/>
    </row>
    <row r="9774" spans="24:24" x14ac:dyDescent="0.35">
      <c r="X9774" s="8"/>
    </row>
    <row r="9775" spans="24:24" x14ac:dyDescent="0.35">
      <c r="X9775" s="8"/>
    </row>
    <row r="9776" spans="24:24" x14ac:dyDescent="0.35">
      <c r="X9776" s="8"/>
    </row>
    <row r="9777" spans="24:24" x14ac:dyDescent="0.35">
      <c r="X9777" s="8"/>
    </row>
    <row r="9778" spans="24:24" x14ac:dyDescent="0.35">
      <c r="X9778" s="8"/>
    </row>
    <row r="9779" spans="24:24" x14ac:dyDescent="0.35">
      <c r="X9779" s="8"/>
    </row>
    <row r="9780" spans="24:24" x14ac:dyDescent="0.35">
      <c r="X9780" s="8"/>
    </row>
    <row r="9781" spans="24:24" x14ac:dyDescent="0.35">
      <c r="X9781" s="8"/>
    </row>
    <row r="9782" spans="24:24" x14ac:dyDescent="0.35">
      <c r="X9782" s="8"/>
    </row>
    <row r="9783" spans="24:24" x14ac:dyDescent="0.35">
      <c r="X9783" s="8"/>
    </row>
    <row r="9784" spans="24:24" x14ac:dyDescent="0.35">
      <c r="X9784" s="8"/>
    </row>
    <row r="9785" spans="24:24" x14ac:dyDescent="0.35">
      <c r="X9785" s="8"/>
    </row>
    <row r="9786" spans="24:24" x14ac:dyDescent="0.35">
      <c r="X9786" s="8"/>
    </row>
    <row r="9787" spans="24:24" x14ac:dyDescent="0.35">
      <c r="X9787" s="8"/>
    </row>
    <row r="9788" spans="24:24" x14ac:dyDescent="0.35">
      <c r="X9788" s="8"/>
    </row>
    <row r="9789" spans="24:24" x14ac:dyDescent="0.35">
      <c r="X9789" s="8"/>
    </row>
    <row r="9790" spans="24:24" x14ac:dyDescent="0.35">
      <c r="X9790" s="8"/>
    </row>
    <row r="9791" spans="24:24" x14ac:dyDescent="0.35">
      <c r="X9791" s="8"/>
    </row>
    <row r="9792" spans="24:24" x14ac:dyDescent="0.35">
      <c r="X9792" s="8"/>
    </row>
    <row r="9793" spans="24:24" x14ac:dyDescent="0.35">
      <c r="X9793" s="8"/>
    </row>
    <row r="9794" spans="24:24" x14ac:dyDescent="0.35">
      <c r="X9794" s="8"/>
    </row>
    <row r="9795" spans="24:24" x14ac:dyDescent="0.35">
      <c r="X9795" s="8"/>
    </row>
    <row r="9796" spans="24:24" x14ac:dyDescent="0.35">
      <c r="X9796" s="8"/>
    </row>
    <row r="9797" spans="24:24" x14ac:dyDescent="0.35">
      <c r="X9797" s="8"/>
    </row>
    <row r="9798" spans="24:24" x14ac:dyDescent="0.35">
      <c r="X9798" s="8"/>
    </row>
    <row r="9799" spans="24:24" x14ac:dyDescent="0.35">
      <c r="X9799" s="8"/>
    </row>
    <row r="9800" spans="24:24" x14ac:dyDescent="0.35">
      <c r="X9800" s="8"/>
    </row>
    <row r="9801" spans="24:24" x14ac:dyDescent="0.35">
      <c r="X9801" s="8"/>
    </row>
    <row r="9802" spans="24:24" x14ac:dyDescent="0.35">
      <c r="X9802" s="8"/>
    </row>
    <row r="9803" spans="24:24" x14ac:dyDescent="0.35">
      <c r="X9803" s="8"/>
    </row>
    <row r="9804" spans="24:24" x14ac:dyDescent="0.35">
      <c r="X9804" s="8"/>
    </row>
    <row r="9805" spans="24:24" x14ac:dyDescent="0.35">
      <c r="X9805" s="8"/>
    </row>
    <row r="9806" spans="24:24" x14ac:dyDescent="0.35">
      <c r="X9806" s="8"/>
    </row>
    <row r="9807" spans="24:24" x14ac:dyDescent="0.35">
      <c r="X9807" s="8"/>
    </row>
    <row r="9808" spans="24:24" x14ac:dyDescent="0.35">
      <c r="X9808" s="8"/>
    </row>
    <row r="9809" spans="24:24" x14ac:dyDescent="0.35">
      <c r="X9809" s="8"/>
    </row>
    <row r="9810" spans="24:24" x14ac:dyDescent="0.35">
      <c r="X9810" s="8"/>
    </row>
    <row r="9811" spans="24:24" x14ac:dyDescent="0.35">
      <c r="X9811" s="8"/>
    </row>
    <row r="9812" spans="24:24" x14ac:dyDescent="0.35">
      <c r="X9812" s="8"/>
    </row>
    <row r="9813" spans="24:24" x14ac:dyDescent="0.35">
      <c r="X9813" s="8"/>
    </row>
    <row r="9814" spans="24:24" x14ac:dyDescent="0.35">
      <c r="X9814" s="8"/>
    </row>
    <row r="9815" spans="24:24" x14ac:dyDescent="0.35">
      <c r="X9815" s="8"/>
    </row>
    <row r="9816" spans="24:24" x14ac:dyDescent="0.35">
      <c r="X9816" s="8"/>
    </row>
    <row r="9817" spans="24:24" x14ac:dyDescent="0.35">
      <c r="X9817" s="8"/>
    </row>
    <row r="9818" spans="24:24" x14ac:dyDescent="0.35">
      <c r="X9818" s="8"/>
    </row>
    <row r="9819" spans="24:24" x14ac:dyDescent="0.35">
      <c r="X9819" s="8"/>
    </row>
    <row r="9820" spans="24:24" x14ac:dyDescent="0.35">
      <c r="X9820" s="8"/>
    </row>
    <row r="9821" spans="24:24" x14ac:dyDescent="0.35">
      <c r="X9821" s="8"/>
    </row>
    <row r="9822" spans="24:24" x14ac:dyDescent="0.35">
      <c r="X9822" s="8"/>
    </row>
    <row r="9823" spans="24:24" x14ac:dyDescent="0.35">
      <c r="X9823" s="8"/>
    </row>
    <row r="9824" spans="24:24" x14ac:dyDescent="0.35">
      <c r="X9824" s="8"/>
    </row>
    <row r="9825" spans="24:24" x14ac:dyDescent="0.35">
      <c r="X9825" s="8"/>
    </row>
    <row r="9826" spans="24:24" x14ac:dyDescent="0.35">
      <c r="X9826" s="8"/>
    </row>
    <row r="9827" spans="24:24" x14ac:dyDescent="0.35">
      <c r="X9827" s="8"/>
    </row>
    <row r="9828" spans="24:24" x14ac:dyDescent="0.35">
      <c r="X9828" s="8"/>
    </row>
    <row r="9829" spans="24:24" x14ac:dyDescent="0.35">
      <c r="X9829" s="8"/>
    </row>
    <row r="9830" spans="24:24" x14ac:dyDescent="0.35">
      <c r="X9830" s="8"/>
    </row>
    <row r="9831" spans="24:24" x14ac:dyDescent="0.35">
      <c r="X9831" s="8"/>
    </row>
    <row r="9832" spans="24:24" x14ac:dyDescent="0.35">
      <c r="X9832" s="8"/>
    </row>
    <row r="9833" spans="24:24" x14ac:dyDescent="0.35">
      <c r="X9833" s="8"/>
    </row>
    <row r="9834" spans="24:24" x14ac:dyDescent="0.35">
      <c r="X9834" s="8"/>
    </row>
    <row r="9835" spans="24:24" x14ac:dyDescent="0.35">
      <c r="X9835" s="8"/>
    </row>
    <row r="9836" spans="24:24" x14ac:dyDescent="0.35">
      <c r="X9836" s="8"/>
    </row>
    <row r="9837" spans="24:24" x14ac:dyDescent="0.35">
      <c r="X9837" s="8"/>
    </row>
    <row r="9838" spans="24:24" x14ac:dyDescent="0.35">
      <c r="X9838" s="8"/>
    </row>
    <row r="9839" spans="24:24" x14ac:dyDescent="0.35">
      <c r="X9839" s="8"/>
    </row>
    <row r="9840" spans="24:24" x14ac:dyDescent="0.35">
      <c r="X9840" s="8"/>
    </row>
    <row r="9841" spans="24:24" x14ac:dyDescent="0.35">
      <c r="X9841" s="8"/>
    </row>
    <row r="9842" spans="24:24" x14ac:dyDescent="0.35">
      <c r="X9842" s="8"/>
    </row>
    <row r="9843" spans="24:24" x14ac:dyDescent="0.35">
      <c r="X9843" s="8"/>
    </row>
    <row r="9844" spans="24:24" x14ac:dyDescent="0.35">
      <c r="X9844" s="8"/>
    </row>
    <row r="9845" spans="24:24" x14ac:dyDescent="0.35">
      <c r="X9845" s="8"/>
    </row>
    <row r="9846" spans="24:24" x14ac:dyDescent="0.35">
      <c r="X9846" s="8"/>
    </row>
    <row r="9847" spans="24:24" x14ac:dyDescent="0.35">
      <c r="X9847" s="8"/>
    </row>
    <row r="9848" spans="24:24" x14ac:dyDescent="0.35">
      <c r="X9848" s="8"/>
    </row>
    <row r="9849" spans="24:24" x14ac:dyDescent="0.35">
      <c r="X9849" s="8"/>
    </row>
    <row r="9850" spans="24:24" x14ac:dyDescent="0.35">
      <c r="X9850" s="8"/>
    </row>
    <row r="9851" spans="24:24" x14ac:dyDescent="0.35">
      <c r="X9851" s="8"/>
    </row>
    <row r="9852" spans="24:24" x14ac:dyDescent="0.35">
      <c r="X9852" s="8"/>
    </row>
    <row r="9853" spans="24:24" x14ac:dyDescent="0.35">
      <c r="X9853" s="8"/>
    </row>
    <row r="9854" spans="24:24" x14ac:dyDescent="0.35">
      <c r="X9854" s="8"/>
    </row>
    <row r="9855" spans="24:24" x14ac:dyDescent="0.35">
      <c r="X9855" s="8"/>
    </row>
    <row r="9856" spans="24:24" x14ac:dyDescent="0.35">
      <c r="X9856" s="8"/>
    </row>
    <row r="9857" spans="24:24" x14ac:dyDescent="0.35">
      <c r="X9857" s="8"/>
    </row>
    <row r="9858" spans="24:24" x14ac:dyDescent="0.35">
      <c r="X9858" s="8"/>
    </row>
    <row r="9859" spans="24:24" x14ac:dyDescent="0.35">
      <c r="X9859" s="8"/>
    </row>
    <row r="9860" spans="24:24" x14ac:dyDescent="0.35">
      <c r="X9860" s="8"/>
    </row>
    <row r="9861" spans="24:24" x14ac:dyDescent="0.35">
      <c r="X9861" s="8"/>
    </row>
    <row r="9862" spans="24:24" x14ac:dyDescent="0.35">
      <c r="X9862" s="8"/>
    </row>
    <row r="9863" spans="24:24" x14ac:dyDescent="0.35">
      <c r="X9863" s="8"/>
    </row>
    <row r="9864" spans="24:24" x14ac:dyDescent="0.35">
      <c r="X9864" s="8"/>
    </row>
    <row r="9865" spans="24:24" x14ac:dyDescent="0.35">
      <c r="X9865" s="8"/>
    </row>
    <row r="9866" spans="24:24" x14ac:dyDescent="0.35">
      <c r="X9866" s="8"/>
    </row>
    <row r="9867" spans="24:24" x14ac:dyDescent="0.35">
      <c r="X9867" s="8"/>
    </row>
    <row r="9868" spans="24:24" x14ac:dyDescent="0.35">
      <c r="X9868" s="8"/>
    </row>
    <row r="9869" spans="24:24" x14ac:dyDescent="0.35">
      <c r="X9869" s="8"/>
    </row>
    <row r="9870" spans="24:24" x14ac:dyDescent="0.35">
      <c r="X9870" s="8"/>
    </row>
    <row r="9871" spans="24:24" x14ac:dyDescent="0.35">
      <c r="X9871" s="8"/>
    </row>
    <row r="9872" spans="24:24" x14ac:dyDescent="0.35">
      <c r="X9872" s="8"/>
    </row>
    <row r="9873" spans="24:24" x14ac:dyDescent="0.35">
      <c r="X9873" s="8"/>
    </row>
    <row r="9874" spans="24:24" x14ac:dyDescent="0.35">
      <c r="X9874" s="8"/>
    </row>
    <row r="9875" spans="24:24" x14ac:dyDescent="0.35">
      <c r="X9875" s="8"/>
    </row>
    <row r="9876" spans="24:24" x14ac:dyDescent="0.35">
      <c r="X9876" s="8"/>
    </row>
    <row r="9877" spans="24:24" x14ac:dyDescent="0.35">
      <c r="X9877" s="8"/>
    </row>
    <row r="9878" spans="24:24" x14ac:dyDescent="0.35">
      <c r="X9878" s="8"/>
    </row>
    <row r="9879" spans="24:24" x14ac:dyDescent="0.35">
      <c r="X9879" s="8"/>
    </row>
    <row r="9880" spans="24:24" x14ac:dyDescent="0.35">
      <c r="X9880" s="8"/>
    </row>
    <row r="9881" spans="24:24" x14ac:dyDescent="0.35">
      <c r="X9881" s="8"/>
    </row>
    <row r="9882" spans="24:24" x14ac:dyDescent="0.35">
      <c r="X9882" s="8"/>
    </row>
    <row r="9883" spans="24:24" x14ac:dyDescent="0.35">
      <c r="X9883" s="8"/>
    </row>
    <row r="9884" spans="24:24" x14ac:dyDescent="0.35">
      <c r="X9884" s="8"/>
    </row>
    <row r="9885" spans="24:24" x14ac:dyDescent="0.35">
      <c r="X9885" s="8"/>
    </row>
    <row r="9886" spans="24:24" x14ac:dyDescent="0.35">
      <c r="X9886" s="8"/>
    </row>
    <row r="9887" spans="24:24" x14ac:dyDescent="0.35">
      <c r="X9887" s="8"/>
    </row>
    <row r="9888" spans="24:24" x14ac:dyDescent="0.35">
      <c r="X9888" s="8"/>
    </row>
    <row r="9889" spans="24:24" x14ac:dyDescent="0.35">
      <c r="X9889" s="8"/>
    </row>
    <row r="9890" spans="24:24" x14ac:dyDescent="0.35">
      <c r="X9890" s="8"/>
    </row>
    <row r="9891" spans="24:24" x14ac:dyDescent="0.35">
      <c r="X9891" s="8"/>
    </row>
    <row r="9892" spans="24:24" x14ac:dyDescent="0.35">
      <c r="X9892" s="8"/>
    </row>
    <row r="9893" spans="24:24" x14ac:dyDescent="0.35">
      <c r="X9893" s="8"/>
    </row>
    <row r="9894" spans="24:24" x14ac:dyDescent="0.35">
      <c r="X9894" s="8"/>
    </row>
    <row r="9895" spans="24:24" x14ac:dyDescent="0.35">
      <c r="X9895" s="8"/>
    </row>
    <row r="9896" spans="24:24" x14ac:dyDescent="0.35">
      <c r="X9896" s="8"/>
    </row>
    <row r="9897" spans="24:24" x14ac:dyDescent="0.35">
      <c r="X9897" s="8"/>
    </row>
    <row r="9898" spans="24:24" x14ac:dyDescent="0.35">
      <c r="X9898" s="8"/>
    </row>
    <row r="9899" spans="24:24" x14ac:dyDescent="0.35">
      <c r="X9899" s="8"/>
    </row>
    <row r="9900" spans="24:24" x14ac:dyDescent="0.35">
      <c r="X9900" s="8"/>
    </row>
    <row r="9901" spans="24:24" x14ac:dyDescent="0.35">
      <c r="X9901" s="8"/>
    </row>
    <row r="9902" spans="24:24" x14ac:dyDescent="0.35">
      <c r="X9902" s="8"/>
    </row>
    <row r="9903" spans="24:24" x14ac:dyDescent="0.35">
      <c r="X9903" s="8"/>
    </row>
    <row r="9904" spans="24:24" x14ac:dyDescent="0.35">
      <c r="X9904" s="8"/>
    </row>
    <row r="9905" spans="24:24" x14ac:dyDescent="0.35">
      <c r="X9905" s="8"/>
    </row>
    <row r="9906" spans="24:24" x14ac:dyDescent="0.35">
      <c r="X9906" s="8"/>
    </row>
    <row r="9907" spans="24:24" x14ac:dyDescent="0.35">
      <c r="X9907" s="8"/>
    </row>
    <row r="9908" spans="24:24" x14ac:dyDescent="0.35">
      <c r="X9908" s="8"/>
    </row>
    <row r="9909" spans="24:24" x14ac:dyDescent="0.35">
      <c r="X9909" s="8"/>
    </row>
    <row r="9910" spans="24:24" x14ac:dyDescent="0.35">
      <c r="X9910" s="8"/>
    </row>
    <row r="9911" spans="24:24" x14ac:dyDescent="0.35">
      <c r="X9911" s="8"/>
    </row>
    <row r="9912" spans="24:24" x14ac:dyDescent="0.35">
      <c r="X9912" s="8"/>
    </row>
    <row r="9913" spans="24:24" x14ac:dyDescent="0.35">
      <c r="X9913" s="8"/>
    </row>
    <row r="9914" spans="24:24" x14ac:dyDescent="0.35">
      <c r="X9914" s="8"/>
    </row>
    <row r="9915" spans="24:24" x14ac:dyDescent="0.35">
      <c r="X9915" s="8"/>
    </row>
    <row r="9916" spans="24:24" x14ac:dyDescent="0.35">
      <c r="X9916" s="8"/>
    </row>
    <row r="9917" spans="24:24" x14ac:dyDescent="0.35">
      <c r="X9917" s="8"/>
    </row>
    <row r="9918" spans="24:24" x14ac:dyDescent="0.35">
      <c r="X9918" s="8"/>
    </row>
    <row r="9919" spans="24:24" x14ac:dyDescent="0.35">
      <c r="X9919" s="8"/>
    </row>
    <row r="9920" spans="24:24" x14ac:dyDescent="0.35">
      <c r="X9920" s="8"/>
    </row>
    <row r="9921" spans="24:24" x14ac:dyDescent="0.35">
      <c r="X9921" s="8"/>
    </row>
    <row r="9922" spans="24:24" x14ac:dyDescent="0.35">
      <c r="X9922" s="8"/>
    </row>
    <row r="9923" spans="24:24" x14ac:dyDescent="0.35">
      <c r="X9923" s="8"/>
    </row>
    <row r="9924" spans="24:24" x14ac:dyDescent="0.35">
      <c r="X9924" s="8"/>
    </row>
    <row r="9925" spans="24:24" x14ac:dyDescent="0.35">
      <c r="X9925" s="8"/>
    </row>
    <row r="9926" spans="24:24" x14ac:dyDescent="0.35">
      <c r="X9926" s="8"/>
    </row>
    <row r="9927" spans="24:24" x14ac:dyDescent="0.35">
      <c r="X9927" s="8"/>
    </row>
    <row r="9928" spans="24:24" x14ac:dyDescent="0.35">
      <c r="X9928" s="8"/>
    </row>
    <row r="9929" spans="24:24" x14ac:dyDescent="0.35">
      <c r="X9929" s="8"/>
    </row>
    <row r="9930" spans="24:24" x14ac:dyDescent="0.35">
      <c r="X9930" s="8"/>
    </row>
    <row r="9931" spans="24:24" x14ac:dyDescent="0.35">
      <c r="X9931" s="8"/>
    </row>
    <row r="9932" spans="24:24" x14ac:dyDescent="0.35">
      <c r="X9932" s="8"/>
    </row>
    <row r="9933" spans="24:24" x14ac:dyDescent="0.35">
      <c r="X9933" s="8"/>
    </row>
    <row r="9934" spans="24:24" x14ac:dyDescent="0.35">
      <c r="X9934" s="8"/>
    </row>
    <row r="9935" spans="24:24" x14ac:dyDescent="0.35">
      <c r="X9935" s="8"/>
    </row>
    <row r="9936" spans="24:24" x14ac:dyDescent="0.35">
      <c r="X9936" s="8"/>
    </row>
    <row r="9937" spans="24:24" x14ac:dyDescent="0.35">
      <c r="X9937" s="8"/>
    </row>
    <row r="9938" spans="24:24" x14ac:dyDescent="0.35">
      <c r="X9938" s="8"/>
    </row>
    <row r="9939" spans="24:24" x14ac:dyDescent="0.35">
      <c r="X9939" s="8"/>
    </row>
    <row r="9940" spans="24:24" x14ac:dyDescent="0.35">
      <c r="X9940" s="8"/>
    </row>
    <row r="9941" spans="24:24" x14ac:dyDescent="0.35">
      <c r="X9941" s="8"/>
    </row>
    <row r="9942" spans="24:24" x14ac:dyDescent="0.35">
      <c r="X9942" s="8"/>
    </row>
    <row r="9943" spans="24:24" x14ac:dyDescent="0.35">
      <c r="X9943" s="8"/>
    </row>
    <row r="9944" spans="24:24" x14ac:dyDescent="0.35">
      <c r="X9944" s="8"/>
    </row>
    <row r="9945" spans="24:24" x14ac:dyDescent="0.35">
      <c r="X9945" s="8"/>
    </row>
    <row r="9946" spans="24:24" x14ac:dyDescent="0.35">
      <c r="X9946" s="8"/>
    </row>
    <row r="9947" spans="24:24" x14ac:dyDescent="0.35">
      <c r="X9947" s="8"/>
    </row>
    <row r="9948" spans="24:24" x14ac:dyDescent="0.35">
      <c r="X9948" s="8"/>
    </row>
    <row r="9949" spans="24:24" x14ac:dyDescent="0.35">
      <c r="X9949" s="8"/>
    </row>
    <row r="9950" spans="24:24" x14ac:dyDescent="0.35">
      <c r="X9950" s="8"/>
    </row>
    <row r="9951" spans="24:24" x14ac:dyDescent="0.35">
      <c r="X9951" s="8"/>
    </row>
    <row r="9952" spans="24:24" x14ac:dyDescent="0.35">
      <c r="X9952" s="8"/>
    </row>
    <row r="9953" spans="24:24" x14ac:dyDescent="0.35">
      <c r="X9953" s="8"/>
    </row>
    <row r="9954" spans="24:24" x14ac:dyDescent="0.35">
      <c r="X9954" s="8"/>
    </row>
    <row r="9955" spans="24:24" x14ac:dyDescent="0.35">
      <c r="X9955" s="8"/>
    </row>
    <row r="9956" spans="24:24" x14ac:dyDescent="0.35">
      <c r="X9956" s="8"/>
    </row>
    <row r="9957" spans="24:24" x14ac:dyDescent="0.35">
      <c r="X9957" s="8"/>
    </row>
    <row r="9958" spans="24:24" x14ac:dyDescent="0.35">
      <c r="X9958" s="8"/>
    </row>
    <row r="9959" spans="24:24" x14ac:dyDescent="0.35">
      <c r="X9959" s="8"/>
    </row>
    <row r="9960" spans="24:24" x14ac:dyDescent="0.35">
      <c r="X9960" s="8"/>
    </row>
    <row r="9961" spans="24:24" x14ac:dyDescent="0.35">
      <c r="X9961" s="8"/>
    </row>
    <row r="9962" spans="24:24" x14ac:dyDescent="0.35">
      <c r="X9962" s="8"/>
    </row>
    <row r="9963" spans="24:24" x14ac:dyDescent="0.35">
      <c r="X9963" s="8"/>
    </row>
    <row r="9964" spans="24:24" x14ac:dyDescent="0.35">
      <c r="X9964" s="8"/>
    </row>
    <row r="9965" spans="24:24" x14ac:dyDescent="0.35">
      <c r="X9965" s="8"/>
    </row>
    <row r="9966" spans="24:24" x14ac:dyDescent="0.35">
      <c r="X9966" s="8"/>
    </row>
    <row r="9967" spans="24:24" x14ac:dyDescent="0.35">
      <c r="X9967" s="8"/>
    </row>
    <row r="9968" spans="24:24" x14ac:dyDescent="0.35">
      <c r="X9968" s="8"/>
    </row>
    <row r="9969" spans="24:24" x14ac:dyDescent="0.35">
      <c r="X9969" s="8"/>
    </row>
    <row r="9970" spans="24:24" x14ac:dyDescent="0.35">
      <c r="X9970" s="8"/>
    </row>
    <row r="9971" spans="24:24" x14ac:dyDescent="0.35">
      <c r="X9971" s="8"/>
    </row>
    <row r="9972" spans="24:24" x14ac:dyDescent="0.35">
      <c r="X9972" s="8"/>
    </row>
    <row r="9973" spans="24:24" x14ac:dyDescent="0.35">
      <c r="X9973" s="8"/>
    </row>
    <row r="9974" spans="24:24" x14ac:dyDescent="0.35">
      <c r="X9974" s="8"/>
    </row>
    <row r="9975" spans="24:24" x14ac:dyDescent="0.35">
      <c r="X9975" s="8"/>
    </row>
    <row r="9976" spans="24:24" x14ac:dyDescent="0.35">
      <c r="X9976" s="8"/>
    </row>
    <row r="9977" spans="24:24" x14ac:dyDescent="0.35">
      <c r="X9977" s="8"/>
    </row>
    <row r="9978" spans="24:24" x14ac:dyDescent="0.35">
      <c r="X9978" s="8"/>
    </row>
    <row r="9979" spans="24:24" x14ac:dyDescent="0.35">
      <c r="X9979" s="8"/>
    </row>
    <row r="9980" spans="24:24" x14ac:dyDescent="0.35">
      <c r="X9980" s="8"/>
    </row>
    <row r="9981" spans="24:24" x14ac:dyDescent="0.35">
      <c r="X9981" s="8"/>
    </row>
    <row r="9982" spans="24:24" x14ac:dyDescent="0.35">
      <c r="X9982" s="8"/>
    </row>
    <row r="9983" spans="24:24" x14ac:dyDescent="0.35">
      <c r="X9983" s="8"/>
    </row>
    <row r="9984" spans="24:24" x14ac:dyDescent="0.35">
      <c r="X9984" s="8"/>
    </row>
    <row r="9985" spans="24:24" x14ac:dyDescent="0.35">
      <c r="X9985" s="8"/>
    </row>
    <row r="9986" spans="24:24" x14ac:dyDescent="0.35">
      <c r="X9986" s="8"/>
    </row>
    <row r="9987" spans="24:24" x14ac:dyDescent="0.35">
      <c r="X9987" s="8"/>
    </row>
    <row r="9988" spans="24:24" x14ac:dyDescent="0.35">
      <c r="X9988" s="8"/>
    </row>
    <row r="9989" spans="24:24" x14ac:dyDescent="0.35">
      <c r="X9989" s="8"/>
    </row>
    <row r="9990" spans="24:24" x14ac:dyDescent="0.35">
      <c r="X9990" s="8"/>
    </row>
    <row r="9991" spans="24:24" x14ac:dyDescent="0.35">
      <c r="X9991" s="8"/>
    </row>
    <row r="9992" spans="24:24" x14ac:dyDescent="0.35">
      <c r="X9992" s="8"/>
    </row>
    <row r="9993" spans="24:24" x14ac:dyDescent="0.35">
      <c r="X9993" s="8"/>
    </row>
    <row r="9994" spans="24:24" x14ac:dyDescent="0.35">
      <c r="X9994" s="8"/>
    </row>
    <row r="9995" spans="24:24" x14ac:dyDescent="0.35">
      <c r="X9995" s="8"/>
    </row>
    <row r="9996" spans="24:24" x14ac:dyDescent="0.35">
      <c r="X9996" s="8"/>
    </row>
    <row r="9997" spans="24:24" x14ac:dyDescent="0.35">
      <c r="X9997" s="8"/>
    </row>
    <row r="9998" spans="24:24" x14ac:dyDescent="0.35">
      <c r="X9998" s="8"/>
    </row>
    <row r="9999" spans="24:24" x14ac:dyDescent="0.35">
      <c r="X9999" s="8"/>
    </row>
    <row r="10000" spans="24:24" x14ac:dyDescent="0.35">
      <c r="X10000" s="8"/>
    </row>
    <row r="10001" spans="24:24" x14ac:dyDescent="0.35">
      <c r="X10001" s="8"/>
    </row>
    <row r="10002" spans="24:24" x14ac:dyDescent="0.35">
      <c r="X10002" s="8"/>
    </row>
    <row r="10003" spans="24:24" x14ac:dyDescent="0.35">
      <c r="X10003" s="8"/>
    </row>
    <row r="10004" spans="24:24" x14ac:dyDescent="0.35">
      <c r="X10004" s="8"/>
    </row>
    <row r="10005" spans="24:24" x14ac:dyDescent="0.35">
      <c r="X10005" s="8"/>
    </row>
    <row r="10006" spans="24:24" x14ac:dyDescent="0.35">
      <c r="X10006" s="8"/>
    </row>
    <row r="10007" spans="24:24" x14ac:dyDescent="0.35">
      <c r="X10007" s="8"/>
    </row>
    <row r="10008" spans="24:24" x14ac:dyDescent="0.35">
      <c r="X10008" s="8"/>
    </row>
    <row r="10009" spans="24:24" x14ac:dyDescent="0.35">
      <c r="X10009" s="8"/>
    </row>
    <row r="10010" spans="24:24" x14ac:dyDescent="0.35">
      <c r="X10010" s="8"/>
    </row>
    <row r="10011" spans="24:24" x14ac:dyDescent="0.35">
      <c r="X10011" s="8"/>
    </row>
    <row r="10012" spans="24:24" x14ac:dyDescent="0.35">
      <c r="X10012" s="8"/>
    </row>
    <row r="10013" spans="24:24" x14ac:dyDescent="0.35">
      <c r="X10013" s="8"/>
    </row>
    <row r="10014" spans="24:24" x14ac:dyDescent="0.35">
      <c r="X10014" s="8"/>
    </row>
    <row r="10015" spans="24:24" x14ac:dyDescent="0.35">
      <c r="X10015" s="8"/>
    </row>
    <row r="10016" spans="24:24" x14ac:dyDescent="0.35">
      <c r="X10016" s="8"/>
    </row>
    <row r="10017" spans="24:24" x14ac:dyDescent="0.35">
      <c r="X10017" s="8"/>
    </row>
    <row r="10018" spans="24:24" x14ac:dyDescent="0.35">
      <c r="X10018" s="8"/>
    </row>
    <row r="10019" spans="24:24" x14ac:dyDescent="0.35">
      <c r="X10019" s="8"/>
    </row>
    <row r="10020" spans="24:24" x14ac:dyDescent="0.35">
      <c r="X10020" s="8"/>
    </row>
    <row r="10021" spans="24:24" x14ac:dyDescent="0.35">
      <c r="X10021" s="8"/>
    </row>
    <row r="10022" spans="24:24" x14ac:dyDescent="0.35">
      <c r="X10022" s="8"/>
    </row>
    <row r="10023" spans="24:24" x14ac:dyDescent="0.35">
      <c r="X10023" s="8"/>
    </row>
    <row r="10024" spans="24:24" x14ac:dyDescent="0.35">
      <c r="X10024" s="8"/>
    </row>
    <row r="10025" spans="24:24" x14ac:dyDescent="0.35">
      <c r="X10025" s="8"/>
    </row>
    <row r="10026" spans="24:24" x14ac:dyDescent="0.35">
      <c r="X10026" s="8"/>
    </row>
    <row r="10027" spans="24:24" x14ac:dyDescent="0.35">
      <c r="X10027" s="8"/>
    </row>
    <row r="10028" spans="24:24" x14ac:dyDescent="0.35">
      <c r="X10028" s="8"/>
    </row>
    <row r="10029" spans="24:24" x14ac:dyDescent="0.35">
      <c r="X10029" s="8"/>
    </row>
    <row r="10030" spans="24:24" x14ac:dyDescent="0.35">
      <c r="X10030" s="8"/>
    </row>
    <row r="10031" spans="24:24" x14ac:dyDescent="0.35">
      <c r="X10031" s="8"/>
    </row>
    <row r="10032" spans="24:24" x14ac:dyDescent="0.35">
      <c r="X10032" s="8"/>
    </row>
    <row r="10033" spans="24:24" x14ac:dyDescent="0.35">
      <c r="X10033" s="8"/>
    </row>
    <row r="10034" spans="24:24" x14ac:dyDescent="0.35">
      <c r="X10034" s="8"/>
    </row>
    <row r="10035" spans="24:24" x14ac:dyDescent="0.35">
      <c r="X10035" s="8"/>
    </row>
    <row r="10036" spans="24:24" x14ac:dyDescent="0.35">
      <c r="X10036" s="8"/>
    </row>
    <row r="10037" spans="24:24" x14ac:dyDescent="0.35">
      <c r="X10037" s="8"/>
    </row>
    <row r="10038" spans="24:24" x14ac:dyDescent="0.35">
      <c r="X10038" s="8"/>
    </row>
    <row r="10039" spans="24:24" x14ac:dyDescent="0.35">
      <c r="X10039" s="8"/>
    </row>
    <row r="10040" spans="24:24" x14ac:dyDescent="0.35">
      <c r="X10040" s="8"/>
    </row>
    <row r="10041" spans="24:24" x14ac:dyDescent="0.35">
      <c r="X10041" s="8"/>
    </row>
    <row r="10042" spans="24:24" x14ac:dyDescent="0.35">
      <c r="X10042" s="8"/>
    </row>
    <row r="10043" spans="24:24" x14ac:dyDescent="0.35">
      <c r="X10043" s="8"/>
    </row>
    <row r="10044" spans="24:24" x14ac:dyDescent="0.35">
      <c r="X10044" s="8"/>
    </row>
    <row r="10045" spans="24:24" x14ac:dyDescent="0.35">
      <c r="X10045" s="8"/>
    </row>
    <row r="10046" spans="24:24" x14ac:dyDescent="0.35">
      <c r="X10046" s="8"/>
    </row>
    <row r="10047" spans="24:24" x14ac:dyDescent="0.35">
      <c r="X10047" s="8"/>
    </row>
    <row r="10048" spans="24:24" x14ac:dyDescent="0.35">
      <c r="X10048" s="8"/>
    </row>
    <row r="10049" spans="24:24" x14ac:dyDescent="0.35">
      <c r="X10049" s="8"/>
    </row>
    <row r="10050" spans="24:24" x14ac:dyDescent="0.35">
      <c r="X10050" s="8"/>
    </row>
    <row r="10051" spans="24:24" x14ac:dyDescent="0.35">
      <c r="X10051" s="8"/>
    </row>
    <row r="10052" spans="24:24" x14ac:dyDescent="0.35">
      <c r="X10052" s="8"/>
    </row>
    <row r="10053" spans="24:24" x14ac:dyDescent="0.35">
      <c r="X10053" s="8"/>
    </row>
    <row r="10054" spans="24:24" x14ac:dyDescent="0.35">
      <c r="X10054" s="8"/>
    </row>
    <row r="10055" spans="24:24" x14ac:dyDescent="0.35">
      <c r="X10055" s="8"/>
    </row>
    <row r="10056" spans="24:24" x14ac:dyDescent="0.35">
      <c r="X10056" s="8"/>
    </row>
    <row r="10057" spans="24:24" x14ac:dyDescent="0.35">
      <c r="X10057" s="8"/>
    </row>
    <row r="10058" spans="24:24" x14ac:dyDescent="0.35">
      <c r="X10058" s="8"/>
    </row>
    <row r="10059" spans="24:24" x14ac:dyDescent="0.35">
      <c r="X10059" s="8"/>
    </row>
    <row r="10060" spans="24:24" x14ac:dyDescent="0.35">
      <c r="X10060" s="8"/>
    </row>
    <row r="10061" spans="24:24" x14ac:dyDescent="0.35">
      <c r="X10061" s="8"/>
    </row>
    <row r="10062" spans="24:24" x14ac:dyDescent="0.35">
      <c r="X10062" s="8"/>
    </row>
    <row r="10063" spans="24:24" x14ac:dyDescent="0.35">
      <c r="X10063" s="8"/>
    </row>
    <row r="10064" spans="24:24" x14ac:dyDescent="0.35">
      <c r="X10064" s="8"/>
    </row>
    <row r="10065" spans="24:24" x14ac:dyDescent="0.35">
      <c r="X10065" s="8"/>
    </row>
    <row r="10066" spans="24:24" x14ac:dyDescent="0.35">
      <c r="X10066" s="8"/>
    </row>
    <row r="10067" spans="24:24" x14ac:dyDescent="0.35">
      <c r="X10067" s="8"/>
    </row>
    <row r="10068" spans="24:24" x14ac:dyDescent="0.35">
      <c r="X10068" s="8"/>
    </row>
    <row r="10069" spans="24:24" x14ac:dyDescent="0.35">
      <c r="X10069" s="8"/>
    </row>
    <row r="10070" spans="24:24" x14ac:dyDescent="0.35">
      <c r="X10070" s="8"/>
    </row>
    <row r="10071" spans="24:24" x14ac:dyDescent="0.35">
      <c r="X10071" s="8"/>
    </row>
    <row r="10072" spans="24:24" x14ac:dyDescent="0.35">
      <c r="X10072" s="8"/>
    </row>
    <row r="10073" spans="24:24" x14ac:dyDescent="0.35">
      <c r="X10073" s="8"/>
    </row>
    <row r="10074" spans="24:24" x14ac:dyDescent="0.35">
      <c r="X10074" s="8"/>
    </row>
    <row r="10075" spans="24:24" x14ac:dyDescent="0.35">
      <c r="X10075" s="8"/>
    </row>
    <row r="10076" spans="24:24" x14ac:dyDescent="0.35">
      <c r="X10076" s="8"/>
    </row>
    <row r="10077" spans="24:24" x14ac:dyDescent="0.35">
      <c r="X10077" s="8"/>
    </row>
    <row r="10078" spans="24:24" x14ac:dyDescent="0.35">
      <c r="X10078" s="8"/>
    </row>
    <row r="10079" spans="24:24" x14ac:dyDescent="0.35">
      <c r="X10079" s="8"/>
    </row>
    <row r="10080" spans="24:24" x14ac:dyDescent="0.35">
      <c r="X10080" s="8"/>
    </row>
    <row r="10081" spans="24:24" x14ac:dyDescent="0.35">
      <c r="X10081" s="8"/>
    </row>
    <row r="10082" spans="24:24" x14ac:dyDescent="0.35">
      <c r="X10082" s="8"/>
    </row>
    <row r="10083" spans="24:24" x14ac:dyDescent="0.35">
      <c r="X10083" s="8"/>
    </row>
    <row r="10084" spans="24:24" x14ac:dyDescent="0.35">
      <c r="X10084" s="8"/>
    </row>
    <row r="10085" spans="24:24" x14ac:dyDescent="0.35">
      <c r="X10085" s="8"/>
    </row>
    <row r="10086" spans="24:24" x14ac:dyDescent="0.35">
      <c r="X10086" s="8"/>
    </row>
    <row r="10087" spans="24:24" x14ac:dyDescent="0.35">
      <c r="X10087" s="8"/>
    </row>
    <row r="10088" spans="24:24" x14ac:dyDescent="0.35">
      <c r="X10088" s="8"/>
    </row>
    <row r="10089" spans="24:24" x14ac:dyDescent="0.35">
      <c r="X10089" s="8"/>
    </row>
    <row r="10090" spans="24:24" x14ac:dyDescent="0.35">
      <c r="X10090" s="8"/>
    </row>
    <row r="10091" spans="24:24" x14ac:dyDescent="0.35">
      <c r="X10091" s="8"/>
    </row>
    <row r="10092" spans="24:24" x14ac:dyDescent="0.35">
      <c r="X10092" s="8"/>
    </row>
    <row r="10093" spans="24:24" x14ac:dyDescent="0.35">
      <c r="X10093" s="8"/>
    </row>
    <row r="10094" spans="24:24" x14ac:dyDescent="0.35">
      <c r="X10094" s="8"/>
    </row>
    <row r="10095" spans="24:24" x14ac:dyDescent="0.35">
      <c r="X10095" s="8"/>
    </row>
    <row r="10096" spans="24:24" x14ac:dyDescent="0.35">
      <c r="X10096" s="8"/>
    </row>
    <row r="10097" spans="24:24" x14ac:dyDescent="0.35">
      <c r="X10097" s="8"/>
    </row>
    <row r="10098" spans="24:24" x14ac:dyDescent="0.35">
      <c r="X10098" s="8"/>
    </row>
    <row r="10099" spans="24:24" x14ac:dyDescent="0.35">
      <c r="X10099" s="8"/>
    </row>
    <row r="10100" spans="24:24" x14ac:dyDescent="0.35">
      <c r="X10100" s="8"/>
    </row>
    <row r="10101" spans="24:24" x14ac:dyDescent="0.35">
      <c r="X10101" s="8"/>
    </row>
    <row r="10102" spans="24:24" x14ac:dyDescent="0.35">
      <c r="X10102" s="8"/>
    </row>
    <row r="10103" spans="24:24" x14ac:dyDescent="0.35">
      <c r="X10103" s="8"/>
    </row>
    <row r="10104" spans="24:24" x14ac:dyDescent="0.35">
      <c r="X10104" s="8"/>
    </row>
    <row r="10105" spans="24:24" x14ac:dyDescent="0.35">
      <c r="X10105" s="8"/>
    </row>
    <row r="10106" spans="24:24" x14ac:dyDescent="0.35">
      <c r="X10106" s="8"/>
    </row>
    <row r="10107" spans="24:24" x14ac:dyDescent="0.35">
      <c r="X10107" s="8"/>
    </row>
    <row r="10108" spans="24:24" x14ac:dyDescent="0.35">
      <c r="X10108" s="8"/>
    </row>
    <row r="10109" spans="24:24" x14ac:dyDescent="0.35">
      <c r="X10109" s="8"/>
    </row>
    <row r="10110" spans="24:24" x14ac:dyDescent="0.35">
      <c r="X10110" s="8"/>
    </row>
    <row r="10111" spans="24:24" x14ac:dyDescent="0.35">
      <c r="X10111" s="8"/>
    </row>
    <row r="10112" spans="24:24" x14ac:dyDescent="0.35">
      <c r="X10112" s="8"/>
    </row>
    <row r="10113" spans="24:24" x14ac:dyDescent="0.35">
      <c r="X10113" s="8"/>
    </row>
    <row r="10114" spans="24:24" x14ac:dyDescent="0.35">
      <c r="X10114" s="8"/>
    </row>
    <row r="10115" spans="24:24" x14ac:dyDescent="0.35">
      <c r="X10115" s="8"/>
    </row>
    <row r="10116" spans="24:24" x14ac:dyDescent="0.35">
      <c r="X10116" s="8"/>
    </row>
    <row r="10117" spans="24:24" x14ac:dyDescent="0.35">
      <c r="X10117" s="8"/>
    </row>
    <row r="10118" spans="24:24" x14ac:dyDescent="0.35">
      <c r="X10118" s="8"/>
    </row>
    <row r="10119" spans="24:24" x14ac:dyDescent="0.35">
      <c r="X10119" s="8"/>
    </row>
    <row r="10120" spans="24:24" x14ac:dyDescent="0.35">
      <c r="X10120" s="8"/>
    </row>
    <row r="10121" spans="24:24" x14ac:dyDescent="0.35">
      <c r="X10121" s="8"/>
    </row>
    <row r="10122" spans="24:24" x14ac:dyDescent="0.35">
      <c r="X10122" s="8"/>
    </row>
    <row r="10123" spans="24:24" x14ac:dyDescent="0.35">
      <c r="X10123" s="8"/>
    </row>
    <row r="10124" spans="24:24" x14ac:dyDescent="0.35">
      <c r="X10124" s="8"/>
    </row>
    <row r="10125" spans="24:24" x14ac:dyDescent="0.35">
      <c r="X10125" s="8"/>
    </row>
    <row r="10126" spans="24:24" x14ac:dyDescent="0.35">
      <c r="X10126" s="8"/>
    </row>
    <row r="10127" spans="24:24" x14ac:dyDescent="0.35">
      <c r="X10127" s="8"/>
    </row>
    <row r="10128" spans="24:24" x14ac:dyDescent="0.35">
      <c r="X10128" s="8"/>
    </row>
    <row r="10129" spans="24:24" x14ac:dyDescent="0.35">
      <c r="X10129" s="8"/>
    </row>
    <row r="10130" spans="24:24" x14ac:dyDescent="0.35">
      <c r="X10130" s="8"/>
    </row>
    <row r="10131" spans="24:24" x14ac:dyDescent="0.35">
      <c r="X10131" s="8"/>
    </row>
    <row r="10132" spans="24:24" x14ac:dyDescent="0.35">
      <c r="X10132" s="8"/>
    </row>
    <row r="10133" spans="24:24" x14ac:dyDescent="0.35">
      <c r="X10133" s="8"/>
    </row>
    <row r="10134" spans="24:24" x14ac:dyDescent="0.35">
      <c r="X10134" s="8"/>
    </row>
    <row r="10135" spans="24:24" x14ac:dyDescent="0.35">
      <c r="X10135" s="8"/>
    </row>
    <row r="10136" spans="24:24" x14ac:dyDescent="0.35">
      <c r="X10136" s="8"/>
    </row>
    <row r="10137" spans="24:24" x14ac:dyDescent="0.35">
      <c r="X10137" s="8"/>
    </row>
    <row r="10138" spans="24:24" x14ac:dyDescent="0.35">
      <c r="X10138" s="8"/>
    </row>
    <row r="10139" spans="24:24" x14ac:dyDescent="0.35">
      <c r="X10139" s="8"/>
    </row>
    <row r="10140" spans="24:24" x14ac:dyDescent="0.35">
      <c r="X10140" s="8"/>
    </row>
    <row r="10141" spans="24:24" x14ac:dyDescent="0.35">
      <c r="X10141" s="8"/>
    </row>
    <row r="10142" spans="24:24" x14ac:dyDescent="0.35">
      <c r="X10142" s="8"/>
    </row>
    <row r="10143" spans="24:24" x14ac:dyDescent="0.35">
      <c r="X10143" s="8"/>
    </row>
    <row r="10144" spans="24:24" x14ac:dyDescent="0.35">
      <c r="X10144" s="8"/>
    </row>
    <row r="10145" spans="24:24" x14ac:dyDescent="0.35">
      <c r="X10145" s="8"/>
    </row>
    <row r="10146" spans="24:24" x14ac:dyDescent="0.35">
      <c r="X10146" s="8"/>
    </row>
    <row r="10147" spans="24:24" x14ac:dyDescent="0.35">
      <c r="X10147" s="8"/>
    </row>
    <row r="10148" spans="24:24" x14ac:dyDescent="0.35">
      <c r="X10148" s="8"/>
    </row>
    <row r="10149" spans="24:24" x14ac:dyDescent="0.35">
      <c r="X10149" s="8"/>
    </row>
    <row r="10150" spans="24:24" x14ac:dyDescent="0.35">
      <c r="X10150" s="8"/>
    </row>
    <row r="10151" spans="24:24" x14ac:dyDescent="0.35">
      <c r="X10151" s="8"/>
    </row>
    <row r="10152" spans="24:24" x14ac:dyDescent="0.35">
      <c r="X10152" s="8"/>
    </row>
    <row r="10153" spans="24:24" x14ac:dyDescent="0.35">
      <c r="X10153" s="8"/>
    </row>
    <row r="10154" spans="24:24" x14ac:dyDescent="0.35">
      <c r="X10154" s="8"/>
    </row>
    <row r="10155" spans="24:24" x14ac:dyDescent="0.35">
      <c r="X10155" s="8"/>
    </row>
    <row r="10156" spans="24:24" x14ac:dyDescent="0.35">
      <c r="X10156" s="8"/>
    </row>
    <row r="10157" spans="24:24" x14ac:dyDescent="0.35">
      <c r="X10157" s="8"/>
    </row>
    <row r="10158" spans="24:24" x14ac:dyDescent="0.35">
      <c r="X10158" s="8"/>
    </row>
    <row r="10159" spans="24:24" x14ac:dyDescent="0.35">
      <c r="X10159" s="8"/>
    </row>
    <row r="10160" spans="24:24" x14ac:dyDescent="0.35">
      <c r="X10160" s="8"/>
    </row>
    <row r="10161" spans="24:24" x14ac:dyDescent="0.35">
      <c r="X10161" s="8"/>
    </row>
    <row r="10162" spans="24:24" x14ac:dyDescent="0.35">
      <c r="X10162" s="8"/>
    </row>
    <row r="10163" spans="24:24" x14ac:dyDescent="0.35">
      <c r="X10163" s="8"/>
    </row>
    <row r="10164" spans="24:24" x14ac:dyDescent="0.35">
      <c r="X10164" s="8"/>
    </row>
    <row r="10165" spans="24:24" x14ac:dyDescent="0.35">
      <c r="X10165" s="8"/>
    </row>
    <row r="10166" spans="24:24" x14ac:dyDescent="0.35">
      <c r="X10166" s="8"/>
    </row>
    <row r="10167" spans="24:24" x14ac:dyDescent="0.35">
      <c r="X10167" s="8"/>
    </row>
    <row r="10168" spans="24:24" x14ac:dyDescent="0.35">
      <c r="X10168" s="8"/>
    </row>
    <row r="10169" spans="24:24" x14ac:dyDescent="0.35">
      <c r="X10169" s="8"/>
    </row>
    <row r="10170" spans="24:24" x14ac:dyDescent="0.35">
      <c r="X10170" s="8"/>
    </row>
    <row r="10171" spans="24:24" x14ac:dyDescent="0.35">
      <c r="X10171" s="8"/>
    </row>
    <row r="10172" spans="24:24" x14ac:dyDescent="0.35">
      <c r="X10172" s="8"/>
    </row>
    <row r="10173" spans="24:24" x14ac:dyDescent="0.35">
      <c r="X10173" s="8"/>
    </row>
    <row r="10174" spans="24:24" x14ac:dyDescent="0.35">
      <c r="X10174" s="8"/>
    </row>
    <row r="10175" spans="24:24" x14ac:dyDescent="0.35">
      <c r="X10175" s="8"/>
    </row>
    <row r="10176" spans="24:24" x14ac:dyDescent="0.35">
      <c r="X10176" s="8"/>
    </row>
    <row r="10177" spans="24:24" x14ac:dyDescent="0.35">
      <c r="X10177" s="8"/>
    </row>
    <row r="10178" spans="24:24" x14ac:dyDescent="0.35">
      <c r="X10178" s="8"/>
    </row>
    <row r="10179" spans="24:24" x14ac:dyDescent="0.35">
      <c r="X10179" s="8"/>
    </row>
    <row r="10180" spans="24:24" x14ac:dyDescent="0.35">
      <c r="X10180" s="8"/>
    </row>
    <row r="10181" spans="24:24" x14ac:dyDescent="0.35">
      <c r="X10181" s="8"/>
    </row>
    <row r="10182" spans="24:24" x14ac:dyDescent="0.35">
      <c r="X10182" s="8"/>
    </row>
    <row r="10183" spans="24:24" x14ac:dyDescent="0.35">
      <c r="X10183" s="8"/>
    </row>
    <row r="10184" spans="24:24" x14ac:dyDescent="0.35">
      <c r="X10184" s="8"/>
    </row>
    <row r="10185" spans="24:24" x14ac:dyDescent="0.35">
      <c r="X10185" s="8"/>
    </row>
    <row r="10186" spans="24:24" x14ac:dyDescent="0.35">
      <c r="X10186" s="8"/>
    </row>
    <row r="10187" spans="24:24" x14ac:dyDescent="0.35">
      <c r="X10187" s="8"/>
    </row>
    <row r="10188" spans="24:24" x14ac:dyDescent="0.35">
      <c r="X10188" s="8"/>
    </row>
    <row r="10189" spans="24:24" x14ac:dyDescent="0.35">
      <c r="X10189" s="8"/>
    </row>
    <row r="10190" spans="24:24" x14ac:dyDescent="0.35">
      <c r="X10190" s="8"/>
    </row>
    <row r="10191" spans="24:24" x14ac:dyDescent="0.35">
      <c r="X10191" s="8"/>
    </row>
    <row r="10192" spans="24:24" x14ac:dyDescent="0.35">
      <c r="X10192" s="8"/>
    </row>
    <row r="10193" spans="24:24" x14ac:dyDescent="0.35">
      <c r="X10193" s="8"/>
    </row>
    <row r="10194" spans="24:24" x14ac:dyDescent="0.35">
      <c r="X10194" s="8"/>
    </row>
    <row r="10195" spans="24:24" x14ac:dyDescent="0.35">
      <c r="X10195" s="8"/>
    </row>
    <row r="10196" spans="24:24" x14ac:dyDescent="0.35">
      <c r="X10196" s="8"/>
    </row>
    <row r="10197" spans="24:24" x14ac:dyDescent="0.35">
      <c r="X10197" s="8"/>
    </row>
    <row r="10198" spans="24:24" x14ac:dyDescent="0.35">
      <c r="X10198" s="8"/>
    </row>
    <row r="10199" spans="24:24" x14ac:dyDescent="0.35">
      <c r="X10199" s="8"/>
    </row>
    <row r="10200" spans="24:24" x14ac:dyDescent="0.35">
      <c r="X10200" s="8"/>
    </row>
    <row r="10201" spans="24:24" x14ac:dyDescent="0.35">
      <c r="X10201" s="8"/>
    </row>
    <row r="10202" spans="24:24" x14ac:dyDescent="0.35">
      <c r="X10202" s="8"/>
    </row>
    <row r="10203" spans="24:24" x14ac:dyDescent="0.35">
      <c r="X10203" s="8"/>
    </row>
    <row r="10204" spans="24:24" x14ac:dyDescent="0.35">
      <c r="X10204" s="8"/>
    </row>
    <row r="10205" spans="24:24" x14ac:dyDescent="0.35">
      <c r="X10205" s="8"/>
    </row>
    <row r="10206" spans="24:24" x14ac:dyDescent="0.35">
      <c r="X10206" s="8"/>
    </row>
    <row r="10207" spans="24:24" x14ac:dyDescent="0.35">
      <c r="X10207" s="8"/>
    </row>
    <row r="10208" spans="24:24" x14ac:dyDescent="0.35">
      <c r="X10208" s="8"/>
    </row>
    <row r="10209" spans="24:24" x14ac:dyDescent="0.35">
      <c r="X10209" s="8"/>
    </row>
    <row r="10210" spans="24:24" x14ac:dyDescent="0.35">
      <c r="X10210" s="8"/>
    </row>
    <row r="10211" spans="24:24" x14ac:dyDescent="0.35">
      <c r="X10211" s="8"/>
    </row>
    <row r="10212" spans="24:24" x14ac:dyDescent="0.35">
      <c r="X10212" s="8"/>
    </row>
    <row r="10213" spans="24:24" x14ac:dyDescent="0.35">
      <c r="X10213" s="8"/>
    </row>
    <row r="10214" spans="24:24" x14ac:dyDescent="0.35">
      <c r="X10214" s="8"/>
    </row>
    <row r="10215" spans="24:24" x14ac:dyDescent="0.35">
      <c r="X10215" s="8"/>
    </row>
    <row r="10216" spans="24:24" x14ac:dyDescent="0.35">
      <c r="X10216" s="8"/>
    </row>
    <row r="10217" spans="24:24" x14ac:dyDescent="0.35">
      <c r="X10217" s="8"/>
    </row>
    <row r="10218" spans="24:24" x14ac:dyDescent="0.35">
      <c r="X10218" s="8"/>
    </row>
    <row r="10219" spans="24:24" x14ac:dyDescent="0.35">
      <c r="X10219" s="8"/>
    </row>
    <row r="10220" spans="24:24" x14ac:dyDescent="0.35">
      <c r="X10220" s="8"/>
    </row>
    <row r="10221" spans="24:24" x14ac:dyDescent="0.35">
      <c r="X10221" s="8"/>
    </row>
    <row r="10222" spans="24:24" x14ac:dyDescent="0.35">
      <c r="X10222" s="8"/>
    </row>
    <row r="10223" spans="24:24" x14ac:dyDescent="0.35">
      <c r="X10223" s="8"/>
    </row>
    <row r="10224" spans="24:24" x14ac:dyDescent="0.35">
      <c r="X10224" s="8"/>
    </row>
    <row r="10225" spans="24:24" x14ac:dyDescent="0.35">
      <c r="X10225" s="8"/>
    </row>
    <row r="10226" spans="24:24" x14ac:dyDescent="0.35">
      <c r="X10226" s="8"/>
    </row>
    <row r="10227" spans="24:24" x14ac:dyDescent="0.35">
      <c r="X10227" s="8"/>
    </row>
    <row r="10228" spans="24:24" x14ac:dyDescent="0.35">
      <c r="X10228" s="8"/>
    </row>
    <row r="10229" spans="24:24" x14ac:dyDescent="0.35">
      <c r="X10229" s="8"/>
    </row>
    <row r="10230" spans="24:24" x14ac:dyDescent="0.35">
      <c r="X10230" s="8"/>
    </row>
    <row r="10231" spans="24:24" x14ac:dyDescent="0.35">
      <c r="X10231" s="8"/>
    </row>
    <row r="10232" spans="24:24" x14ac:dyDescent="0.35">
      <c r="X10232" s="8"/>
    </row>
    <row r="10233" spans="24:24" x14ac:dyDescent="0.35">
      <c r="X10233" s="8"/>
    </row>
    <row r="10234" spans="24:24" x14ac:dyDescent="0.35">
      <c r="X10234" s="8"/>
    </row>
    <row r="10235" spans="24:24" x14ac:dyDescent="0.35">
      <c r="X10235" s="8"/>
    </row>
    <row r="10236" spans="24:24" x14ac:dyDescent="0.35">
      <c r="X10236" s="8"/>
    </row>
    <row r="10237" spans="24:24" x14ac:dyDescent="0.35">
      <c r="X10237" s="8"/>
    </row>
    <row r="10238" spans="24:24" x14ac:dyDescent="0.35">
      <c r="X10238" s="8"/>
    </row>
    <row r="10239" spans="24:24" x14ac:dyDescent="0.35">
      <c r="X10239" s="8"/>
    </row>
    <row r="10240" spans="24:24" x14ac:dyDescent="0.35">
      <c r="X10240" s="8"/>
    </row>
    <row r="10241" spans="24:24" x14ac:dyDescent="0.35">
      <c r="X10241" s="8"/>
    </row>
    <row r="10242" spans="24:24" x14ac:dyDescent="0.35">
      <c r="X10242" s="8"/>
    </row>
    <row r="10243" spans="24:24" x14ac:dyDescent="0.35">
      <c r="X10243" s="8"/>
    </row>
    <row r="10244" spans="24:24" x14ac:dyDescent="0.35">
      <c r="X10244" s="8"/>
    </row>
    <row r="10245" spans="24:24" x14ac:dyDescent="0.35">
      <c r="X10245" s="8"/>
    </row>
    <row r="10246" spans="24:24" x14ac:dyDescent="0.35">
      <c r="X10246" s="8"/>
    </row>
    <row r="10247" spans="24:24" x14ac:dyDescent="0.35">
      <c r="X10247" s="8"/>
    </row>
    <row r="10248" spans="24:24" x14ac:dyDescent="0.35">
      <c r="X10248" s="8"/>
    </row>
    <row r="10249" spans="24:24" x14ac:dyDescent="0.35">
      <c r="X10249" s="8"/>
    </row>
    <row r="10250" spans="24:24" x14ac:dyDescent="0.35">
      <c r="X10250" s="8"/>
    </row>
    <row r="10251" spans="24:24" x14ac:dyDescent="0.35">
      <c r="X10251" s="8"/>
    </row>
    <row r="10252" spans="24:24" x14ac:dyDescent="0.35">
      <c r="X10252" s="8"/>
    </row>
    <row r="10253" spans="24:24" x14ac:dyDescent="0.35">
      <c r="X10253" s="8"/>
    </row>
    <row r="10254" spans="24:24" x14ac:dyDescent="0.35">
      <c r="X10254" s="8"/>
    </row>
    <row r="10255" spans="24:24" x14ac:dyDescent="0.35">
      <c r="X10255" s="8"/>
    </row>
    <row r="10256" spans="24:24" x14ac:dyDescent="0.35">
      <c r="X10256" s="8"/>
    </row>
    <row r="10257" spans="24:24" x14ac:dyDescent="0.35">
      <c r="X10257" s="8"/>
    </row>
    <row r="10258" spans="24:24" x14ac:dyDescent="0.35">
      <c r="X10258" s="8"/>
    </row>
    <row r="10259" spans="24:24" x14ac:dyDescent="0.35">
      <c r="X10259" s="8"/>
    </row>
    <row r="10260" spans="24:24" x14ac:dyDescent="0.35">
      <c r="X10260" s="8"/>
    </row>
    <row r="10261" spans="24:24" x14ac:dyDescent="0.35">
      <c r="X10261" s="8"/>
    </row>
    <row r="10262" spans="24:24" x14ac:dyDescent="0.35">
      <c r="X10262" s="8"/>
    </row>
    <row r="10263" spans="24:24" x14ac:dyDescent="0.35">
      <c r="X10263" s="8"/>
    </row>
    <row r="10264" spans="24:24" x14ac:dyDescent="0.35">
      <c r="X10264" s="8"/>
    </row>
    <row r="10265" spans="24:24" x14ac:dyDescent="0.35">
      <c r="X10265" s="8"/>
    </row>
    <row r="10266" spans="24:24" x14ac:dyDescent="0.35">
      <c r="X10266" s="8"/>
    </row>
    <row r="10267" spans="24:24" x14ac:dyDescent="0.35">
      <c r="X10267" s="8"/>
    </row>
    <row r="10268" spans="24:24" x14ac:dyDescent="0.35">
      <c r="X10268" s="8"/>
    </row>
    <row r="10269" spans="24:24" x14ac:dyDescent="0.35">
      <c r="X10269" s="8"/>
    </row>
    <row r="10270" spans="24:24" x14ac:dyDescent="0.35">
      <c r="X10270" s="8"/>
    </row>
    <row r="10271" spans="24:24" x14ac:dyDescent="0.35">
      <c r="X10271" s="8"/>
    </row>
    <row r="10272" spans="24:24" x14ac:dyDescent="0.35">
      <c r="X10272" s="8"/>
    </row>
    <row r="10273" spans="24:24" x14ac:dyDescent="0.35">
      <c r="X10273" s="8"/>
    </row>
    <row r="10274" spans="24:24" x14ac:dyDescent="0.35">
      <c r="X10274" s="8"/>
    </row>
    <row r="10275" spans="24:24" x14ac:dyDescent="0.35">
      <c r="X10275" s="8"/>
    </row>
    <row r="10276" spans="24:24" x14ac:dyDescent="0.35">
      <c r="X10276" s="8"/>
    </row>
    <row r="10277" spans="24:24" x14ac:dyDescent="0.35">
      <c r="X10277" s="8"/>
    </row>
    <row r="10278" spans="24:24" x14ac:dyDescent="0.35">
      <c r="X10278" s="8"/>
    </row>
    <row r="10279" spans="24:24" x14ac:dyDescent="0.35">
      <c r="X10279" s="8"/>
    </row>
    <row r="10280" spans="24:24" x14ac:dyDescent="0.35">
      <c r="X10280" s="8"/>
    </row>
    <row r="10281" spans="24:24" x14ac:dyDescent="0.35">
      <c r="X10281" s="8"/>
    </row>
    <row r="10282" spans="24:24" x14ac:dyDescent="0.35">
      <c r="X10282" s="8"/>
    </row>
    <row r="10283" spans="24:24" x14ac:dyDescent="0.35">
      <c r="X10283" s="8"/>
    </row>
    <row r="10284" spans="24:24" x14ac:dyDescent="0.35">
      <c r="X10284" s="8"/>
    </row>
    <row r="10285" spans="24:24" x14ac:dyDescent="0.35">
      <c r="X10285" s="8"/>
    </row>
    <row r="10286" spans="24:24" x14ac:dyDescent="0.35">
      <c r="X10286" s="8"/>
    </row>
    <row r="10287" spans="24:24" x14ac:dyDescent="0.35">
      <c r="X10287" s="8"/>
    </row>
    <row r="10288" spans="24:24" x14ac:dyDescent="0.35">
      <c r="X10288" s="8"/>
    </row>
    <row r="10289" spans="24:24" x14ac:dyDescent="0.35">
      <c r="X10289" s="8"/>
    </row>
    <row r="10290" spans="24:24" x14ac:dyDescent="0.35">
      <c r="X10290" s="8"/>
    </row>
    <row r="10291" spans="24:24" x14ac:dyDescent="0.35">
      <c r="X10291" s="8"/>
    </row>
    <row r="10292" spans="24:24" x14ac:dyDescent="0.35">
      <c r="X10292" s="8"/>
    </row>
    <row r="10293" spans="24:24" x14ac:dyDescent="0.35">
      <c r="X10293" s="8"/>
    </row>
    <row r="10294" spans="24:24" x14ac:dyDescent="0.35">
      <c r="X10294" s="8"/>
    </row>
    <row r="10295" spans="24:24" x14ac:dyDescent="0.35">
      <c r="X10295" s="8"/>
    </row>
    <row r="10296" spans="24:24" x14ac:dyDescent="0.35">
      <c r="X10296" s="8"/>
    </row>
    <row r="10297" spans="24:24" x14ac:dyDescent="0.35">
      <c r="X10297" s="8"/>
    </row>
    <row r="10298" spans="24:24" x14ac:dyDescent="0.35">
      <c r="X10298" s="8"/>
    </row>
    <row r="10299" spans="24:24" x14ac:dyDescent="0.35">
      <c r="X10299" s="8"/>
    </row>
    <row r="10300" spans="24:24" x14ac:dyDescent="0.35">
      <c r="X10300" s="8"/>
    </row>
    <row r="10301" spans="24:24" x14ac:dyDescent="0.35">
      <c r="X10301" s="8"/>
    </row>
    <row r="10302" spans="24:24" x14ac:dyDescent="0.35">
      <c r="X10302" s="8"/>
    </row>
    <row r="10303" spans="24:24" x14ac:dyDescent="0.35">
      <c r="X10303" s="8"/>
    </row>
    <row r="10304" spans="24:24" x14ac:dyDescent="0.35">
      <c r="X10304" s="8"/>
    </row>
    <row r="10305" spans="24:24" x14ac:dyDescent="0.35">
      <c r="X10305" s="8"/>
    </row>
    <row r="10306" spans="24:24" x14ac:dyDescent="0.35">
      <c r="X10306" s="8"/>
    </row>
    <row r="10307" spans="24:24" x14ac:dyDescent="0.35">
      <c r="X10307" s="8"/>
    </row>
    <row r="10308" spans="24:24" x14ac:dyDescent="0.35">
      <c r="X10308" s="8"/>
    </row>
    <row r="10309" spans="24:24" x14ac:dyDescent="0.35">
      <c r="X10309" s="8"/>
    </row>
    <row r="10310" spans="24:24" x14ac:dyDescent="0.35">
      <c r="X10310" s="8"/>
    </row>
    <row r="10311" spans="24:24" x14ac:dyDescent="0.35">
      <c r="X10311" s="8"/>
    </row>
    <row r="10312" spans="24:24" x14ac:dyDescent="0.35">
      <c r="X10312" s="8"/>
    </row>
    <row r="10313" spans="24:24" x14ac:dyDescent="0.35">
      <c r="X10313" s="8"/>
    </row>
    <row r="10314" spans="24:24" x14ac:dyDescent="0.35">
      <c r="X10314" s="8"/>
    </row>
    <row r="10315" spans="24:24" x14ac:dyDescent="0.35">
      <c r="X10315" s="8"/>
    </row>
    <row r="10316" spans="24:24" x14ac:dyDescent="0.35">
      <c r="X10316" s="8"/>
    </row>
    <row r="10317" spans="24:24" x14ac:dyDescent="0.35">
      <c r="X10317" s="8"/>
    </row>
    <row r="10318" spans="24:24" x14ac:dyDescent="0.35">
      <c r="X10318" s="8"/>
    </row>
    <row r="10319" spans="24:24" x14ac:dyDescent="0.35">
      <c r="X10319" s="8"/>
    </row>
    <row r="10320" spans="24:24" x14ac:dyDescent="0.35">
      <c r="X10320" s="8"/>
    </row>
    <row r="10321" spans="24:24" x14ac:dyDescent="0.35">
      <c r="X10321" s="8"/>
    </row>
    <row r="10322" spans="24:24" x14ac:dyDescent="0.35">
      <c r="X10322" s="8"/>
    </row>
    <row r="10323" spans="24:24" x14ac:dyDescent="0.35">
      <c r="X10323" s="8"/>
    </row>
    <row r="10324" spans="24:24" x14ac:dyDescent="0.35">
      <c r="X10324" s="8"/>
    </row>
    <row r="10325" spans="24:24" x14ac:dyDescent="0.35">
      <c r="X10325" s="8"/>
    </row>
    <row r="10326" spans="24:24" x14ac:dyDescent="0.35">
      <c r="X10326" s="8"/>
    </row>
    <row r="10327" spans="24:24" x14ac:dyDescent="0.35">
      <c r="X10327" s="8"/>
    </row>
    <row r="10328" spans="24:24" x14ac:dyDescent="0.35">
      <c r="X10328" s="8"/>
    </row>
    <row r="10329" spans="24:24" x14ac:dyDescent="0.35">
      <c r="X10329" s="8"/>
    </row>
    <row r="10330" spans="24:24" x14ac:dyDescent="0.35">
      <c r="X10330" s="8"/>
    </row>
    <row r="10331" spans="24:24" x14ac:dyDescent="0.35">
      <c r="X10331" s="8"/>
    </row>
    <row r="10332" spans="24:24" x14ac:dyDescent="0.35">
      <c r="X10332" s="8"/>
    </row>
    <row r="10333" spans="24:24" x14ac:dyDescent="0.35">
      <c r="X10333" s="8"/>
    </row>
    <row r="10334" spans="24:24" x14ac:dyDescent="0.35">
      <c r="X10334" s="8"/>
    </row>
    <row r="10335" spans="24:24" x14ac:dyDescent="0.35">
      <c r="X10335" s="8"/>
    </row>
    <row r="10336" spans="24:24" x14ac:dyDescent="0.35">
      <c r="X10336" s="8"/>
    </row>
    <row r="10337" spans="24:24" x14ac:dyDescent="0.35">
      <c r="X10337" s="8"/>
    </row>
    <row r="10338" spans="24:24" x14ac:dyDescent="0.35">
      <c r="X10338" s="8"/>
    </row>
    <row r="10339" spans="24:24" x14ac:dyDescent="0.35">
      <c r="X10339" s="8"/>
    </row>
    <row r="10340" spans="24:24" x14ac:dyDescent="0.35">
      <c r="X10340" s="8"/>
    </row>
    <row r="10341" spans="24:24" x14ac:dyDescent="0.35">
      <c r="X10341" s="8"/>
    </row>
    <row r="10342" spans="24:24" x14ac:dyDescent="0.35">
      <c r="X10342" s="8"/>
    </row>
    <row r="10343" spans="24:24" x14ac:dyDescent="0.35">
      <c r="X10343" s="8"/>
    </row>
    <row r="10344" spans="24:24" x14ac:dyDescent="0.35">
      <c r="X10344" s="8"/>
    </row>
    <row r="10345" spans="24:24" x14ac:dyDescent="0.35">
      <c r="X10345" s="8"/>
    </row>
    <row r="10346" spans="24:24" x14ac:dyDescent="0.35">
      <c r="X10346" s="8"/>
    </row>
    <row r="10347" spans="24:24" x14ac:dyDescent="0.35">
      <c r="X10347" s="8"/>
    </row>
    <row r="10348" spans="24:24" x14ac:dyDescent="0.35">
      <c r="X10348" s="8"/>
    </row>
    <row r="10349" spans="24:24" x14ac:dyDescent="0.35">
      <c r="X10349" s="8"/>
    </row>
    <row r="10350" spans="24:24" x14ac:dyDescent="0.35">
      <c r="X10350" s="8"/>
    </row>
    <row r="10351" spans="24:24" x14ac:dyDescent="0.35">
      <c r="X10351" s="8"/>
    </row>
    <row r="10352" spans="24:24" x14ac:dyDescent="0.35">
      <c r="X10352" s="8"/>
    </row>
    <row r="10353" spans="24:24" x14ac:dyDescent="0.35">
      <c r="X10353" s="8"/>
    </row>
    <row r="10354" spans="24:24" x14ac:dyDescent="0.35">
      <c r="X10354" s="8"/>
    </row>
    <row r="10355" spans="24:24" x14ac:dyDescent="0.35">
      <c r="X10355" s="8"/>
    </row>
    <row r="10356" spans="24:24" x14ac:dyDescent="0.35">
      <c r="X10356" s="8"/>
    </row>
    <row r="10357" spans="24:24" x14ac:dyDescent="0.35">
      <c r="X10357" s="8"/>
    </row>
    <row r="10358" spans="24:24" x14ac:dyDescent="0.35">
      <c r="X10358" s="8"/>
    </row>
    <row r="10359" spans="24:24" x14ac:dyDescent="0.35">
      <c r="X10359" s="8"/>
    </row>
    <row r="10360" spans="24:24" x14ac:dyDescent="0.35">
      <c r="X10360" s="8"/>
    </row>
    <row r="10361" spans="24:24" x14ac:dyDescent="0.35">
      <c r="X10361" s="8"/>
    </row>
    <row r="10362" spans="24:24" x14ac:dyDescent="0.35">
      <c r="X10362" s="8"/>
    </row>
    <row r="10363" spans="24:24" x14ac:dyDescent="0.35">
      <c r="X10363" s="8"/>
    </row>
    <row r="10364" spans="24:24" x14ac:dyDescent="0.35">
      <c r="X10364" s="8"/>
    </row>
    <row r="10365" spans="24:24" x14ac:dyDescent="0.35">
      <c r="X10365" s="8"/>
    </row>
    <row r="10366" spans="24:24" x14ac:dyDescent="0.35">
      <c r="X10366" s="8"/>
    </row>
    <row r="10367" spans="24:24" x14ac:dyDescent="0.35">
      <c r="X10367" s="8"/>
    </row>
    <row r="10368" spans="24:24" x14ac:dyDescent="0.35">
      <c r="X10368" s="8"/>
    </row>
    <row r="10369" spans="24:24" x14ac:dyDescent="0.35">
      <c r="X10369" s="8"/>
    </row>
    <row r="10370" spans="24:24" x14ac:dyDescent="0.35">
      <c r="X10370" s="8"/>
    </row>
    <row r="10371" spans="24:24" x14ac:dyDescent="0.35">
      <c r="X10371" s="8"/>
    </row>
    <row r="10372" spans="24:24" x14ac:dyDescent="0.35">
      <c r="X10372" s="8"/>
    </row>
    <row r="10373" spans="24:24" x14ac:dyDescent="0.35">
      <c r="X10373" s="8"/>
    </row>
    <row r="10374" spans="24:24" x14ac:dyDescent="0.35">
      <c r="X10374" s="8"/>
    </row>
    <row r="10375" spans="24:24" x14ac:dyDescent="0.35">
      <c r="X10375" s="8"/>
    </row>
    <row r="10376" spans="24:24" x14ac:dyDescent="0.35">
      <c r="X10376" s="8"/>
    </row>
    <row r="10377" spans="24:24" x14ac:dyDescent="0.35">
      <c r="X10377" s="8"/>
    </row>
    <row r="10378" spans="24:24" x14ac:dyDescent="0.35">
      <c r="X10378" s="8"/>
    </row>
    <row r="10379" spans="24:24" x14ac:dyDescent="0.35">
      <c r="X10379" s="8"/>
    </row>
    <row r="10380" spans="24:24" x14ac:dyDescent="0.35">
      <c r="X10380" s="8"/>
    </row>
    <row r="10381" spans="24:24" x14ac:dyDescent="0.35">
      <c r="X10381" s="8"/>
    </row>
    <row r="10382" spans="24:24" x14ac:dyDescent="0.35">
      <c r="X10382" s="8"/>
    </row>
    <row r="10383" spans="24:24" x14ac:dyDescent="0.35">
      <c r="X10383" s="8"/>
    </row>
    <row r="10384" spans="24:24" x14ac:dyDescent="0.35">
      <c r="X10384" s="8"/>
    </row>
    <row r="10385" spans="24:24" x14ac:dyDescent="0.35">
      <c r="X10385" s="8"/>
    </row>
    <row r="10386" spans="24:24" x14ac:dyDescent="0.35">
      <c r="X10386" s="8"/>
    </row>
    <row r="10387" spans="24:24" x14ac:dyDescent="0.35">
      <c r="X10387" s="8"/>
    </row>
    <row r="10388" spans="24:24" x14ac:dyDescent="0.35">
      <c r="X10388" s="8"/>
    </row>
    <row r="10389" spans="24:24" x14ac:dyDescent="0.35">
      <c r="X10389" s="8"/>
    </row>
    <row r="10390" spans="24:24" x14ac:dyDescent="0.35">
      <c r="X10390" s="8"/>
    </row>
    <row r="10391" spans="24:24" x14ac:dyDescent="0.35">
      <c r="X10391" s="8"/>
    </row>
    <row r="10392" spans="24:24" x14ac:dyDescent="0.35">
      <c r="X10392" s="8"/>
    </row>
    <row r="10393" spans="24:24" x14ac:dyDescent="0.35">
      <c r="X10393" s="8"/>
    </row>
    <row r="10394" spans="24:24" x14ac:dyDescent="0.35">
      <c r="X10394" s="8"/>
    </row>
    <row r="10395" spans="24:24" x14ac:dyDescent="0.35">
      <c r="X10395" s="8"/>
    </row>
    <row r="10396" spans="24:24" x14ac:dyDescent="0.35">
      <c r="X10396" s="8"/>
    </row>
    <row r="10397" spans="24:24" x14ac:dyDescent="0.35">
      <c r="X10397" s="8"/>
    </row>
    <row r="10398" spans="24:24" x14ac:dyDescent="0.35">
      <c r="X10398" s="8"/>
    </row>
    <row r="10399" spans="24:24" x14ac:dyDescent="0.35">
      <c r="X10399" s="8"/>
    </row>
    <row r="10400" spans="24:24" x14ac:dyDescent="0.35">
      <c r="X10400" s="8"/>
    </row>
    <row r="10401" spans="24:24" x14ac:dyDescent="0.35">
      <c r="X10401" s="8"/>
    </row>
    <row r="10402" spans="24:24" x14ac:dyDescent="0.35">
      <c r="X10402" s="8"/>
    </row>
    <row r="10403" spans="24:24" x14ac:dyDescent="0.35">
      <c r="X10403" s="8"/>
    </row>
    <row r="10404" spans="24:24" x14ac:dyDescent="0.35">
      <c r="X10404" s="8"/>
    </row>
    <row r="10405" spans="24:24" x14ac:dyDescent="0.35">
      <c r="X10405" s="8"/>
    </row>
    <row r="10406" spans="24:24" x14ac:dyDescent="0.35">
      <c r="X10406" s="8"/>
    </row>
    <row r="10407" spans="24:24" x14ac:dyDescent="0.35">
      <c r="X10407" s="8"/>
    </row>
    <row r="10408" spans="24:24" x14ac:dyDescent="0.35">
      <c r="X10408" s="8"/>
    </row>
    <row r="10409" spans="24:24" x14ac:dyDescent="0.35">
      <c r="X10409" s="8"/>
    </row>
    <row r="10410" spans="24:24" x14ac:dyDescent="0.35">
      <c r="X10410" s="8"/>
    </row>
    <row r="10411" spans="24:24" x14ac:dyDescent="0.35">
      <c r="X10411" s="8"/>
    </row>
    <row r="10412" spans="24:24" x14ac:dyDescent="0.35">
      <c r="X10412" s="8"/>
    </row>
    <row r="10413" spans="24:24" x14ac:dyDescent="0.35">
      <c r="X10413" s="8"/>
    </row>
    <row r="10414" spans="24:24" x14ac:dyDescent="0.35">
      <c r="X10414" s="8"/>
    </row>
    <row r="10415" spans="24:24" x14ac:dyDescent="0.35">
      <c r="X10415" s="8"/>
    </row>
    <row r="10416" spans="24:24" x14ac:dyDescent="0.35">
      <c r="X10416" s="8"/>
    </row>
    <row r="10417" spans="24:24" x14ac:dyDescent="0.35">
      <c r="X10417" s="8"/>
    </row>
    <row r="10418" spans="24:24" x14ac:dyDescent="0.35">
      <c r="X10418" s="8"/>
    </row>
    <row r="10419" spans="24:24" x14ac:dyDescent="0.35">
      <c r="X10419" s="8"/>
    </row>
    <row r="10420" spans="24:24" x14ac:dyDescent="0.35">
      <c r="X10420" s="8"/>
    </row>
    <row r="10421" spans="24:24" x14ac:dyDescent="0.35">
      <c r="X10421" s="8"/>
    </row>
    <row r="10422" spans="24:24" x14ac:dyDescent="0.35">
      <c r="X10422" s="8"/>
    </row>
    <row r="10423" spans="24:24" x14ac:dyDescent="0.35">
      <c r="X10423" s="8"/>
    </row>
    <row r="10424" spans="24:24" x14ac:dyDescent="0.35">
      <c r="X10424" s="8"/>
    </row>
    <row r="10425" spans="24:24" x14ac:dyDescent="0.35">
      <c r="X10425" s="8"/>
    </row>
    <row r="10426" spans="24:24" x14ac:dyDescent="0.35">
      <c r="X10426" s="8"/>
    </row>
    <row r="10427" spans="24:24" x14ac:dyDescent="0.35">
      <c r="X10427" s="8"/>
    </row>
    <row r="10428" spans="24:24" x14ac:dyDescent="0.35">
      <c r="X10428" s="8"/>
    </row>
    <row r="10429" spans="24:24" x14ac:dyDescent="0.35">
      <c r="X10429" s="8"/>
    </row>
    <row r="10430" spans="24:24" x14ac:dyDescent="0.35">
      <c r="X10430" s="8"/>
    </row>
    <row r="10431" spans="24:24" x14ac:dyDescent="0.35">
      <c r="X10431" s="8"/>
    </row>
    <row r="10432" spans="24:24" x14ac:dyDescent="0.35">
      <c r="X10432" s="8"/>
    </row>
    <row r="10433" spans="24:24" x14ac:dyDescent="0.35">
      <c r="X10433" s="8"/>
    </row>
    <row r="10434" spans="24:24" x14ac:dyDescent="0.35">
      <c r="X10434" s="8"/>
    </row>
    <row r="10435" spans="24:24" x14ac:dyDescent="0.35">
      <c r="X10435" s="8"/>
    </row>
    <row r="10436" spans="24:24" x14ac:dyDescent="0.35">
      <c r="X10436" s="8"/>
    </row>
    <row r="10437" spans="24:24" x14ac:dyDescent="0.35">
      <c r="X10437" s="8"/>
    </row>
    <row r="10438" spans="24:24" x14ac:dyDescent="0.35">
      <c r="X10438" s="8"/>
    </row>
    <row r="10439" spans="24:24" x14ac:dyDescent="0.35">
      <c r="X10439" s="8"/>
    </row>
    <row r="10440" spans="24:24" x14ac:dyDescent="0.35">
      <c r="X10440" s="8"/>
    </row>
    <row r="10441" spans="24:24" x14ac:dyDescent="0.35">
      <c r="X10441" s="8"/>
    </row>
    <row r="10442" spans="24:24" x14ac:dyDescent="0.35">
      <c r="X10442" s="8"/>
    </row>
    <row r="10443" spans="24:24" x14ac:dyDescent="0.35">
      <c r="X10443" s="8"/>
    </row>
    <row r="10444" spans="24:24" x14ac:dyDescent="0.35">
      <c r="X10444" s="8"/>
    </row>
    <row r="10445" spans="24:24" x14ac:dyDescent="0.35">
      <c r="X10445" s="8"/>
    </row>
    <row r="10446" spans="24:24" x14ac:dyDescent="0.35">
      <c r="X10446" s="8"/>
    </row>
    <row r="10447" spans="24:24" x14ac:dyDescent="0.35">
      <c r="X10447" s="8"/>
    </row>
    <row r="10448" spans="24:24" x14ac:dyDescent="0.35">
      <c r="X10448" s="8"/>
    </row>
    <row r="10449" spans="24:24" x14ac:dyDescent="0.35">
      <c r="X10449" s="8"/>
    </row>
    <row r="10450" spans="24:24" x14ac:dyDescent="0.35">
      <c r="X10450" s="8"/>
    </row>
    <row r="10451" spans="24:24" x14ac:dyDescent="0.35">
      <c r="X10451" s="8"/>
    </row>
    <row r="10452" spans="24:24" x14ac:dyDescent="0.35">
      <c r="X10452" s="8"/>
    </row>
    <row r="10453" spans="24:24" x14ac:dyDescent="0.35">
      <c r="X10453" s="8"/>
    </row>
    <row r="10454" spans="24:24" x14ac:dyDescent="0.35">
      <c r="X10454" s="8"/>
    </row>
    <row r="10455" spans="24:24" x14ac:dyDescent="0.35">
      <c r="X10455" s="8"/>
    </row>
    <row r="10456" spans="24:24" x14ac:dyDescent="0.35">
      <c r="X10456" s="8"/>
    </row>
    <row r="10457" spans="24:24" x14ac:dyDescent="0.35">
      <c r="X10457" s="8"/>
    </row>
    <row r="10458" spans="24:24" x14ac:dyDescent="0.35">
      <c r="X10458" s="8"/>
    </row>
    <row r="10459" spans="24:24" x14ac:dyDescent="0.35">
      <c r="X10459" s="8"/>
    </row>
    <row r="10460" spans="24:24" x14ac:dyDescent="0.35">
      <c r="X10460" s="8"/>
    </row>
    <row r="10461" spans="24:24" x14ac:dyDescent="0.35">
      <c r="X10461" s="8"/>
    </row>
    <row r="10462" spans="24:24" x14ac:dyDescent="0.35">
      <c r="X10462" s="8"/>
    </row>
    <row r="10463" spans="24:24" x14ac:dyDescent="0.35">
      <c r="X10463" s="8"/>
    </row>
    <row r="10464" spans="24:24" x14ac:dyDescent="0.35">
      <c r="X10464" s="8"/>
    </row>
    <row r="10465" spans="24:24" x14ac:dyDescent="0.35">
      <c r="X10465" s="8"/>
    </row>
    <row r="10466" spans="24:24" x14ac:dyDescent="0.35">
      <c r="X10466" s="8"/>
    </row>
    <row r="10467" spans="24:24" x14ac:dyDescent="0.35">
      <c r="X10467" s="8"/>
    </row>
    <row r="10468" spans="24:24" x14ac:dyDescent="0.35">
      <c r="X10468" s="8"/>
    </row>
    <row r="10469" spans="24:24" x14ac:dyDescent="0.35">
      <c r="X10469" s="8"/>
    </row>
    <row r="10470" spans="24:24" x14ac:dyDescent="0.35">
      <c r="X10470" s="8"/>
    </row>
    <row r="10471" spans="24:24" x14ac:dyDescent="0.35">
      <c r="X10471" s="8"/>
    </row>
    <row r="10472" spans="24:24" x14ac:dyDescent="0.35">
      <c r="X10472" s="8"/>
    </row>
    <row r="10473" spans="24:24" x14ac:dyDescent="0.35">
      <c r="X10473" s="8"/>
    </row>
    <row r="10474" spans="24:24" x14ac:dyDescent="0.35">
      <c r="X10474" s="8"/>
    </row>
    <row r="10475" spans="24:24" x14ac:dyDescent="0.35">
      <c r="X10475" s="8"/>
    </row>
    <row r="10476" spans="24:24" x14ac:dyDescent="0.35">
      <c r="X10476" s="8"/>
    </row>
    <row r="10477" spans="24:24" x14ac:dyDescent="0.35">
      <c r="X10477" s="8"/>
    </row>
    <row r="10478" spans="24:24" x14ac:dyDescent="0.35">
      <c r="X10478" s="8"/>
    </row>
    <row r="10479" spans="24:24" x14ac:dyDescent="0.35">
      <c r="X10479" s="8"/>
    </row>
    <row r="10480" spans="24:24" x14ac:dyDescent="0.35">
      <c r="X10480" s="8"/>
    </row>
    <row r="10481" spans="24:24" x14ac:dyDescent="0.35">
      <c r="X10481" s="8"/>
    </row>
    <row r="10482" spans="24:24" x14ac:dyDescent="0.35">
      <c r="X10482" s="8"/>
    </row>
    <row r="10483" spans="24:24" x14ac:dyDescent="0.35">
      <c r="X10483" s="8"/>
    </row>
    <row r="10484" spans="24:24" x14ac:dyDescent="0.35">
      <c r="X10484" s="8"/>
    </row>
    <row r="10485" spans="24:24" x14ac:dyDescent="0.35">
      <c r="X10485" s="8"/>
    </row>
    <row r="10486" spans="24:24" x14ac:dyDescent="0.35">
      <c r="X10486" s="8"/>
    </row>
    <row r="10487" spans="24:24" x14ac:dyDescent="0.35">
      <c r="X10487" s="8"/>
    </row>
    <row r="10488" spans="24:24" x14ac:dyDescent="0.35">
      <c r="X10488" s="8"/>
    </row>
    <row r="10489" spans="24:24" x14ac:dyDescent="0.35">
      <c r="X10489" s="8"/>
    </row>
    <row r="10490" spans="24:24" x14ac:dyDescent="0.35">
      <c r="X10490" s="8"/>
    </row>
    <row r="10491" spans="24:24" x14ac:dyDescent="0.35">
      <c r="X10491" s="8"/>
    </row>
    <row r="10492" spans="24:24" x14ac:dyDescent="0.35">
      <c r="X10492" s="8"/>
    </row>
    <row r="10493" spans="24:24" x14ac:dyDescent="0.35">
      <c r="X10493" s="8"/>
    </row>
    <row r="10494" spans="24:24" x14ac:dyDescent="0.35">
      <c r="X10494" s="8"/>
    </row>
    <row r="10495" spans="24:24" x14ac:dyDescent="0.35">
      <c r="X10495" s="8"/>
    </row>
    <row r="10496" spans="24:24" x14ac:dyDescent="0.35">
      <c r="X10496" s="8"/>
    </row>
    <row r="10497" spans="24:24" x14ac:dyDescent="0.35">
      <c r="X10497" s="8"/>
    </row>
    <row r="10498" spans="24:24" x14ac:dyDescent="0.35">
      <c r="X10498" s="8"/>
    </row>
    <row r="10499" spans="24:24" x14ac:dyDescent="0.35">
      <c r="X10499" s="8"/>
    </row>
    <row r="10500" spans="24:24" x14ac:dyDescent="0.35">
      <c r="X10500" s="8"/>
    </row>
    <row r="10501" spans="24:24" x14ac:dyDescent="0.35">
      <c r="X10501" s="8"/>
    </row>
    <row r="10502" spans="24:24" x14ac:dyDescent="0.35">
      <c r="X10502" s="8"/>
    </row>
    <row r="10503" spans="24:24" x14ac:dyDescent="0.35">
      <c r="X10503" s="8"/>
    </row>
    <row r="10504" spans="24:24" x14ac:dyDescent="0.35">
      <c r="X10504" s="8"/>
    </row>
    <row r="10505" spans="24:24" x14ac:dyDescent="0.35">
      <c r="X10505" s="8"/>
    </row>
    <row r="10506" spans="24:24" x14ac:dyDescent="0.35">
      <c r="X10506" s="8"/>
    </row>
    <row r="10507" spans="24:24" x14ac:dyDescent="0.35">
      <c r="X10507" s="8"/>
    </row>
    <row r="10508" spans="24:24" x14ac:dyDescent="0.35">
      <c r="X10508" s="8"/>
    </row>
    <row r="10509" spans="24:24" x14ac:dyDescent="0.35">
      <c r="X10509" s="8"/>
    </row>
    <row r="10510" spans="24:24" x14ac:dyDescent="0.35">
      <c r="X10510" s="8"/>
    </row>
    <row r="10511" spans="24:24" x14ac:dyDescent="0.35">
      <c r="X10511" s="8"/>
    </row>
    <row r="10512" spans="24:24" x14ac:dyDescent="0.35">
      <c r="X10512" s="8"/>
    </row>
    <row r="10513" spans="24:24" x14ac:dyDescent="0.35">
      <c r="X10513" s="8"/>
    </row>
    <row r="10514" spans="24:24" x14ac:dyDescent="0.35">
      <c r="X10514" s="8"/>
    </row>
    <row r="10515" spans="24:24" x14ac:dyDescent="0.35">
      <c r="X10515" s="8"/>
    </row>
    <row r="10516" spans="24:24" x14ac:dyDescent="0.35">
      <c r="X10516" s="8"/>
    </row>
    <row r="10517" spans="24:24" x14ac:dyDescent="0.35">
      <c r="X10517" s="8"/>
    </row>
    <row r="10518" spans="24:24" x14ac:dyDescent="0.35">
      <c r="X10518" s="8"/>
    </row>
    <row r="10519" spans="24:24" x14ac:dyDescent="0.35">
      <c r="X10519" s="8"/>
    </row>
    <row r="10520" spans="24:24" x14ac:dyDescent="0.35">
      <c r="X10520" s="8"/>
    </row>
    <row r="10521" spans="24:24" x14ac:dyDescent="0.35">
      <c r="X10521" s="8"/>
    </row>
    <row r="10522" spans="24:24" x14ac:dyDescent="0.35">
      <c r="X10522" s="8"/>
    </row>
    <row r="10523" spans="24:24" x14ac:dyDescent="0.35">
      <c r="X10523" s="8"/>
    </row>
    <row r="10524" spans="24:24" x14ac:dyDescent="0.35">
      <c r="X10524" s="8"/>
    </row>
    <row r="10525" spans="24:24" x14ac:dyDescent="0.35">
      <c r="X10525" s="8"/>
    </row>
    <row r="10526" spans="24:24" x14ac:dyDescent="0.35">
      <c r="X10526" s="8"/>
    </row>
    <row r="10527" spans="24:24" x14ac:dyDescent="0.35">
      <c r="X10527" s="8"/>
    </row>
    <row r="10528" spans="24:24" x14ac:dyDescent="0.35">
      <c r="X10528" s="8"/>
    </row>
    <row r="10529" spans="24:24" x14ac:dyDescent="0.35">
      <c r="X10529" s="8"/>
    </row>
    <row r="10530" spans="24:24" x14ac:dyDescent="0.35">
      <c r="X10530" s="8"/>
    </row>
    <row r="10531" spans="24:24" x14ac:dyDescent="0.35">
      <c r="X10531" s="8"/>
    </row>
    <row r="10532" spans="24:24" x14ac:dyDescent="0.35">
      <c r="X10532" s="8"/>
    </row>
    <row r="10533" spans="24:24" x14ac:dyDescent="0.35">
      <c r="X10533" s="8"/>
    </row>
    <row r="10534" spans="24:24" x14ac:dyDescent="0.35">
      <c r="X10534" s="8"/>
    </row>
    <row r="10535" spans="24:24" x14ac:dyDescent="0.35">
      <c r="X10535" s="8"/>
    </row>
    <row r="10536" spans="24:24" x14ac:dyDescent="0.35">
      <c r="X10536" s="8"/>
    </row>
    <row r="10537" spans="24:24" x14ac:dyDescent="0.35">
      <c r="X10537" s="8"/>
    </row>
    <row r="10538" spans="24:24" x14ac:dyDescent="0.35">
      <c r="X10538" s="8"/>
    </row>
    <row r="10539" spans="24:24" x14ac:dyDescent="0.35">
      <c r="X10539" s="8"/>
    </row>
    <row r="10540" spans="24:24" x14ac:dyDescent="0.35">
      <c r="X10540" s="8"/>
    </row>
    <row r="10541" spans="24:24" x14ac:dyDescent="0.35">
      <c r="X10541" s="8"/>
    </row>
    <row r="10542" spans="24:24" x14ac:dyDescent="0.35">
      <c r="X10542" s="8"/>
    </row>
    <row r="10543" spans="24:24" x14ac:dyDescent="0.35">
      <c r="X10543" s="8"/>
    </row>
    <row r="10544" spans="24:24" x14ac:dyDescent="0.35">
      <c r="X10544" s="8"/>
    </row>
    <row r="10545" spans="24:24" x14ac:dyDescent="0.35">
      <c r="X10545" s="8"/>
    </row>
    <row r="10546" spans="24:24" x14ac:dyDescent="0.35">
      <c r="X10546" s="8"/>
    </row>
    <row r="10547" spans="24:24" x14ac:dyDescent="0.35">
      <c r="X10547" s="8"/>
    </row>
    <row r="10548" spans="24:24" x14ac:dyDescent="0.35">
      <c r="X10548" s="8"/>
    </row>
    <row r="10549" spans="24:24" x14ac:dyDescent="0.35">
      <c r="X10549" s="8"/>
    </row>
    <row r="10550" spans="24:24" x14ac:dyDescent="0.35">
      <c r="X10550" s="8"/>
    </row>
    <row r="10551" spans="24:24" x14ac:dyDescent="0.35">
      <c r="X10551" s="8"/>
    </row>
    <row r="10552" spans="24:24" x14ac:dyDescent="0.35">
      <c r="X10552" s="8"/>
    </row>
    <row r="10553" spans="24:24" x14ac:dyDescent="0.35">
      <c r="X10553" s="8"/>
    </row>
    <row r="10554" spans="24:24" x14ac:dyDescent="0.35">
      <c r="X10554" s="8"/>
    </row>
    <row r="10555" spans="24:24" x14ac:dyDescent="0.35">
      <c r="X10555" s="8"/>
    </row>
    <row r="10556" spans="24:24" x14ac:dyDescent="0.35">
      <c r="X10556" s="8"/>
    </row>
    <row r="10557" spans="24:24" x14ac:dyDescent="0.35">
      <c r="X10557" s="8"/>
    </row>
    <row r="10558" spans="24:24" x14ac:dyDescent="0.35">
      <c r="X10558" s="8"/>
    </row>
    <row r="10559" spans="24:24" x14ac:dyDescent="0.35">
      <c r="X10559" s="8"/>
    </row>
    <row r="10560" spans="24:24" x14ac:dyDescent="0.35">
      <c r="X10560" s="8"/>
    </row>
    <row r="10561" spans="24:24" x14ac:dyDescent="0.35">
      <c r="X10561" s="8"/>
    </row>
    <row r="10562" spans="24:24" x14ac:dyDescent="0.35">
      <c r="X10562" s="8"/>
    </row>
    <row r="10563" spans="24:24" x14ac:dyDescent="0.35">
      <c r="X10563" s="8"/>
    </row>
    <row r="10564" spans="24:24" x14ac:dyDescent="0.35">
      <c r="X10564" s="8"/>
    </row>
    <row r="10565" spans="24:24" x14ac:dyDescent="0.35">
      <c r="X10565" s="8"/>
    </row>
    <row r="10566" spans="24:24" x14ac:dyDescent="0.35">
      <c r="X10566" s="8"/>
    </row>
    <row r="10567" spans="24:24" x14ac:dyDescent="0.35">
      <c r="X10567" s="8"/>
    </row>
    <row r="10568" spans="24:24" x14ac:dyDescent="0.35">
      <c r="X10568" s="8"/>
    </row>
    <row r="10569" spans="24:24" x14ac:dyDescent="0.35">
      <c r="X10569" s="8"/>
    </row>
    <row r="10570" spans="24:24" x14ac:dyDescent="0.35">
      <c r="X10570" s="8"/>
    </row>
    <row r="10571" spans="24:24" x14ac:dyDescent="0.35">
      <c r="X10571" s="8"/>
    </row>
    <row r="10572" spans="24:24" x14ac:dyDescent="0.35">
      <c r="X10572" s="8"/>
    </row>
    <row r="10573" spans="24:24" x14ac:dyDescent="0.35">
      <c r="X10573" s="8"/>
    </row>
    <row r="10574" spans="24:24" x14ac:dyDescent="0.35">
      <c r="X10574" s="8"/>
    </row>
    <row r="10575" spans="24:24" x14ac:dyDescent="0.35">
      <c r="X10575" s="8"/>
    </row>
    <row r="10576" spans="24:24" x14ac:dyDescent="0.35">
      <c r="X10576" s="8"/>
    </row>
    <row r="10577" spans="24:24" x14ac:dyDescent="0.35">
      <c r="X10577" s="8"/>
    </row>
    <row r="10578" spans="24:24" x14ac:dyDescent="0.35">
      <c r="X10578" s="8"/>
    </row>
    <row r="10579" spans="24:24" x14ac:dyDescent="0.35">
      <c r="X10579" s="8"/>
    </row>
    <row r="10580" spans="24:24" x14ac:dyDescent="0.35">
      <c r="X10580" s="8"/>
    </row>
    <row r="10581" spans="24:24" x14ac:dyDescent="0.35">
      <c r="X10581" s="8"/>
    </row>
    <row r="10582" spans="24:24" x14ac:dyDescent="0.35">
      <c r="X10582" s="8"/>
    </row>
    <row r="10583" spans="24:24" x14ac:dyDescent="0.35">
      <c r="X10583" s="8"/>
    </row>
    <row r="10584" spans="24:24" x14ac:dyDescent="0.35">
      <c r="X10584" s="8"/>
    </row>
    <row r="10585" spans="24:24" x14ac:dyDescent="0.35">
      <c r="X10585" s="8"/>
    </row>
    <row r="10586" spans="24:24" x14ac:dyDescent="0.35">
      <c r="X10586" s="8"/>
    </row>
    <row r="10587" spans="24:24" x14ac:dyDescent="0.35">
      <c r="X10587" s="8"/>
    </row>
    <row r="10588" spans="24:24" x14ac:dyDescent="0.35">
      <c r="X10588" s="8"/>
    </row>
    <row r="10589" spans="24:24" x14ac:dyDescent="0.35">
      <c r="X10589" s="8"/>
    </row>
    <row r="10590" spans="24:24" x14ac:dyDescent="0.35">
      <c r="X10590" s="8"/>
    </row>
    <row r="10591" spans="24:24" x14ac:dyDescent="0.35">
      <c r="X10591" s="8"/>
    </row>
    <row r="10592" spans="24:24" x14ac:dyDescent="0.35">
      <c r="X10592" s="8"/>
    </row>
    <row r="10593" spans="24:24" x14ac:dyDescent="0.35">
      <c r="X10593" s="8"/>
    </row>
    <row r="10594" spans="24:24" x14ac:dyDescent="0.35">
      <c r="X10594" s="8"/>
    </row>
    <row r="10595" spans="24:24" x14ac:dyDescent="0.35">
      <c r="X10595" s="8"/>
    </row>
    <row r="10596" spans="24:24" x14ac:dyDescent="0.35">
      <c r="X10596" s="8"/>
    </row>
    <row r="10597" spans="24:24" x14ac:dyDescent="0.35">
      <c r="X10597" s="8"/>
    </row>
    <row r="10598" spans="24:24" x14ac:dyDescent="0.35">
      <c r="X10598" s="8"/>
    </row>
    <row r="10599" spans="24:24" x14ac:dyDescent="0.35">
      <c r="X10599" s="8"/>
    </row>
    <row r="10600" spans="24:24" x14ac:dyDescent="0.35">
      <c r="X10600" s="8"/>
    </row>
    <row r="10601" spans="24:24" x14ac:dyDescent="0.35">
      <c r="X10601" s="8"/>
    </row>
    <row r="10602" spans="24:24" x14ac:dyDescent="0.35">
      <c r="X10602" s="8"/>
    </row>
    <row r="10603" spans="24:24" x14ac:dyDescent="0.35">
      <c r="X10603" s="8"/>
    </row>
    <row r="10604" spans="24:24" x14ac:dyDescent="0.35">
      <c r="X10604" s="8"/>
    </row>
    <row r="10605" spans="24:24" x14ac:dyDescent="0.35">
      <c r="X10605" s="8"/>
    </row>
    <row r="10606" spans="24:24" x14ac:dyDescent="0.35">
      <c r="X10606" s="8"/>
    </row>
    <row r="10607" spans="24:24" x14ac:dyDescent="0.35">
      <c r="X10607" s="8"/>
    </row>
    <row r="10608" spans="24:24" x14ac:dyDescent="0.35">
      <c r="X10608" s="8"/>
    </row>
    <row r="10609" spans="24:24" x14ac:dyDescent="0.35">
      <c r="X10609" s="8"/>
    </row>
    <row r="10610" spans="24:24" x14ac:dyDescent="0.35">
      <c r="X10610" s="8"/>
    </row>
    <row r="10611" spans="24:24" x14ac:dyDescent="0.35">
      <c r="X10611" s="8"/>
    </row>
    <row r="10612" spans="24:24" x14ac:dyDescent="0.35">
      <c r="X10612" s="8"/>
    </row>
    <row r="10613" spans="24:24" x14ac:dyDescent="0.35">
      <c r="X10613" s="8"/>
    </row>
    <row r="10614" spans="24:24" x14ac:dyDescent="0.35">
      <c r="X10614" s="8"/>
    </row>
    <row r="10615" spans="24:24" x14ac:dyDescent="0.35">
      <c r="X10615" s="8"/>
    </row>
    <row r="10616" spans="24:24" x14ac:dyDescent="0.35">
      <c r="X10616" s="8"/>
    </row>
    <row r="10617" spans="24:24" x14ac:dyDescent="0.35">
      <c r="X10617" s="8"/>
    </row>
    <row r="10618" spans="24:24" x14ac:dyDescent="0.35">
      <c r="X10618" s="8"/>
    </row>
    <row r="10619" spans="24:24" x14ac:dyDescent="0.35">
      <c r="X10619" s="8"/>
    </row>
    <row r="10620" spans="24:24" x14ac:dyDescent="0.35">
      <c r="X10620" s="8"/>
    </row>
    <row r="10621" spans="24:24" x14ac:dyDescent="0.35">
      <c r="X10621" s="8"/>
    </row>
    <row r="10622" spans="24:24" x14ac:dyDescent="0.35">
      <c r="X10622" s="8"/>
    </row>
    <row r="10623" spans="24:24" x14ac:dyDescent="0.35">
      <c r="X10623" s="8"/>
    </row>
    <row r="10624" spans="24:24" x14ac:dyDescent="0.35">
      <c r="X10624" s="8"/>
    </row>
    <row r="10625" spans="24:24" x14ac:dyDescent="0.35">
      <c r="X10625" s="8"/>
    </row>
    <row r="10626" spans="24:24" x14ac:dyDescent="0.35">
      <c r="X10626" s="8"/>
    </row>
    <row r="10627" spans="24:24" x14ac:dyDescent="0.35">
      <c r="X10627" s="8"/>
    </row>
    <row r="10628" spans="24:24" x14ac:dyDescent="0.35">
      <c r="X10628" s="8"/>
    </row>
    <row r="10629" spans="24:24" x14ac:dyDescent="0.35">
      <c r="X10629" s="8"/>
    </row>
    <row r="10630" spans="24:24" x14ac:dyDescent="0.35">
      <c r="X10630" s="8"/>
    </row>
    <row r="10631" spans="24:24" x14ac:dyDescent="0.35">
      <c r="X10631" s="8"/>
    </row>
    <row r="10632" spans="24:24" x14ac:dyDescent="0.35">
      <c r="X10632" s="8"/>
    </row>
    <row r="10633" spans="24:24" x14ac:dyDescent="0.35">
      <c r="X10633" s="8"/>
    </row>
    <row r="10634" spans="24:24" x14ac:dyDescent="0.35">
      <c r="X10634" s="8"/>
    </row>
    <row r="10635" spans="24:24" x14ac:dyDescent="0.35">
      <c r="X10635" s="8"/>
    </row>
    <row r="10636" spans="24:24" x14ac:dyDescent="0.35">
      <c r="X10636" s="8"/>
    </row>
    <row r="10637" spans="24:24" x14ac:dyDescent="0.35">
      <c r="X10637" s="8"/>
    </row>
    <row r="10638" spans="24:24" x14ac:dyDescent="0.35">
      <c r="X10638" s="8"/>
    </row>
    <row r="10639" spans="24:24" x14ac:dyDescent="0.35">
      <c r="X10639" s="8"/>
    </row>
    <row r="10640" spans="24:24" x14ac:dyDescent="0.35">
      <c r="X10640" s="8"/>
    </row>
    <row r="10641" spans="24:24" x14ac:dyDescent="0.35">
      <c r="X10641" s="8"/>
    </row>
    <row r="10642" spans="24:24" x14ac:dyDescent="0.35">
      <c r="X10642" s="8"/>
    </row>
    <row r="10643" spans="24:24" x14ac:dyDescent="0.35">
      <c r="X10643" s="8"/>
    </row>
    <row r="10644" spans="24:24" x14ac:dyDescent="0.35">
      <c r="X10644" s="8"/>
    </row>
    <row r="10645" spans="24:24" x14ac:dyDescent="0.35">
      <c r="X10645" s="8"/>
    </row>
    <row r="10646" spans="24:24" x14ac:dyDescent="0.35">
      <c r="X10646" s="8"/>
    </row>
    <row r="10647" spans="24:24" x14ac:dyDescent="0.35">
      <c r="X10647" s="8"/>
    </row>
    <row r="10648" spans="24:24" x14ac:dyDescent="0.35">
      <c r="X10648" s="8"/>
    </row>
    <row r="10649" spans="24:24" x14ac:dyDescent="0.35">
      <c r="X10649" s="8"/>
    </row>
    <row r="10650" spans="24:24" x14ac:dyDescent="0.35">
      <c r="X10650" s="8"/>
    </row>
    <row r="10651" spans="24:24" x14ac:dyDescent="0.35">
      <c r="X10651" s="8"/>
    </row>
    <row r="10652" spans="24:24" x14ac:dyDescent="0.35">
      <c r="X10652" s="8"/>
    </row>
    <row r="10653" spans="24:24" x14ac:dyDescent="0.35">
      <c r="X10653" s="8"/>
    </row>
    <row r="10654" spans="24:24" x14ac:dyDescent="0.35">
      <c r="X10654" s="8"/>
    </row>
    <row r="10655" spans="24:24" x14ac:dyDescent="0.35">
      <c r="X10655" s="8"/>
    </row>
    <row r="10656" spans="24:24" x14ac:dyDescent="0.35">
      <c r="X10656" s="8"/>
    </row>
    <row r="10657" spans="24:24" x14ac:dyDescent="0.35">
      <c r="X10657" s="8"/>
    </row>
    <row r="10658" spans="24:24" x14ac:dyDescent="0.35">
      <c r="X10658" s="8"/>
    </row>
    <row r="10659" spans="24:24" x14ac:dyDescent="0.35">
      <c r="X10659" s="8"/>
    </row>
    <row r="10660" spans="24:24" x14ac:dyDescent="0.35">
      <c r="X10660" s="8"/>
    </row>
    <row r="10661" spans="24:24" x14ac:dyDescent="0.35">
      <c r="X10661" s="8"/>
    </row>
    <row r="10662" spans="24:24" x14ac:dyDescent="0.35">
      <c r="X10662" s="8"/>
    </row>
    <row r="10663" spans="24:24" x14ac:dyDescent="0.35">
      <c r="X10663" s="8"/>
    </row>
    <row r="10664" spans="24:24" x14ac:dyDescent="0.35">
      <c r="X10664" s="8"/>
    </row>
    <row r="10665" spans="24:24" x14ac:dyDescent="0.35">
      <c r="X10665" s="8"/>
    </row>
    <row r="10666" spans="24:24" x14ac:dyDescent="0.35">
      <c r="X10666" s="8"/>
    </row>
    <row r="10667" spans="24:24" x14ac:dyDescent="0.35">
      <c r="X10667" s="8"/>
    </row>
    <row r="10668" spans="24:24" x14ac:dyDescent="0.35">
      <c r="X10668" s="8"/>
    </row>
    <row r="10669" spans="24:24" x14ac:dyDescent="0.35">
      <c r="X10669" s="8"/>
    </row>
    <row r="10670" spans="24:24" x14ac:dyDescent="0.35">
      <c r="X10670" s="8"/>
    </row>
    <row r="10671" spans="24:24" x14ac:dyDescent="0.35">
      <c r="X10671" s="8"/>
    </row>
    <row r="10672" spans="24:24" x14ac:dyDescent="0.35">
      <c r="X10672" s="8"/>
    </row>
    <row r="10673" spans="24:24" x14ac:dyDescent="0.35">
      <c r="X10673" s="8"/>
    </row>
    <row r="10674" spans="24:24" x14ac:dyDescent="0.35">
      <c r="X10674" s="8"/>
    </row>
    <row r="10675" spans="24:24" x14ac:dyDescent="0.35">
      <c r="X10675" s="8"/>
    </row>
    <row r="10676" spans="24:24" x14ac:dyDescent="0.35">
      <c r="X10676" s="8"/>
    </row>
    <row r="10677" spans="24:24" x14ac:dyDescent="0.35">
      <c r="X10677" s="8"/>
    </row>
    <row r="10678" spans="24:24" x14ac:dyDescent="0.35">
      <c r="X10678" s="8"/>
    </row>
    <row r="10679" spans="24:24" x14ac:dyDescent="0.35">
      <c r="X10679" s="8"/>
    </row>
    <row r="10680" spans="24:24" x14ac:dyDescent="0.35">
      <c r="X10680" s="8"/>
    </row>
    <row r="10681" spans="24:24" x14ac:dyDescent="0.35">
      <c r="X10681" s="8"/>
    </row>
    <row r="10682" spans="24:24" x14ac:dyDescent="0.35">
      <c r="X10682" s="8"/>
    </row>
    <row r="10683" spans="24:24" x14ac:dyDescent="0.35">
      <c r="X10683" s="8"/>
    </row>
    <row r="10684" spans="24:24" x14ac:dyDescent="0.35">
      <c r="X10684" s="8"/>
    </row>
    <row r="10685" spans="24:24" x14ac:dyDescent="0.35">
      <c r="X10685" s="8"/>
    </row>
    <row r="10686" spans="24:24" x14ac:dyDescent="0.35">
      <c r="X10686" s="8"/>
    </row>
    <row r="10687" spans="24:24" x14ac:dyDescent="0.35">
      <c r="X10687" s="8"/>
    </row>
    <row r="10688" spans="24:24" x14ac:dyDescent="0.35">
      <c r="X10688" s="8"/>
    </row>
    <row r="10689" spans="24:24" x14ac:dyDescent="0.35">
      <c r="X10689" s="8"/>
    </row>
    <row r="10690" spans="24:24" x14ac:dyDescent="0.35">
      <c r="X10690" s="8"/>
    </row>
    <row r="10691" spans="24:24" x14ac:dyDescent="0.35">
      <c r="X10691" s="8"/>
    </row>
    <row r="10692" spans="24:24" x14ac:dyDescent="0.35">
      <c r="X10692" s="8"/>
    </row>
    <row r="10693" spans="24:24" x14ac:dyDescent="0.35">
      <c r="X10693" s="8"/>
    </row>
    <row r="10694" spans="24:24" x14ac:dyDescent="0.35">
      <c r="X10694" s="8"/>
    </row>
    <row r="10695" spans="24:24" x14ac:dyDescent="0.35">
      <c r="X10695" s="8"/>
    </row>
    <row r="10696" spans="24:24" x14ac:dyDescent="0.35">
      <c r="X10696" s="8"/>
    </row>
    <row r="10697" spans="24:24" x14ac:dyDescent="0.35">
      <c r="X10697" s="8"/>
    </row>
    <row r="10698" spans="24:24" x14ac:dyDescent="0.35">
      <c r="X10698" s="8"/>
    </row>
    <row r="10699" spans="24:24" x14ac:dyDescent="0.35">
      <c r="X10699" s="8"/>
    </row>
    <row r="10700" spans="24:24" x14ac:dyDescent="0.35">
      <c r="X10700" s="8"/>
    </row>
    <row r="10701" spans="24:24" x14ac:dyDescent="0.35">
      <c r="X10701" s="8"/>
    </row>
    <row r="10702" spans="24:24" x14ac:dyDescent="0.35">
      <c r="X10702" s="8"/>
    </row>
    <row r="10703" spans="24:24" x14ac:dyDescent="0.35">
      <c r="X10703" s="8"/>
    </row>
    <row r="10704" spans="24:24" x14ac:dyDescent="0.35">
      <c r="X10704" s="8"/>
    </row>
    <row r="10705" spans="24:24" x14ac:dyDescent="0.35">
      <c r="X10705" s="8"/>
    </row>
    <row r="10706" spans="24:24" x14ac:dyDescent="0.35">
      <c r="X10706" s="8"/>
    </row>
    <row r="10707" spans="24:24" x14ac:dyDescent="0.35">
      <c r="X10707" s="8"/>
    </row>
    <row r="10708" spans="24:24" x14ac:dyDescent="0.35">
      <c r="X10708" s="8"/>
    </row>
    <row r="10709" spans="24:24" x14ac:dyDescent="0.35">
      <c r="X10709" s="8"/>
    </row>
    <row r="10710" spans="24:24" x14ac:dyDescent="0.35">
      <c r="X10710" s="8"/>
    </row>
    <row r="10711" spans="24:24" x14ac:dyDescent="0.35">
      <c r="X10711" s="8"/>
    </row>
    <row r="10712" spans="24:24" x14ac:dyDescent="0.35">
      <c r="X10712" s="8"/>
    </row>
    <row r="10713" spans="24:24" x14ac:dyDescent="0.35">
      <c r="X10713" s="8"/>
    </row>
    <row r="10714" spans="24:24" x14ac:dyDescent="0.35">
      <c r="X10714" s="8"/>
    </row>
    <row r="10715" spans="24:24" x14ac:dyDescent="0.35">
      <c r="X10715" s="8"/>
    </row>
    <row r="10716" spans="24:24" x14ac:dyDescent="0.35">
      <c r="X10716" s="8"/>
    </row>
    <row r="10717" spans="24:24" x14ac:dyDescent="0.35">
      <c r="X10717" s="8"/>
    </row>
    <row r="10718" spans="24:24" x14ac:dyDescent="0.35">
      <c r="X10718" s="8"/>
    </row>
    <row r="10719" spans="24:24" x14ac:dyDescent="0.35">
      <c r="X10719" s="8"/>
    </row>
    <row r="10720" spans="24:24" x14ac:dyDescent="0.35">
      <c r="X10720" s="8"/>
    </row>
    <row r="10721" spans="24:24" x14ac:dyDescent="0.35">
      <c r="X10721" s="8"/>
    </row>
    <row r="10722" spans="24:24" x14ac:dyDescent="0.35">
      <c r="X10722" s="8"/>
    </row>
    <row r="10723" spans="24:24" x14ac:dyDescent="0.35">
      <c r="X10723" s="8"/>
    </row>
    <row r="10724" spans="24:24" x14ac:dyDescent="0.35">
      <c r="X10724" s="8"/>
    </row>
    <row r="10725" spans="24:24" x14ac:dyDescent="0.35">
      <c r="X10725" s="8"/>
    </row>
    <row r="10726" spans="24:24" x14ac:dyDescent="0.35">
      <c r="X10726" s="8"/>
    </row>
    <row r="10727" spans="24:24" x14ac:dyDescent="0.35">
      <c r="X10727" s="8"/>
    </row>
    <row r="10728" spans="24:24" x14ac:dyDescent="0.35">
      <c r="X10728" s="8"/>
    </row>
    <row r="10729" spans="24:24" x14ac:dyDescent="0.35">
      <c r="X10729" s="8"/>
    </row>
    <row r="10730" spans="24:24" x14ac:dyDescent="0.35">
      <c r="X10730" s="8"/>
    </row>
    <row r="10731" spans="24:24" x14ac:dyDescent="0.35">
      <c r="X10731" s="8"/>
    </row>
    <row r="10732" spans="24:24" x14ac:dyDescent="0.35">
      <c r="X10732" s="8"/>
    </row>
    <row r="10733" spans="24:24" x14ac:dyDescent="0.35">
      <c r="X10733" s="8"/>
    </row>
    <row r="10734" spans="24:24" x14ac:dyDescent="0.35">
      <c r="X10734" s="8"/>
    </row>
    <row r="10735" spans="24:24" x14ac:dyDescent="0.35">
      <c r="X10735" s="8"/>
    </row>
    <row r="10736" spans="24:24" x14ac:dyDescent="0.35">
      <c r="X10736" s="8"/>
    </row>
    <row r="10737" spans="24:24" x14ac:dyDescent="0.35">
      <c r="X10737" s="8"/>
    </row>
    <row r="10738" spans="24:24" x14ac:dyDescent="0.35">
      <c r="X10738" s="8"/>
    </row>
    <row r="10739" spans="24:24" x14ac:dyDescent="0.35">
      <c r="X10739" s="8"/>
    </row>
    <row r="10740" spans="24:24" x14ac:dyDescent="0.35">
      <c r="X10740" s="8"/>
    </row>
    <row r="10741" spans="24:24" x14ac:dyDescent="0.35">
      <c r="X10741" s="8"/>
    </row>
    <row r="10742" spans="24:24" x14ac:dyDescent="0.35">
      <c r="X10742" s="8"/>
    </row>
    <row r="10743" spans="24:24" x14ac:dyDescent="0.35">
      <c r="X10743" s="8"/>
    </row>
    <row r="10744" spans="24:24" x14ac:dyDescent="0.35">
      <c r="X10744" s="8"/>
    </row>
    <row r="10745" spans="24:24" x14ac:dyDescent="0.35">
      <c r="X10745" s="8"/>
    </row>
    <row r="10746" spans="24:24" x14ac:dyDescent="0.35">
      <c r="X10746" s="8"/>
    </row>
    <row r="10747" spans="24:24" x14ac:dyDescent="0.35">
      <c r="X10747" s="8"/>
    </row>
    <row r="10748" spans="24:24" x14ac:dyDescent="0.35">
      <c r="X10748" s="8"/>
    </row>
    <row r="10749" spans="24:24" x14ac:dyDescent="0.35">
      <c r="X10749" s="8"/>
    </row>
    <row r="10750" spans="24:24" x14ac:dyDescent="0.35">
      <c r="X10750" s="8"/>
    </row>
    <row r="10751" spans="24:24" x14ac:dyDescent="0.35">
      <c r="X10751" s="8"/>
    </row>
    <row r="10752" spans="24:24" x14ac:dyDescent="0.35">
      <c r="X10752" s="8"/>
    </row>
    <row r="10753" spans="24:24" x14ac:dyDescent="0.35">
      <c r="X10753" s="8"/>
    </row>
    <row r="10754" spans="24:24" x14ac:dyDescent="0.35">
      <c r="X10754" s="8"/>
    </row>
    <row r="10755" spans="24:24" x14ac:dyDescent="0.35">
      <c r="X10755" s="8"/>
    </row>
    <row r="10756" spans="24:24" x14ac:dyDescent="0.35">
      <c r="X10756" s="8"/>
    </row>
    <row r="10757" spans="24:24" x14ac:dyDescent="0.35">
      <c r="X10757" s="8"/>
    </row>
    <row r="10758" spans="24:24" x14ac:dyDescent="0.35">
      <c r="X10758" s="8"/>
    </row>
    <row r="10759" spans="24:24" x14ac:dyDescent="0.35">
      <c r="X10759" s="8"/>
    </row>
    <row r="10760" spans="24:24" x14ac:dyDescent="0.35">
      <c r="X10760" s="8"/>
    </row>
    <row r="10761" spans="24:24" x14ac:dyDescent="0.35">
      <c r="X10761" s="8"/>
    </row>
    <row r="10762" spans="24:24" x14ac:dyDescent="0.35">
      <c r="X10762" s="8"/>
    </row>
    <row r="10763" spans="24:24" x14ac:dyDescent="0.35">
      <c r="X10763" s="8"/>
    </row>
    <row r="10764" spans="24:24" x14ac:dyDescent="0.35">
      <c r="X10764" s="8"/>
    </row>
    <row r="10765" spans="24:24" x14ac:dyDescent="0.35">
      <c r="X10765" s="8"/>
    </row>
    <row r="10766" spans="24:24" x14ac:dyDescent="0.35">
      <c r="X10766" s="8"/>
    </row>
    <row r="10767" spans="24:24" x14ac:dyDescent="0.35">
      <c r="X10767" s="8"/>
    </row>
    <row r="10768" spans="24:24" x14ac:dyDescent="0.35">
      <c r="X10768" s="8"/>
    </row>
    <row r="10769" spans="24:24" x14ac:dyDescent="0.35">
      <c r="X10769" s="8"/>
    </row>
    <row r="10770" spans="24:24" x14ac:dyDescent="0.35">
      <c r="X10770" s="8"/>
    </row>
    <row r="10771" spans="24:24" x14ac:dyDescent="0.35">
      <c r="X10771" s="8"/>
    </row>
    <row r="10772" spans="24:24" x14ac:dyDescent="0.35">
      <c r="X10772" s="8"/>
    </row>
    <row r="10773" spans="24:24" x14ac:dyDescent="0.35">
      <c r="X10773" s="8"/>
    </row>
    <row r="10774" spans="24:24" x14ac:dyDescent="0.35">
      <c r="X10774" s="8"/>
    </row>
    <row r="10775" spans="24:24" x14ac:dyDescent="0.35">
      <c r="X10775" s="8"/>
    </row>
    <row r="10776" spans="24:24" x14ac:dyDescent="0.35">
      <c r="X10776" s="8"/>
    </row>
    <row r="10777" spans="24:24" x14ac:dyDescent="0.35">
      <c r="X10777" s="8"/>
    </row>
    <row r="10778" spans="24:24" x14ac:dyDescent="0.35">
      <c r="X10778" s="8"/>
    </row>
    <row r="10779" spans="24:24" x14ac:dyDescent="0.35">
      <c r="X10779" s="8"/>
    </row>
    <row r="10780" spans="24:24" x14ac:dyDescent="0.35">
      <c r="X10780" s="8"/>
    </row>
    <row r="10781" spans="24:24" x14ac:dyDescent="0.35">
      <c r="X10781" s="8"/>
    </row>
    <row r="10782" spans="24:24" x14ac:dyDescent="0.35">
      <c r="X10782" s="8"/>
    </row>
    <row r="10783" spans="24:24" x14ac:dyDescent="0.35">
      <c r="X10783" s="8"/>
    </row>
    <row r="10784" spans="24:24" x14ac:dyDescent="0.35">
      <c r="X10784" s="8"/>
    </row>
    <row r="10785" spans="24:24" x14ac:dyDescent="0.35">
      <c r="X10785" s="8"/>
    </row>
    <row r="10786" spans="24:24" x14ac:dyDescent="0.35">
      <c r="X10786" s="8"/>
    </row>
    <row r="10787" spans="24:24" x14ac:dyDescent="0.35">
      <c r="X10787" s="8"/>
    </row>
    <row r="10788" spans="24:24" x14ac:dyDescent="0.35">
      <c r="X10788" s="8"/>
    </row>
    <row r="10789" spans="24:24" x14ac:dyDescent="0.35">
      <c r="X10789" s="8"/>
    </row>
    <row r="10790" spans="24:24" x14ac:dyDescent="0.35">
      <c r="X10790" s="8"/>
    </row>
    <row r="10791" spans="24:24" x14ac:dyDescent="0.35">
      <c r="X10791" s="8"/>
    </row>
    <row r="10792" spans="24:24" x14ac:dyDescent="0.35">
      <c r="X10792" s="8"/>
    </row>
    <row r="10793" spans="24:24" x14ac:dyDescent="0.35">
      <c r="X10793" s="8"/>
    </row>
    <row r="10794" spans="24:24" x14ac:dyDescent="0.35">
      <c r="X10794" s="8"/>
    </row>
    <row r="10795" spans="24:24" x14ac:dyDescent="0.35">
      <c r="X10795" s="8"/>
    </row>
    <row r="10796" spans="24:24" x14ac:dyDescent="0.35">
      <c r="X10796" s="8"/>
    </row>
    <row r="10797" spans="24:24" x14ac:dyDescent="0.35">
      <c r="X10797" s="8"/>
    </row>
    <row r="10798" spans="24:24" x14ac:dyDescent="0.35">
      <c r="X10798" s="8"/>
    </row>
    <row r="10799" spans="24:24" x14ac:dyDescent="0.35">
      <c r="X10799" s="8"/>
    </row>
    <row r="10800" spans="24:24" x14ac:dyDescent="0.35">
      <c r="X10800" s="8"/>
    </row>
    <row r="10801" spans="24:24" x14ac:dyDescent="0.35">
      <c r="X10801" s="8"/>
    </row>
    <row r="10802" spans="24:24" x14ac:dyDescent="0.35">
      <c r="X10802" s="8"/>
    </row>
    <row r="10803" spans="24:24" x14ac:dyDescent="0.35">
      <c r="X10803" s="8"/>
    </row>
    <row r="10804" spans="24:24" x14ac:dyDescent="0.35">
      <c r="X10804" s="8"/>
    </row>
    <row r="10805" spans="24:24" x14ac:dyDescent="0.35">
      <c r="X10805" s="8"/>
    </row>
    <row r="10806" spans="24:24" x14ac:dyDescent="0.35">
      <c r="X10806" s="8"/>
    </row>
    <row r="10807" spans="24:24" x14ac:dyDescent="0.35">
      <c r="X10807" s="8"/>
    </row>
    <row r="10808" spans="24:24" x14ac:dyDescent="0.35">
      <c r="X10808" s="8"/>
    </row>
    <row r="10809" spans="24:24" x14ac:dyDescent="0.35">
      <c r="X10809" s="8"/>
    </row>
    <row r="10810" spans="24:24" x14ac:dyDescent="0.35">
      <c r="X10810" s="8"/>
    </row>
    <row r="10811" spans="24:24" x14ac:dyDescent="0.35">
      <c r="X10811" s="8"/>
    </row>
    <row r="10812" spans="24:24" x14ac:dyDescent="0.35">
      <c r="X10812" s="8"/>
    </row>
    <row r="10813" spans="24:24" x14ac:dyDescent="0.35">
      <c r="X10813" s="8"/>
    </row>
    <row r="10814" spans="24:24" x14ac:dyDescent="0.35">
      <c r="X10814" s="8"/>
    </row>
    <row r="10815" spans="24:24" x14ac:dyDescent="0.35">
      <c r="X10815" s="8"/>
    </row>
    <row r="10816" spans="24:24" x14ac:dyDescent="0.35">
      <c r="X10816" s="8"/>
    </row>
    <row r="10817" spans="24:24" x14ac:dyDescent="0.35">
      <c r="X10817" s="8"/>
    </row>
    <row r="10818" spans="24:24" x14ac:dyDescent="0.35">
      <c r="X10818" s="8"/>
    </row>
    <row r="10819" spans="24:24" x14ac:dyDescent="0.35">
      <c r="X10819" s="8"/>
    </row>
    <row r="10820" spans="24:24" x14ac:dyDescent="0.35">
      <c r="X10820" s="8"/>
    </row>
    <row r="10821" spans="24:24" x14ac:dyDescent="0.35">
      <c r="X10821" s="8"/>
    </row>
    <row r="10822" spans="24:24" x14ac:dyDescent="0.35">
      <c r="X10822" s="8"/>
    </row>
    <row r="10823" spans="24:24" x14ac:dyDescent="0.35">
      <c r="X10823" s="8"/>
    </row>
    <row r="10824" spans="24:24" x14ac:dyDescent="0.35">
      <c r="X10824" s="8"/>
    </row>
    <row r="10825" spans="24:24" x14ac:dyDescent="0.35">
      <c r="X10825" s="8"/>
    </row>
    <row r="10826" spans="24:24" x14ac:dyDescent="0.35">
      <c r="X10826" s="8"/>
    </row>
    <row r="10827" spans="24:24" x14ac:dyDescent="0.35">
      <c r="X10827" s="8"/>
    </row>
    <row r="10828" spans="24:24" x14ac:dyDescent="0.35">
      <c r="X10828" s="8"/>
    </row>
    <row r="10829" spans="24:24" x14ac:dyDescent="0.35">
      <c r="X10829" s="8"/>
    </row>
    <row r="10830" spans="24:24" x14ac:dyDescent="0.35">
      <c r="X10830" s="8"/>
    </row>
    <row r="10831" spans="24:24" x14ac:dyDescent="0.35">
      <c r="X10831" s="8"/>
    </row>
    <row r="10832" spans="24:24" x14ac:dyDescent="0.35">
      <c r="X10832" s="8"/>
    </row>
    <row r="10833" spans="24:24" x14ac:dyDescent="0.35">
      <c r="X10833" s="8"/>
    </row>
    <row r="10834" spans="24:24" x14ac:dyDescent="0.35">
      <c r="X10834" s="8"/>
    </row>
    <row r="10835" spans="24:24" x14ac:dyDescent="0.35">
      <c r="X10835" s="8"/>
    </row>
    <row r="10836" spans="24:24" x14ac:dyDescent="0.35">
      <c r="X10836" s="8"/>
    </row>
    <row r="10837" spans="24:24" x14ac:dyDescent="0.35">
      <c r="X10837" s="8"/>
    </row>
    <row r="10838" spans="24:24" x14ac:dyDescent="0.35">
      <c r="X10838" s="8"/>
    </row>
    <row r="10839" spans="24:24" x14ac:dyDescent="0.35">
      <c r="X10839" s="8"/>
    </row>
    <row r="10840" spans="24:24" x14ac:dyDescent="0.35">
      <c r="X10840" s="8"/>
    </row>
    <row r="10841" spans="24:24" x14ac:dyDescent="0.35">
      <c r="X10841" s="8"/>
    </row>
    <row r="10842" spans="24:24" x14ac:dyDescent="0.35">
      <c r="X10842" s="8"/>
    </row>
    <row r="10843" spans="24:24" x14ac:dyDescent="0.35">
      <c r="X10843" s="8"/>
    </row>
    <row r="10844" spans="24:24" x14ac:dyDescent="0.35">
      <c r="X10844" s="8"/>
    </row>
    <row r="10845" spans="24:24" x14ac:dyDescent="0.35">
      <c r="X10845" s="8"/>
    </row>
    <row r="10846" spans="24:24" x14ac:dyDescent="0.35">
      <c r="X10846" s="8"/>
    </row>
    <row r="10847" spans="24:24" x14ac:dyDescent="0.35">
      <c r="X10847" s="8"/>
    </row>
    <row r="10848" spans="24:24" x14ac:dyDescent="0.35">
      <c r="X10848" s="8"/>
    </row>
    <row r="10849" spans="24:24" x14ac:dyDescent="0.35">
      <c r="X10849" s="8"/>
    </row>
    <row r="10850" spans="24:24" x14ac:dyDescent="0.35">
      <c r="X10850" s="8"/>
    </row>
    <row r="10851" spans="24:24" x14ac:dyDescent="0.35">
      <c r="X10851" s="8"/>
    </row>
    <row r="10852" spans="24:24" x14ac:dyDescent="0.35">
      <c r="X10852" s="8"/>
    </row>
    <row r="10853" spans="24:24" x14ac:dyDescent="0.35">
      <c r="X10853" s="8"/>
    </row>
    <row r="10854" spans="24:24" x14ac:dyDescent="0.35">
      <c r="X10854" s="8"/>
    </row>
    <row r="10855" spans="24:24" x14ac:dyDescent="0.35">
      <c r="X10855" s="8"/>
    </row>
    <row r="10856" spans="24:24" x14ac:dyDescent="0.35">
      <c r="X10856" s="8"/>
    </row>
    <row r="10857" spans="24:24" x14ac:dyDescent="0.35">
      <c r="X10857" s="8"/>
    </row>
    <row r="10858" spans="24:24" x14ac:dyDescent="0.35">
      <c r="X10858" s="8"/>
    </row>
    <row r="10859" spans="24:24" x14ac:dyDescent="0.35">
      <c r="X10859" s="8"/>
    </row>
    <row r="10860" spans="24:24" x14ac:dyDescent="0.35">
      <c r="X10860" s="8"/>
    </row>
    <row r="10861" spans="24:24" x14ac:dyDescent="0.35">
      <c r="X10861" s="8"/>
    </row>
    <row r="10862" spans="24:24" x14ac:dyDescent="0.35">
      <c r="X10862" s="8"/>
    </row>
    <row r="10863" spans="24:24" x14ac:dyDescent="0.35">
      <c r="X10863" s="8"/>
    </row>
    <row r="10864" spans="24:24" x14ac:dyDescent="0.35">
      <c r="X10864" s="8"/>
    </row>
    <row r="10865" spans="24:24" x14ac:dyDescent="0.35">
      <c r="X10865" s="8"/>
    </row>
    <row r="10866" spans="24:24" x14ac:dyDescent="0.35">
      <c r="X10866" s="8"/>
    </row>
    <row r="10867" spans="24:24" x14ac:dyDescent="0.35">
      <c r="X10867" s="8"/>
    </row>
    <row r="10868" spans="24:24" x14ac:dyDescent="0.35">
      <c r="X10868" s="8"/>
    </row>
    <row r="10869" spans="24:24" x14ac:dyDescent="0.35">
      <c r="X10869" s="8"/>
    </row>
    <row r="10870" spans="24:24" x14ac:dyDescent="0.35">
      <c r="X10870" s="8"/>
    </row>
    <row r="10871" spans="24:24" x14ac:dyDescent="0.35">
      <c r="X10871" s="8"/>
    </row>
    <row r="10872" spans="24:24" x14ac:dyDescent="0.35">
      <c r="X10872" s="8"/>
    </row>
    <row r="10873" spans="24:24" x14ac:dyDescent="0.35">
      <c r="X10873" s="8"/>
    </row>
    <row r="10874" spans="24:24" x14ac:dyDescent="0.35">
      <c r="X10874" s="8"/>
    </row>
    <row r="10875" spans="24:24" x14ac:dyDescent="0.35">
      <c r="X10875" s="8"/>
    </row>
    <row r="10876" spans="24:24" x14ac:dyDescent="0.35">
      <c r="X10876" s="8"/>
    </row>
    <row r="10877" spans="24:24" x14ac:dyDescent="0.35">
      <c r="X10877" s="8"/>
    </row>
    <row r="10878" spans="24:24" x14ac:dyDescent="0.35">
      <c r="X10878" s="8"/>
    </row>
    <row r="10879" spans="24:24" x14ac:dyDescent="0.35">
      <c r="X10879" s="8"/>
    </row>
    <row r="10880" spans="24:24" x14ac:dyDescent="0.35">
      <c r="X10880" s="8"/>
    </row>
    <row r="10881" spans="24:24" x14ac:dyDescent="0.35">
      <c r="X10881" s="8"/>
    </row>
    <row r="10882" spans="24:24" x14ac:dyDescent="0.35">
      <c r="X10882" s="8"/>
    </row>
    <row r="10883" spans="24:24" x14ac:dyDescent="0.35">
      <c r="X10883" s="8"/>
    </row>
    <row r="10884" spans="24:24" x14ac:dyDescent="0.35">
      <c r="X10884" s="8"/>
    </row>
    <row r="10885" spans="24:24" x14ac:dyDescent="0.35">
      <c r="X10885" s="8"/>
    </row>
    <row r="10886" spans="24:24" x14ac:dyDescent="0.35">
      <c r="X10886" s="8"/>
    </row>
    <row r="10887" spans="24:24" x14ac:dyDescent="0.35">
      <c r="X10887" s="8"/>
    </row>
    <row r="10888" spans="24:24" x14ac:dyDescent="0.35">
      <c r="X10888" s="8"/>
    </row>
    <row r="10889" spans="24:24" x14ac:dyDescent="0.35">
      <c r="X10889" s="8"/>
    </row>
    <row r="10890" spans="24:24" x14ac:dyDescent="0.35">
      <c r="X10890" s="8"/>
    </row>
    <row r="10891" spans="24:24" x14ac:dyDescent="0.35">
      <c r="X10891" s="8"/>
    </row>
    <row r="10892" spans="24:24" x14ac:dyDescent="0.35">
      <c r="X10892" s="8"/>
    </row>
    <row r="10893" spans="24:24" x14ac:dyDescent="0.35">
      <c r="X10893" s="8"/>
    </row>
    <row r="10894" spans="24:24" x14ac:dyDescent="0.35">
      <c r="X10894" s="8"/>
    </row>
    <row r="10895" spans="24:24" x14ac:dyDescent="0.35">
      <c r="X10895" s="8"/>
    </row>
    <row r="10896" spans="24:24" x14ac:dyDescent="0.35">
      <c r="X10896" s="8"/>
    </row>
    <row r="10897" spans="24:24" x14ac:dyDescent="0.35">
      <c r="X10897" s="8"/>
    </row>
    <row r="10898" spans="24:24" x14ac:dyDescent="0.35">
      <c r="X10898" s="8"/>
    </row>
    <row r="10899" spans="24:24" x14ac:dyDescent="0.35">
      <c r="X10899" s="8"/>
    </row>
    <row r="10900" spans="24:24" x14ac:dyDescent="0.35">
      <c r="X10900" s="8"/>
    </row>
    <row r="10901" spans="24:24" x14ac:dyDescent="0.35">
      <c r="X10901" s="8"/>
    </row>
    <row r="10902" spans="24:24" x14ac:dyDescent="0.35">
      <c r="X10902" s="8"/>
    </row>
    <row r="10903" spans="24:24" x14ac:dyDescent="0.35">
      <c r="X10903" s="8"/>
    </row>
    <row r="10904" spans="24:24" x14ac:dyDescent="0.35">
      <c r="X10904" s="8"/>
    </row>
    <row r="10905" spans="24:24" x14ac:dyDescent="0.35">
      <c r="X10905" s="8"/>
    </row>
    <row r="10906" spans="24:24" x14ac:dyDescent="0.35">
      <c r="X10906" s="8"/>
    </row>
    <row r="10907" spans="24:24" x14ac:dyDescent="0.35">
      <c r="X10907" s="8"/>
    </row>
    <row r="10908" spans="24:24" x14ac:dyDescent="0.35">
      <c r="X10908" s="8"/>
    </row>
    <row r="10909" spans="24:24" x14ac:dyDescent="0.35">
      <c r="X10909" s="8"/>
    </row>
    <row r="10910" spans="24:24" x14ac:dyDescent="0.35">
      <c r="X10910" s="8"/>
    </row>
    <row r="10911" spans="24:24" x14ac:dyDescent="0.35">
      <c r="X10911" s="8"/>
    </row>
    <row r="10912" spans="24:24" x14ac:dyDescent="0.35">
      <c r="X10912" s="8"/>
    </row>
    <row r="10913" spans="24:24" x14ac:dyDescent="0.35">
      <c r="X10913" s="8"/>
    </row>
    <row r="10914" spans="24:24" x14ac:dyDescent="0.35">
      <c r="X10914" s="8"/>
    </row>
    <row r="10915" spans="24:24" x14ac:dyDescent="0.35">
      <c r="X10915" s="8"/>
    </row>
    <row r="10916" spans="24:24" x14ac:dyDescent="0.35">
      <c r="X10916" s="8"/>
    </row>
    <row r="10917" spans="24:24" x14ac:dyDescent="0.35">
      <c r="X10917" s="8"/>
    </row>
    <row r="10918" spans="24:24" x14ac:dyDescent="0.35">
      <c r="X10918" s="8"/>
    </row>
    <row r="10919" spans="24:24" x14ac:dyDescent="0.35">
      <c r="X10919" s="8"/>
    </row>
    <row r="10920" spans="24:24" x14ac:dyDescent="0.35">
      <c r="X10920" s="8"/>
    </row>
    <row r="10921" spans="24:24" x14ac:dyDescent="0.35">
      <c r="X10921" s="8"/>
    </row>
    <row r="10922" spans="24:24" x14ac:dyDescent="0.35">
      <c r="X10922" s="8"/>
    </row>
    <row r="10923" spans="24:24" x14ac:dyDescent="0.35">
      <c r="X10923" s="8"/>
    </row>
    <row r="10924" spans="24:24" x14ac:dyDescent="0.35">
      <c r="X10924" s="8"/>
    </row>
    <row r="10925" spans="24:24" x14ac:dyDescent="0.35">
      <c r="X10925" s="8"/>
    </row>
    <row r="10926" spans="24:24" x14ac:dyDescent="0.35">
      <c r="X10926" s="8"/>
    </row>
    <row r="10927" spans="24:24" x14ac:dyDescent="0.35">
      <c r="X10927" s="8"/>
    </row>
    <row r="10928" spans="24:24" x14ac:dyDescent="0.35">
      <c r="X10928" s="8"/>
    </row>
    <row r="10929" spans="24:24" x14ac:dyDescent="0.35">
      <c r="X10929" s="8"/>
    </row>
    <row r="10930" spans="24:24" x14ac:dyDescent="0.35">
      <c r="X10930" s="8"/>
    </row>
    <row r="10931" spans="24:24" x14ac:dyDescent="0.35">
      <c r="X10931" s="8"/>
    </row>
    <row r="10932" spans="24:24" x14ac:dyDescent="0.35">
      <c r="X10932" s="8"/>
    </row>
    <row r="10933" spans="24:24" x14ac:dyDescent="0.35">
      <c r="X10933" s="8"/>
    </row>
    <row r="10934" spans="24:24" x14ac:dyDescent="0.35">
      <c r="X10934" s="8"/>
    </row>
    <row r="10935" spans="24:24" x14ac:dyDescent="0.35">
      <c r="X10935" s="8"/>
    </row>
    <row r="10936" spans="24:24" x14ac:dyDescent="0.35">
      <c r="X10936" s="8"/>
    </row>
    <row r="10937" spans="24:24" x14ac:dyDescent="0.35">
      <c r="X10937" s="8"/>
    </row>
    <row r="10938" spans="24:24" x14ac:dyDescent="0.35">
      <c r="X10938" s="8"/>
    </row>
    <row r="10939" spans="24:24" x14ac:dyDescent="0.35">
      <c r="X10939" s="8"/>
    </row>
    <row r="10940" spans="24:24" x14ac:dyDescent="0.35">
      <c r="X10940" s="8"/>
    </row>
    <row r="10941" spans="24:24" x14ac:dyDescent="0.35">
      <c r="X10941" s="8"/>
    </row>
    <row r="10942" spans="24:24" x14ac:dyDescent="0.35">
      <c r="X10942" s="8"/>
    </row>
    <row r="10943" spans="24:24" x14ac:dyDescent="0.35">
      <c r="X10943" s="8"/>
    </row>
    <row r="10944" spans="24:24" x14ac:dyDescent="0.35">
      <c r="X10944" s="8"/>
    </row>
    <row r="10945" spans="24:24" x14ac:dyDescent="0.35">
      <c r="X10945" s="8"/>
    </row>
    <row r="10946" spans="24:24" x14ac:dyDescent="0.35">
      <c r="X10946" s="8"/>
    </row>
    <row r="10947" spans="24:24" x14ac:dyDescent="0.35">
      <c r="X10947" s="8"/>
    </row>
    <row r="10948" spans="24:24" x14ac:dyDescent="0.35">
      <c r="X10948" s="8"/>
    </row>
    <row r="10949" spans="24:24" x14ac:dyDescent="0.35">
      <c r="X10949" s="8"/>
    </row>
    <row r="10950" spans="24:24" x14ac:dyDescent="0.35">
      <c r="X10950" s="8"/>
    </row>
    <row r="10951" spans="24:24" x14ac:dyDescent="0.35">
      <c r="X10951" s="8"/>
    </row>
    <row r="10952" spans="24:24" x14ac:dyDescent="0.35">
      <c r="X10952" s="8"/>
    </row>
    <row r="10953" spans="24:24" x14ac:dyDescent="0.35">
      <c r="X10953" s="8"/>
    </row>
    <row r="10954" spans="24:24" x14ac:dyDescent="0.35">
      <c r="X10954" s="8"/>
    </row>
    <row r="10955" spans="24:24" x14ac:dyDescent="0.35">
      <c r="X10955" s="8"/>
    </row>
    <row r="10956" spans="24:24" x14ac:dyDescent="0.35">
      <c r="X10956" s="8"/>
    </row>
    <row r="10957" spans="24:24" x14ac:dyDescent="0.35">
      <c r="X10957" s="8"/>
    </row>
    <row r="10958" spans="24:24" x14ac:dyDescent="0.35">
      <c r="X10958" s="8"/>
    </row>
    <row r="10959" spans="24:24" x14ac:dyDescent="0.35">
      <c r="X10959" s="8"/>
    </row>
    <row r="10960" spans="24:24" x14ac:dyDescent="0.35">
      <c r="X10960" s="8"/>
    </row>
    <row r="10961" spans="24:24" x14ac:dyDescent="0.35">
      <c r="X10961" s="8"/>
    </row>
    <row r="10962" spans="24:24" x14ac:dyDescent="0.35">
      <c r="X10962" s="8"/>
    </row>
    <row r="10963" spans="24:24" x14ac:dyDescent="0.35">
      <c r="X10963" s="8"/>
    </row>
    <row r="10964" spans="24:24" x14ac:dyDescent="0.35">
      <c r="X10964" s="8"/>
    </row>
    <row r="10965" spans="24:24" x14ac:dyDescent="0.35">
      <c r="X10965" s="8"/>
    </row>
    <row r="10966" spans="24:24" x14ac:dyDescent="0.35">
      <c r="X10966" s="8"/>
    </row>
    <row r="10967" spans="24:24" x14ac:dyDescent="0.35">
      <c r="X10967" s="8"/>
    </row>
    <row r="10968" spans="24:24" x14ac:dyDescent="0.35">
      <c r="X10968" s="8"/>
    </row>
    <row r="10969" spans="24:24" x14ac:dyDescent="0.35">
      <c r="X10969" s="8"/>
    </row>
    <row r="10970" spans="24:24" x14ac:dyDescent="0.35">
      <c r="X10970" s="8"/>
    </row>
    <row r="10971" spans="24:24" x14ac:dyDescent="0.35">
      <c r="X10971" s="8"/>
    </row>
    <row r="10972" spans="24:24" x14ac:dyDescent="0.35">
      <c r="X10972" s="8"/>
    </row>
    <row r="10973" spans="24:24" x14ac:dyDescent="0.35">
      <c r="X10973" s="8"/>
    </row>
    <row r="10974" spans="24:24" x14ac:dyDescent="0.35">
      <c r="X10974" s="8"/>
    </row>
    <row r="10975" spans="24:24" x14ac:dyDescent="0.35">
      <c r="X10975" s="8"/>
    </row>
    <row r="10976" spans="24:24" x14ac:dyDescent="0.35">
      <c r="X10976" s="8"/>
    </row>
    <row r="10977" spans="24:24" x14ac:dyDescent="0.35">
      <c r="X10977" s="8"/>
    </row>
    <row r="10978" spans="24:24" x14ac:dyDescent="0.35">
      <c r="X10978" s="8"/>
    </row>
    <row r="10979" spans="24:24" x14ac:dyDescent="0.35">
      <c r="X10979" s="8"/>
    </row>
    <row r="10980" spans="24:24" x14ac:dyDescent="0.35">
      <c r="X10980" s="8"/>
    </row>
    <row r="10981" spans="24:24" x14ac:dyDescent="0.35">
      <c r="X10981" s="8"/>
    </row>
    <row r="10982" spans="24:24" x14ac:dyDescent="0.35">
      <c r="X10982" s="8"/>
    </row>
    <row r="10983" spans="24:24" x14ac:dyDescent="0.35">
      <c r="X10983" s="8"/>
    </row>
    <row r="10984" spans="24:24" x14ac:dyDescent="0.35">
      <c r="X10984" s="8"/>
    </row>
    <row r="10985" spans="24:24" x14ac:dyDescent="0.35">
      <c r="X10985" s="8"/>
    </row>
    <row r="10986" spans="24:24" x14ac:dyDescent="0.35">
      <c r="X10986" s="8"/>
    </row>
    <row r="10987" spans="24:24" x14ac:dyDescent="0.35">
      <c r="X10987" s="8"/>
    </row>
    <row r="10988" spans="24:24" x14ac:dyDescent="0.35">
      <c r="X10988" s="8"/>
    </row>
    <row r="10989" spans="24:24" x14ac:dyDescent="0.35">
      <c r="X10989" s="8"/>
    </row>
    <row r="10990" spans="24:24" x14ac:dyDescent="0.35">
      <c r="X10990" s="8"/>
    </row>
    <row r="10991" spans="24:24" x14ac:dyDescent="0.35">
      <c r="X10991" s="8"/>
    </row>
    <row r="10992" spans="24:24" x14ac:dyDescent="0.35">
      <c r="X10992" s="8"/>
    </row>
    <row r="10993" spans="24:24" x14ac:dyDescent="0.35">
      <c r="X10993" s="8"/>
    </row>
    <row r="10994" spans="24:24" x14ac:dyDescent="0.35">
      <c r="X10994" s="8"/>
    </row>
    <row r="10995" spans="24:24" x14ac:dyDescent="0.35">
      <c r="X10995" s="8"/>
    </row>
    <row r="10996" spans="24:24" x14ac:dyDescent="0.35">
      <c r="X10996" s="8"/>
    </row>
    <row r="10997" spans="24:24" x14ac:dyDescent="0.35">
      <c r="X10997" s="8"/>
    </row>
    <row r="10998" spans="24:24" x14ac:dyDescent="0.35">
      <c r="X10998" s="8"/>
    </row>
    <row r="10999" spans="24:24" x14ac:dyDescent="0.35">
      <c r="X10999" s="8"/>
    </row>
    <row r="11000" spans="24:24" x14ac:dyDescent="0.35">
      <c r="X11000" s="8"/>
    </row>
    <row r="11001" spans="24:24" x14ac:dyDescent="0.35">
      <c r="X11001" s="8"/>
    </row>
    <row r="11002" spans="24:24" x14ac:dyDescent="0.35">
      <c r="X11002" s="8"/>
    </row>
    <row r="11003" spans="24:24" x14ac:dyDescent="0.35">
      <c r="X11003" s="8"/>
    </row>
    <row r="11004" spans="24:24" x14ac:dyDescent="0.35">
      <c r="X11004" s="8"/>
    </row>
    <row r="11005" spans="24:24" x14ac:dyDescent="0.35">
      <c r="X11005" s="8"/>
    </row>
    <row r="11006" spans="24:24" x14ac:dyDescent="0.35">
      <c r="X11006" s="8"/>
    </row>
    <row r="11007" spans="24:24" x14ac:dyDescent="0.35">
      <c r="X11007" s="8"/>
    </row>
    <row r="11008" spans="24:24" x14ac:dyDescent="0.35">
      <c r="X11008" s="8"/>
    </row>
    <row r="11009" spans="24:24" x14ac:dyDescent="0.35">
      <c r="X11009" s="8"/>
    </row>
    <row r="11010" spans="24:24" x14ac:dyDescent="0.35">
      <c r="X11010" s="8"/>
    </row>
    <row r="11011" spans="24:24" x14ac:dyDescent="0.35">
      <c r="X11011" s="8"/>
    </row>
    <row r="11012" spans="24:24" x14ac:dyDescent="0.35">
      <c r="X11012" s="8"/>
    </row>
    <row r="11013" spans="24:24" x14ac:dyDescent="0.35">
      <c r="X11013" s="8"/>
    </row>
    <row r="11014" spans="24:24" x14ac:dyDescent="0.35">
      <c r="X11014" s="8"/>
    </row>
    <row r="11015" spans="24:24" x14ac:dyDescent="0.35">
      <c r="X11015" s="8"/>
    </row>
    <row r="11016" spans="24:24" x14ac:dyDescent="0.35">
      <c r="X11016" s="8"/>
    </row>
    <row r="11017" spans="24:24" x14ac:dyDescent="0.35">
      <c r="X11017" s="8"/>
    </row>
    <row r="11018" spans="24:24" x14ac:dyDescent="0.35">
      <c r="X11018" s="8"/>
    </row>
    <row r="11019" spans="24:24" x14ac:dyDescent="0.35">
      <c r="X11019" s="8"/>
    </row>
    <row r="11020" spans="24:24" x14ac:dyDescent="0.35">
      <c r="X11020" s="8"/>
    </row>
    <row r="11021" spans="24:24" x14ac:dyDescent="0.35">
      <c r="X11021" s="8"/>
    </row>
    <row r="11022" spans="24:24" x14ac:dyDescent="0.35">
      <c r="X11022" s="8"/>
    </row>
    <row r="11023" spans="24:24" x14ac:dyDescent="0.35">
      <c r="X11023" s="8"/>
    </row>
    <row r="11024" spans="24:24" x14ac:dyDescent="0.35">
      <c r="X11024" s="8"/>
    </row>
    <row r="11025" spans="24:24" x14ac:dyDescent="0.35">
      <c r="X11025" s="8"/>
    </row>
    <row r="11026" spans="24:24" x14ac:dyDescent="0.35">
      <c r="X11026" s="8"/>
    </row>
    <row r="11027" spans="24:24" x14ac:dyDescent="0.35">
      <c r="X11027" s="8"/>
    </row>
    <row r="11028" spans="24:24" x14ac:dyDescent="0.35">
      <c r="X11028" s="8"/>
    </row>
    <row r="11029" spans="24:24" x14ac:dyDescent="0.35">
      <c r="X11029" s="8"/>
    </row>
    <row r="11030" spans="24:24" x14ac:dyDescent="0.35">
      <c r="X11030" s="8"/>
    </row>
    <row r="11031" spans="24:24" x14ac:dyDescent="0.35">
      <c r="X11031" s="8"/>
    </row>
    <row r="11032" spans="24:24" x14ac:dyDescent="0.35">
      <c r="X11032" s="8"/>
    </row>
    <row r="11033" spans="24:24" x14ac:dyDescent="0.35">
      <c r="X11033" s="8"/>
    </row>
    <row r="11034" spans="24:24" x14ac:dyDescent="0.35">
      <c r="X11034" s="8"/>
    </row>
    <row r="11035" spans="24:24" x14ac:dyDescent="0.35">
      <c r="X11035" s="8"/>
    </row>
    <row r="11036" spans="24:24" x14ac:dyDescent="0.35">
      <c r="X11036" s="8"/>
    </row>
    <row r="11037" spans="24:24" x14ac:dyDescent="0.35">
      <c r="X11037" s="8"/>
    </row>
    <row r="11038" spans="24:24" x14ac:dyDescent="0.35">
      <c r="X11038" s="8"/>
    </row>
    <row r="11039" spans="24:24" x14ac:dyDescent="0.35">
      <c r="X11039" s="8"/>
    </row>
    <row r="11040" spans="24:24" x14ac:dyDescent="0.35">
      <c r="X11040" s="8"/>
    </row>
    <row r="11041" spans="24:24" x14ac:dyDescent="0.35">
      <c r="X11041" s="8"/>
    </row>
    <row r="11042" spans="24:24" x14ac:dyDescent="0.35">
      <c r="X11042" s="8"/>
    </row>
    <row r="11043" spans="24:24" x14ac:dyDescent="0.35">
      <c r="X11043" s="8"/>
    </row>
    <row r="11044" spans="24:24" x14ac:dyDescent="0.35">
      <c r="X11044" s="8"/>
    </row>
    <row r="11045" spans="24:24" x14ac:dyDescent="0.35">
      <c r="X11045" s="8"/>
    </row>
    <row r="11046" spans="24:24" x14ac:dyDescent="0.35">
      <c r="X11046" s="8"/>
    </row>
    <row r="11047" spans="24:24" x14ac:dyDescent="0.35">
      <c r="X11047" s="8"/>
    </row>
    <row r="11048" spans="24:24" x14ac:dyDescent="0.35">
      <c r="X11048" s="8"/>
    </row>
    <row r="11049" spans="24:24" x14ac:dyDescent="0.35">
      <c r="X11049" s="8"/>
    </row>
    <row r="11050" spans="24:24" x14ac:dyDescent="0.35">
      <c r="X11050" s="8"/>
    </row>
    <row r="11051" spans="24:24" x14ac:dyDescent="0.35">
      <c r="X11051" s="8"/>
    </row>
    <row r="11052" spans="24:24" x14ac:dyDescent="0.35">
      <c r="X11052" s="8"/>
    </row>
    <row r="11053" spans="24:24" x14ac:dyDescent="0.35">
      <c r="X11053" s="8"/>
    </row>
    <row r="11054" spans="24:24" x14ac:dyDescent="0.35">
      <c r="X11054" s="8"/>
    </row>
    <row r="11055" spans="24:24" x14ac:dyDescent="0.35">
      <c r="X11055" s="8"/>
    </row>
    <row r="11056" spans="24:24" x14ac:dyDescent="0.35">
      <c r="X11056" s="8"/>
    </row>
    <row r="11057" spans="24:24" x14ac:dyDescent="0.35">
      <c r="X11057" s="8"/>
    </row>
    <row r="11058" spans="24:24" x14ac:dyDescent="0.35">
      <c r="X11058" s="8"/>
    </row>
    <row r="11059" spans="24:24" x14ac:dyDescent="0.35">
      <c r="X11059" s="8"/>
    </row>
    <row r="11060" spans="24:24" x14ac:dyDescent="0.35">
      <c r="X11060" s="8"/>
    </row>
    <row r="11061" spans="24:24" x14ac:dyDescent="0.35">
      <c r="X11061" s="8"/>
    </row>
    <row r="11062" spans="24:24" x14ac:dyDescent="0.35">
      <c r="X11062" s="8"/>
    </row>
    <row r="11063" spans="24:24" x14ac:dyDescent="0.35">
      <c r="X11063" s="8"/>
    </row>
    <row r="11064" spans="24:24" x14ac:dyDescent="0.35">
      <c r="X11064" s="8"/>
    </row>
    <row r="11065" spans="24:24" x14ac:dyDescent="0.35">
      <c r="X11065" s="8"/>
    </row>
    <row r="11066" spans="24:24" x14ac:dyDescent="0.35">
      <c r="X11066" s="8"/>
    </row>
    <row r="11067" spans="24:24" x14ac:dyDescent="0.35">
      <c r="X11067" s="8"/>
    </row>
    <row r="11068" spans="24:24" x14ac:dyDescent="0.35">
      <c r="X11068" s="8"/>
    </row>
    <row r="11069" spans="24:24" x14ac:dyDescent="0.35">
      <c r="X11069" s="8"/>
    </row>
    <row r="11070" spans="24:24" x14ac:dyDescent="0.35">
      <c r="X11070" s="8"/>
    </row>
    <row r="11071" spans="24:24" x14ac:dyDescent="0.35">
      <c r="X11071" s="8"/>
    </row>
    <row r="11072" spans="24:24" x14ac:dyDescent="0.35">
      <c r="X11072" s="8"/>
    </row>
    <row r="11073" spans="24:24" x14ac:dyDescent="0.35">
      <c r="X11073" s="8"/>
    </row>
    <row r="11074" spans="24:24" x14ac:dyDescent="0.35">
      <c r="X11074" s="8"/>
    </row>
    <row r="11075" spans="24:24" x14ac:dyDescent="0.35">
      <c r="X11075" s="8"/>
    </row>
    <row r="11076" spans="24:24" x14ac:dyDescent="0.35">
      <c r="X11076" s="8"/>
    </row>
    <row r="11077" spans="24:24" x14ac:dyDescent="0.35">
      <c r="X11077" s="8"/>
    </row>
    <row r="11078" spans="24:24" x14ac:dyDescent="0.35">
      <c r="X11078" s="8"/>
    </row>
    <row r="11079" spans="24:24" x14ac:dyDescent="0.35">
      <c r="X11079" s="8"/>
    </row>
    <row r="11080" spans="24:24" x14ac:dyDescent="0.35">
      <c r="X11080" s="8"/>
    </row>
    <row r="11081" spans="24:24" x14ac:dyDescent="0.35">
      <c r="X11081" s="8"/>
    </row>
    <row r="11082" spans="24:24" x14ac:dyDescent="0.35">
      <c r="X11082" s="8"/>
    </row>
    <row r="11083" spans="24:24" x14ac:dyDescent="0.35">
      <c r="X11083" s="8"/>
    </row>
    <row r="11084" spans="24:24" x14ac:dyDescent="0.35">
      <c r="X11084" s="8"/>
    </row>
    <row r="11085" spans="24:24" x14ac:dyDescent="0.35">
      <c r="X11085" s="8"/>
    </row>
    <row r="11086" spans="24:24" x14ac:dyDescent="0.35">
      <c r="X11086" s="8"/>
    </row>
    <row r="11087" spans="24:24" x14ac:dyDescent="0.35">
      <c r="X11087" s="8"/>
    </row>
    <row r="11088" spans="24:24" x14ac:dyDescent="0.35">
      <c r="X11088" s="8"/>
    </row>
    <row r="11089" spans="24:24" x14ac:dyDescent="0.35">
      <c r="X11089" s="8"/>
    </row>
    <row r="11090" spans="24:24" x14ac:dyDescent="0.35">
      <c r="X11090" s="8"/>
    </row>
    <row r="11091" spans="24:24" x14ac:dyDescent="0.35">
      <c r="X11091" s="8"/>
    </row>
    <row r="11092" spans="24:24" x14ac:dyDescent="0.35">
      <c r="X11092" s="8"/>
    </row>
    <row r="11093" spans="24:24" x14ac:dyDescent="0.35">
      <c r="X11093" s="8"/>
    </row>
    <row r="11094" spans="24:24" x14ac:dyDescent="0.35">
      <c r="X11094" s="8"/>
    </row>
    <row r="11095" spans="24:24" x14ac:dyDescent="0.35">
      <c r="X11095" s="8"/>
    </row>
    <row r="11096" spans="24:24" x14ac:dyDescent="0.35">
      <c r="X11096" s="8"/>
    </row>
    <row r="11097" spans="24:24" x14ac:dyDescent="0.35">
      <c r="X11097" s="8"/>
    </row>
    <row r="11098" spans="24:24" x14ac:dyDescent="0.35">
      <c r="X11098" s="8"/>
    </row>
    <row r="11099" spans="24:24" x14ac:dyDescent="0.35">
      <c r="X11099" s="8"/>
    </row>
    <row r="11100" spans="24:24" x14ac:dyDescent="0.35">
      <c r="X11100" s="8"/>
    </row>
    <row r="11101" spans="24:24" x14ac:dyDescent="0.35">
      <c r="X11101" s="8"/>
    </row>
    <row r="11102" spans="24:24" x14ac:dyDescent="0.35">
      <c r="X11102" s="8"/>
    </row>
    <row r="11103" spans="24:24" x14ac:dyDescent="0.35">
      <c r="X11103" s="8"/>
    </row>
    <row r="11104" spans="24:24" x14ac:dyDescent="0.35">
      <c r="X11104" s="8"/>
    </row>
    <row r="11105" spans="24:24" x14ac:dyDescent="0.35">
      <c r="X11105" s="8"/>
    </row>
    <row r="11106" spans="24:24" x14ac:dyDescent="0.35">
      <c r="X11106" s="8"/>
    </row>
    <row r="11107" spans="24:24" x14ac:dyDescent="0.35">
      <c r="X11107" s="8"/>
    </row>
    <row r="11108" spans="24:24" x14ac:dyDescent="0.35">
      <c r="X11108" s="8"/>
    </row>
    <row r="11109" spans="24:24" x14ac:dyDescent="0.35">
      <c r="X11109" s="8"/>
    </row>
    <row r="11110" spans="24:24" x14ac:dyDescent="0.35">
      <c r="X11110" s="8"/>
    </row>
    <row r="11111" spans="24:24" x14ac:dyDescent="0.35">
      <c r="X11111" s="8"/>
    </row>
    <row r="11112" spans="24:24" x14ac:dyDescent="0.35">
      <c r="X11112" s="8"/>
    </row>
    <row r="11113" spans="24:24" x14ac:dyDescent="0.35">
      <c r="X11113" s="8"/>
    </row>
    <row r="11114" spans="24:24" x14ac:dyDescent="0.35">
      <c r="X11114" s="8"/>
    </row>
    <row r="11115" spans="24:24" x14ac:dyDescent="0.35">
      <c r="X11115" s="8"/>
    </row>
    <row r="11116" spans="24:24" x14ac:dyDescent="0.35">
      <c r="X11116" s="8"/>
    </row>
    <row r="11117" spans="24:24" x14ac:dyDescent="0.35">
      <c r="X11117" s="8"/>
    </row>
    <row r="11118" spans="24:24" x14ac:dyDescent="0.35">
      <c r="X11118" s="8"/>
    </row>
    <row r="11119" spans="24:24" x14ac:dyDescent="0.35">
      <c r="X11119" s="8"/>
    </row>
    <row r="11120" spans="24:24" x14ac:dyDescent="0.35">
      <c r="X11120" s="8"/>
    </row>
    <row r="11121" spans="24:24" x14ac:dyDescent="0.35">
      <c r="X11121" s="8"/>
    </row>
    <row r="11122" spans="24:24" x14ac:dyDescent="0.35">
      <c r="X11122" s="8"/>
    </row>
    <row r="11123" spans="24:24" x14ac:dyDescent="0.35">
      <c r="X11123" s="8"/>
    </row>
    <row r="11124" spans="24:24" x14ac:dyDescent="0.35">
      <c r="X11124" s="8"/>
    </row>
    <row r="11125" spans="24:24" x14ac:dyDescent="0.35">
      <c r="X11125" s="8"/>
    </row>
    <row r="11126" spans="24:24" x14ac:dyDescent="0.35">
      <c r="X11126" s="8"/>
    </row>
    <row r="11127" spans="24:24" x14ac:dyDescent="0.35">
      <c r="X11127" s="8"/>
    </row>
    <row r="11128" spans="24:24" x14ac:dyDescent="0.35">
      <c r="X11128" s="8"/>
    </row>
    <row r="11129" spans="24:24" x14ac:dyDescent="0.35">
      <c r="X11129" s="8"/>
    </row>
    <row r="11130" spans="24:24" x14ac:dyDescent="0.35">
      <c r="X11130" s="8"/>
    </row>
    <row r="11131" spans="24:24" x14ac:dyDescent="0.35">
      <c r="X11131" s="8"/>
    </row>
    <row r="11132" spans="24:24" x14ac:dyDescent="0.35">
      <c r="X11132" s="8"/>
    </row>
    <row r="11133" spans="24:24" x14ac:dyDescent="0.35">
      <c r="X11133" s="8"/>
    </row>
    <row r="11134" spans="24:24" x14ac:dyDescent="0.35">
      <c r="X11134" s="8"/>
    </row>
    <row r="11135" spans="24:24" x14ac:dyDescent="0.35">
      <c r="X11135" s="8"/>
    </row>
    <row r="11136" spans="24:24" x14ac:dyDescent="0.35">
      <c r="X11136" s="8"/>
    </row>
    <row r="11137" spans="24:24" x14ac:dyDescent="0.35">
      <c r="X11137" s="8"/>
    </row>
    <row r="11138" spans="24:24" x14ac:dyDescent="0.35">
      <c r="X11138" s="8"/>
    </row>
    <row r="11139" spans="24:24" x14ac:dyDescent="0.35">
      <c r="X11139" s="8"/>
    </row>
    <row r="11140" spans="24:24" x14ac:dyDescent="0.35">
      <c r="X11140" s="8"/>
    </row>
    <row r="11141" spans="24:24" x14ac:dyDescent="0.35">
      <c r="X11141" s="8"/>
    </row>
    <row r="11142" spans="24:24" x14ac:dyDescent="0.35">
      <c r="X11142" s="8"/>
    </row>
    <row r="11143" spans="24:24" x14ac:dyDescent="0.35">
      <c r="X11143" s="8"/>
    </row>
    <row r="11144" spans="24:24" x14ac:dyDescent="0.35">
      <c r="X11144" s="8"/>
    </row>
    <row r="11145" spans="24:24" x14ac:dyDescent="0.35">
      <c r="X11145" s="8"/>
    </row>
    <row r="11146" spans="24:24" x14ac:dyDescent="0.35">
      <c r="X11146" s="8"/>
    </row>
    <row r="11147" spans="24:24" x14ac:dyDescent="0.35">
      <c r="X11147" s="8"/>
    </row>
    <row r="11148" spans="24:24" x14ac:dyDescent="0.35">
      <c r="X11148" s="8"/>
    </row>
    <row r="11149" spans="24:24" x14ac:dyDescent="0.35">
      <c r="X11149" s="8"/>
    </row>
    <row r="11150" spans="24:24" x14ac:dyDescent="0.35">
      <c r="X11150" s="8"/>
    </row>
    <row r="11151" spans="24:24" x14ac:dyDescent="0.35">
      <c r="X11151" s="8"/>
    </row>
    <row r="11152" spans="24:24" x14ac:dyDescent="0.35">
      <c r="X11152" s="8"/>
    </row>
    <row r="11153" spans="24:24" x14ac:dyDescent="0.35">
      <c r="X11153" s="8"/>
    </row>
    <row r="11154" spans="24:24" x14ac:dyDescent="0.35">
      <c r="X11154" s="8"/>
    </row>
    <row r="11155" spans="24:24" x14ac:dyDescent="0.35">
      <c r="X11155" s="8"/>
    </row>
    <row r="11156" spans="24:24" x14ac:dyDescent="0.35">
      <c r="X11156" s="8"/>
    </row>
    <row r="11157" spans="24:24" x14ac:dyDescent="0.35">
      <c r="X11157" s="8"/>
    </row>
    <row r="11158" spans="24:24" x14ac:dyDescent="0.35">
      <c r="X11158" s="8"/>
    </row>
    <row r="11159" spans="24:24" x14ac:dyDescent="0.35">
      <c r="X11159" s="8"/>
    </row>
    <row r="11160" spans="24:24" x14ac:dyDescent="0.35">
      <c r="X11160" s="8"/>
    </row>
    <row r="11161" spans="24:24" x14ac:dyDescent="0.35">
      <c r="X11161" s="8"/>
    </row>
    <row r="11162" spans="24:24" x14ac:dyDescent="0.35">
      <c r="X11162" s="8"/>
    </row>
    <row r="11163" spans="24:24" x14ac:dyDescent="0.35">
      <c r="X11163" s="8"/>
    </row>
    <row r="11164" spans="24:24" x14ac:dyDescent="0.35">
      <c r="X11164" s="8"/>
    </row>
    <row r="11165" spans="24:24" x14ac:dyDescent="0.35">
      <c r="X11165" s="8"/>
    </row>
    <row r="11166" spans="24:24" x14ac:dyDescent="0.35">
      <c r="X11166" s="8"/>
    </row>
    <row r="11167" spans="24:24" x14ac:dyDescent="0.35">
      <c r="X11167" s="8"/>
    </row>
    <row r="11168" spans="24:24" x14ac:dyDescent="0.35">
      <c r="X11168" s="8"/>
    </row>
    <row r="11169" spans="24:24" x14ac:dyDescent="0.35">
      <c r="X11169" s="8"/>
    </row>
    <row r="11170" spans="24:24" x14ac:dyDescent="0.35">
      <c r="X11170" s="8"/>
    </row>
    <row r="11171" spans="24:24" x14ac:dyDescent="0.35">
      <c r="X11171" s="8"/>
    </row>
    <row r="11172" spans="24:24" x14ac:dyDescent="0.35">
      <c r="X11172" s="8"/>
    </row>
    <row r="11173" spans="24:24" x14ac:dyDescent="0.35">
      <c r="X11173" s="8"/>
    </row>
    <row r="11174" spans="24:24" x14ac:dyDescent="0.35">
      <c r="X11174" s="8"/>
    </row>
    <row r="11175" spans="24:24" x14ac:dyDescent="0.35">
      <c r="X11175" s="8"/>
    </row>
    <row r="11176" spans="24:24" x14ac:dyDescent="0.35">
      <c r="X11176" s="8"/>
    </row>
    <row r="11177" spans="24:24" x14ac:dyDescent="0.35">
      <c r="X11177" s="8"/>
    </row>
    <row r="11178" spans="24:24" x14ac:dyDescent="0.35">
      <c r="X11178" s="8"/>
    </row>
    <row r="11179" spans="24:24" x14ac:dyDescent="0.35">
      <c r="X11179" s="8"/>
    </row>
    <row r="11180" spans="24:24" x14ac:dyDescent="0.35">
      <c r="X11180" s="8"/>
    </row>
    <row r="11181" spans="24:24" x14ac:dyDescent="0.35">
      <c r="X11181" s="8"/>
    </row>
    <row r="11182" spans="24:24" x14ac:dyDescent="0.35">
      <c r="X11182" s="8"/>
    </row>
    <row r="11183" spans="24:24" x14ac:dyDescent="0.35">
      <c r="X11183" s="8"/>
    </row>
    <row r="11184" spans="24:24" x14ac:dyDescent="0.35">
      <c r="X11184" s="8"/>
    </row>
    <row r="11185" spans="24:24" x14ac:dyDescent="0.35">
      <c r="X11185" s="8"/>
    </row>
    <row r="11186" spans="24:24" x14ac:dyDescent="0.35">
      <c r="X11186" s="8"/>
    </row>
    <row r="11187" spans="24:24" x14ac:dyDescent="0.35">
      <c r="X11187" s="8"/>
    </row>
    <row r="11188" spans="24:24" x14ac:dyDescent="0.35">
      <c r="X11188" s="8"/>
    </row>
    <row r="11189" spans="24:24" x14ac:dyDescent="0.35">
      <c r="X11189" s="8"/>
    </row>
    <row r="11190" spans="24:24" x14ac:dyDescent="0.35">
      <c r="X11190" s="8"/>
    </row>
    <row r="11191" spans="24:24" x14ac:dyDescent="0.35">
      <c r="X11191" s="8"/>
    </row>
    <row r="11192" spans="24:24" x14ac:dyDescent="0.35">
      <c r="X11192" s="8"/>
    </row>
    <row r="11193" spans="24:24" x14ac:dyDescent="0.35">
      <c r="X11193" s="8"/>
    </row>
    <row r="11194" spans="24:24" x14ac:dyDescent="0.35">
      <c r="X11194" s="8"/>
    </row>
    <row r="11195" spans="24:24" x14ac:dyDescent="0.35">
      <c r="X11195" s="8"/>
    </row>
    <row r="11196" spans="24:24" x14ac:dyDescent="0.35">
      <c r="X11196" s="8"/>
    </row>
    <row r="11197" spans="24:24" x14ac:dyDescent="0.35">
      <c r="X11197" s="8"/>
    </row>
    <row r="11198" spans="24:24" x14ac:dyDescent="0.35">
      <c r="X11198" s="8"/>
    </row>
    <row r="11199" spans="24:24" x14ac:dyDescent="0.35">
      <c r="X11199" s="8"/>
    </row>
    <row r="11200" spans="24:24" x14ac:dyDescent="0.35">
      <c r="X11200" s="8"/>
    </row>
    <row r="11201" spans="24:24" x14ac:dyDescent="0.35">
      <c r="X11201" s="8"/>
    </row>
    <row r="11202" spans="24:24" x14ac:dyDescent="0.35">
      <c r="X11202" s="8"/>
    </row>
    <row r="11203" spans="24:24" x14ac:dyDescent="0.35">
      <c r="X11203" s="8"/>
    </row>
    <row r="11204" spans="24:24" x14ac:dyDescent="0.35">
      <c r="X11204" s="8"/>
    </row>
    <row r="11205" spans="24:24" x14ac:dyDescent="0.35">
      <c r="X11205" s="8"/>
    </row>
    <row r="11206" spans="24:24" x14ac:dyDescent="0.35">
      <c r="X11206" s="8"/>
    </row>
    <row r="11207" spans="24:24" x14ac:dyDescent="0.35">
      <c r="X11207" s="8"/>
    </row>
    <row r="11208" spans="24:24" x14ac:dyDescent="0.35">
      <c r="X11208" s="8"/>
    </row>
    <row r="11209" spans="24:24" x14ac:dyDescent="0.35">
      <c r="X11209" s="8"/>
    </row>
    <row r="11210" spans="24:24" x14ac:dyDescent="0.35">
      <c r="X11210" s="8"/>
    </row>
    <row r="11211" spans="24:24" x14ac:dyDescent="0.35">
      <c r="X11211" s="8"/>
    </row>
    <row r="11212" spans="24:24" x14ac:dyDescent="0.35">
      <c r="X11212" s="8"/>
    </row>
    <row r="11213" spans="24:24" x14ac:dyDescent="0.35">
      <c r="X11213" s="8"/>
    </row>
    <row r="11214" spans="24:24" x14ac:dyDescent="0.35">
      <c r="X11214" s="8"/>
    </row>
    <row r="11215" spans="24:24" x14ac:dyDescent="0.35">
      <c r="X11215" s="8"/>
    </row>
    <row r="11216" spans="24:24" x14ac:dyDescent="0.35">
      <c r="X11216" s="8"/>
    </row>
    <row r="11217" spans="24:24" x14ac:dyDescent="0.35">
      <c r="X11217" s="8"/>
    </row>
    <row r="11218" spans="24:24" x14ac:dyDescent="0.35">
      <c r="X11218" s="8"/>
    </row>
    <row r="11219" spans="24:24" x14ac:dyDescent="0.35">
      <c r="X11219" s="8"/>
    </row>
    <row r="11220" spans="24:24" x14ac:dyDescent="0.35">
      <c r="X11220" s="8"/>
    </row>
    <row r="11221" spans="24:24" x14ac:dyDescent="0.35">
      <c r="X11221" s="8"/>
    </row>
    <row r="11222" spans="24:24" x14ac:dyDescent="0.35">
      <c r="X11222" s="8"/>
    </row>
    <row r="11223" spans="24:24" x14ac:dyDescent="0.35">
      <c r="X11223" s="8"/>
    </row>
    <row r="11224" spans="24:24" x14ac:dyDescent="0.35">
      <c r="X11224" s="8"/>
    </row>
    <row r="11225" spans="24:24" x14ac:dyDescent="0.35">
      <c r="X11225" s="8"/>
    </row>
    <row r="11226" spans="24:24" x14ac:dyDescent="0.35">
      <c r="X11226" s="8"/>
    </row>
    <row r="11227" spans="24:24" x14ac:dyDescent="0.35">
      <c r="X11227" s="8"/>
    </row>
    <row r="11228" spans="24:24" x14ac:dyDescent="0.35">
      <c r="X11228" s="8"/>
    </row>
    <row r="11229" spans="24:24" x14ac:dyDescent="0.35">
      <c r="X11229" s="8"/>
    </row>
    <row r="11230" spans="24:24" x14ac:dyDescent="0.35">
      <c r="X11230" s="8"/>
    </row>
    <row r="11231" spans="24:24" x14ac:dyDescent="0.35">
      <c r="X11231" s="8"/>
    </row>
    <row r="11232" spans="24:24" x14ac:dyDescent="0.35">
      <c r="X11232" s="8"/>
    </row>
    <row r="11233" spans="24:24" x14ac:dyDescent="0.35">
      <c r="X11233" s="8"/>
    </row>
    <row r="11234" spans="24:24" x14ac:dyDescent="0.35">
      <c r="X11234" s="8"/>
    </row>
    <row r="11235" spans="24:24" x14ac:dyDescent="0.35">
      <c r="X11235" s="8"/>
    </row>
    <row r="11236" spans="24:24" x14ac:dyDescent="0.35">
      <c r="X11236" s="8"/>
    </row>
    <row r="11237" spans="24:24" x14ac:dyDescent="0.35">
      <c r="X11237" s="8"/>
    </row>
    <row r="11238" spans="24:24" x14ac:dyDescent="0.35">
      <c r="X11238" s="8"/>
    </row>
    <row r="11239" spans="24:24" x14ac:dyDescent="0.35">
      <c r="X11239" s="8"/>
    </row>
    <row r="11240" spans="24:24" x14ac:dyDescent="0.35">
      <c r="X11240" s="8"/>
    </row>
    <row r="11241" spans="24:24" x14ac:dyDescent="0.35">
      <c r="X11241" s="8"/>
    </row>
    <row r="11242" spans="24:24" x14ac:dyDescent="0.35">
      <c r="X11242" s="8"/>
    </row>
    <row r="11243" spans="24:24" x14ac:dyDescent="0.35">
      <c r="X11243" s="8"/>
    </row>
    <row r="11244" spans="24:24" x14ac:dyDescent="0.35">
      <c r="X11244" s="8"/>
    </row>
    <row r="11245" spans="24:24" x14ac:dyDescent="0.35">
      <c r="X11245" s="8"/>
    </row>
    <row r="11246" spans="24:24" x14ac:dyDescent="0.35">
      <c r="X11246" s="8"/>
    </row>
    <row r="11247" spans="24:24" x14ac:dyDescent="0.35">
      <c r="X11247" s="8"/>
    </row>
    <row r="11248" spans="24:24" x14ac:dyDescent="0.35">
      <c r="X11248" s="8"/>
    </row>
    <row r="11249" spans="24:24" x14ac:dyDescent="0.35">
      <c r="X11249" s="8"/>
    </row>
    <row r="11250" spans="24:24" x14ac:dyDescent="0.35">
      <c r="X11250" s="8"/>
    </row>
    <row r="11251" spans="24:24" x14ac:dyDescent="0.35">
      <c r="X11251" s="8"/>
    </row>
    <row r="11252" spans="24:24" x14ac:dyDescent="0.35">
      <c r="X11252" s="8"/>
    </row>
    <row r="11253" spans="24:24" x14ac:dyDescent="0.35">
      <c r="X11253" s="8"/>
    </row>
    <row r="11254" spans="24:24" x14ac:dyDescent="0.35">
      <c r="X11254" s="8"/>
    </row>
    <row r="11255" spans="24:24" x14ac:dyDescent="0.35">
      <c r="X11255" s="8"/>
    </row>
    <row r="11256" spans="24:24" x14ac:dyDescent="0.35">
      <c r="X11256" s="8"/>
    </row>
    <row r="11257" spans="24:24" x14ac:dyDescent="0.35">
      <c r="X11257" s="8"/>
    </row>
    <row r="11258" spans="24:24" x14ac:dyDescent="0.35">
      <c r="X11258" s="8"/>
    </row>
    <row r="11259" spans="24:24" x14ac:dyDescent="0.35">
      <c r="X11259" s="8"/>
    </row>
    <row r="11260" spans="24:24" x14ac:dyDescent="0.35">
      <c r="X11260" s="8"/>
    </row>
    <row r="11261" spans="24:24" x14ac:dyDescent="0.35">
      <c r="X11261" s="8"/>
    </row>
    <row r="11262" spans="24:24" x14ac:dyDescent="0.35">
      <c r="X11262" s="8"/>
    </row>
    <row r="11263" spans="24:24" x14ac:dyDescent="0.35">
      <c r="X11263" s="8"/>
    </row>
    <row r="11264" spans="24:24" x14ac:dyDescent="0.35">
      <c r="X11264" s="8"/>
    </row>
    <row r="11265" spans="24:24" x14ac:dyDescent="0.35">
      <c r="X11265" s="8"/>
    </row>
    <row r="11266" spans="24:24" x14ac:dyDescent="0.35">
      <c r="X11266" s="8"/>
    </row>
    <row r="11267" spans="24:24" x14ac:dyDescent="0.35">
      <c r="X11267" s="8"/>
    </row>
    <row r="11268" spans="24:24" x14ac:dyDescent="0.35">
      <c r="X11268" s="8"/>
    </row>
    <row r="11269" spans="24:24" x14ac:dyDescent="0.35">
      <c r="X11269" s="8"/>
    </row>
    <row r="11270" spans="24:24" x14ac:dyDescent="0.35">
      <c r="X11270" s="8"/>
    </row>
    <row r="11271" spans="24:24" x14ac:dyDescent="0.35">
      <c r="X11271" s="8"/>
    </row>
    <row r="11272" spans="24:24" x14ac:dyDescent="0.35">
      <c r="X11272" s="8"/>
    </row>
    <row r="11273" spans="24:24" x14ac:dyDescent="0.35">
      <c r="X11273" s="8"/>
    </row>
    <row r="11274" spans="24:24" x14ac:dyDescent="0.35">
      <c r="X11274" s="8"/>
    </row>
    <row r="11275" spans="24:24" x14ac:dyDescent="0.35">
      <c r="X11275" s="8"/>
    </row>
    <row r="11276" spans="24:24" x14ac:dyDescent="0.35">
      <c r="X11276" s="8"/>
    </row>
    <row r="11277" spans="24:24" x14ac:dyDescent="0.35">
      <c r="X11277" s="8"/>
    </row>
    <row r="11278" spans="24:24" x14ac:dyDescent="0.35">
      <c r="X11278" s="8"/>
    </row>
    <row r="11279" spans="24:24" x14ac:dyDescent="0.35">
      <c r="X11279" s="8"/>
    </row>
    <row r="11280" spans="24:24" x14ac:dyDescent="0.35">
      <c r="X11280" s="8"/>
    </row>
    <row r="11281" spans="24:24" x14ac:dyDescent="0.35">
      <c r="X11281" s="8"/>
    </row>
    <row r="11282" spans="24:24" x14ac:dyDescent="0.35">
      <c r="X11282" s="8"/>
    </row>
    <row r="11283" spans="24:24" x14ac:dyDescent="0.35">
      <c r="X11283" s="8"/>
    </row>
    <row r="11284" spans="24:24" x14ac:dyDescent="0.35">
      <c r="X11284" s="8"/>
    </row>
    <row r="11285" spans="24:24" x14ac:dyDescent="0.35">
      <c r="X11285" s="8"/>
    </row>
    <row r="11286" spans="24:24" x14ac:dyDescent="0.35">
      <c r="X11286" s="8"/>
    </row>
    <row r="11287" spans="24:24" x14ac:dyDescent="0.35">
      <c r="X11287" s="8"/>
    </row>
    <row r="11288" spans="24:24" x14ac:dyDescent="0.35">
      <c r="X11288" s="8"/>
    </row>
    <row r="11289" spans="24:24" x14ac:dyDescent="0.35">
      <c r="X11289" s="8"/>
    </row>
    <row r="11290" spans="24:24" x14ac:dyDescent="0.35">
      <c r="X11290" s="8"/>
    </row>
    <row r="11291" spans="24:24" x14ac:dyDescent="0.35">
      <c r="X11291" s="8"/>
    </row>
    <row r="11292" spans="24:24" x14ac:dyDescent="0.35">
      <c r="X11292" s="8"/>
    </row>
    <row r="11293" spans="24:24" x14ac:dyDescent="0.35">
      <c r="X11293" s="8"/>
    </row>
    <row r="11294" spans="24:24" x14ac:dyDescent="0.35">
      <c r="X11294" s="8"/>
    </row>
    <row r="11295" spans="24:24" x14ac:dyDescent="0.35">
      <c r="X11295" s="8"/>
    </row>
    <row r="11296" spans="24:24" x14ac:dyDescent="0.35">
      <c r="X11296" s="8"/>
    </row>
    <row r="11297" spans="24:24" x14ac:dyDescent="0.35">
      <c r="X11297" s="8"/>
    </row>
    <row r="11298" spans="24:24" x14ac:dyDescent="0.35">
      <c r="X11298" s="8"/>
    </row>
    <row r="11299" spans="24:24" x14ac:dyDescent="0.35">
      <c r="X11299" s="8"/>
    </row>
    <row r="11300" spans="24:24" x14ac:dyDescent="0.35">
      <c r="X11300" s="8"/>
    </row>
    <row r="11301" spans="24:24" x14ac:dyDescent="0.35">
      <c r="X11301" s="8"/>
    </row>
    <row r="11302" spans="24:24" x14ac:dyDescent="0.35">
      <c r="X11302" s="8"/>
    </row>
    <row r="11303" spans="24:24" x14ac:dyDescent="0.35">
      <c r="X11303" s="8"/>
    </row>
    <row r="11304" spans="24:24" x14ac:dyDescent="0.35">
      <c r="X11304" s="8"/>
    </row>
    <row r="11305" spans="24:24" x14ac:dyDescent="0.35">
      <c r="X11305" s="8"/>
    </row>
    <row r="11306" spans="24:24" x14ac:dyDescent="0.35">
      <c r="X11306" s="8"/>
    </row>
    <row r="11307" spans="24:24" x14ac:dyDescent="0.35">
      <c r="X11307" s="8"/>
    </row>
    <row r="11308" spans="24:24" x14ac:dyDescent="0.35">
      <c r="X11308" s="8"/>
    </row>
    <row r="11309" spans="24:24" x14ac:dyDescent="0.35">
      <c r="X11309" s="8"/>
    </row>
    <row r="11310" spans="24:24" x14ac:dyDescent="0.35">
      <c r="X11310" s="8"/>
    </row>
    <row r="11311" spans="24:24" x14ac:dyDescent="0.35">
      <c r="X11311" s="8"/>
    </row>
    <row r="11312" spans="24:24" x14ac:dyDescent="0.35">
      <c r="X11312" s="8"/>
    </row>
    <row r="11313" spans="24:24" x14ac:dyDescent="0.35">
      <c r="X11313" s="8"/>
    </row>
    <row r="11314" spans="24:24" x14ac:dyDescent="0.35">
      <c r="X11314" s="8"/>
    </row>
    <row r="11315" spans="24:24" x14ac:dyDescent="0.35">
      <c r="X11315" s="8"/>
    </row>
    <row r="11316" spans="24:24" x14ac:dyDescent="0.35">
      <c r="X11316" s="8"/>
    </row>
    <row r="11317" spans="24:24" x14ac:dyDescent="0.35">
      <c r="X11317" s="8"/>
    </row>
    <row r="11318" spans="24:24" x14ac:dyDescent="0.35">
      <c r="X11318" s="8"/>
    </row>
    <row r="11319" spans="24:24" x14ac:dyDescent="0.35">
      <c r="X11319" s="8"/>
    </row>
    <row r="11320" spans="24:24" x14ac:dyDescent="0.35">
      <c r="X11320" s="8"/>
    </row>
    <row r="11321" spans="24:24" x14ac:dyDescent="0.35">
      <c r="X11321" s="8"/>
    </row>
    <row r="11322" spans="24:24" x14ac:dyDescent="0.35">
      <c r="X11322" s="8"/>
    </row>
    <row r="11323" spans="24:24" x14ac:dyDescent="0.35">
      <c r="X11323" s="8"/>
    </row>
    <row r="11324" spans="24:24" x14ac:dyDescent="0.35">
      <c r="X11324" s="8"/>
    </row>
    <row r="11325" spans="24:24" x14ac:dyDescent="0.35">
      <c r="X11325" s="8"/>
    </row>
    <row r="11326" spans="24:24" x14ac:dyDescent="0.35">
      <c r="X11326" s="8"/>
    </row>
    <row r="11327" spans="24:24" x14ac:dyDescent="0.35">
      <c r="X11327" s="8"/>
    </row>
    <row r="11328" spans="24:24" x14ac:dyDescent="0.35">
      <c r="X11328" s="8"/>
    </row>
    <row r="11329" spans="24:24" x14ac:dyDescent="0.35">
      <c r="X11329" s="8"/>
    </row>
    <row r="11330" spans="24:24" x14ac:dyDescent="0.35">
      <c r="X11330" s="8"/>
    </row>
    <row r="11331" spans="24:24" x14ac:dyDescent="0.35">
      <c r="X11331" s="8"/>
    </row>
    <row r="11332" spans="24:24" x14ac:dyDescent="0.35">
      <c r="X11332" s="8"/>
    </row>
    <row r="11333" spans="24:24" x14ac:dyDescent="0.35">
      <c r="X11333" s="8"/>
    </row>
    <row r="11334" spans="24:24" x14ac:dyDescent="0.35">
      <c r="X11334" s="8"/>
    </row>
    <row r="11335" spans="24:24" x14ac:dyDescent="0.35">
      <c r="X11335" s="8"/>
    </row>
    <row r="11336" spans="24:24" x14ac:dyDescent="0.35">
      <c r="X11336" s="8"/>
    </row>
    <row r="11337" spans="24:24" x14ac:dyDescent="0.35">
      <c r="X11337" s="8"/>
    </row>
    <row r="11338" spans="24:24" x14ac:dyDescent="0.35">
      <c r="X11338" s="8"/>
    </row>
    <row r="11339" spans="24:24" x14ac:dyDescent="0.35">
      <c r="X11339" s="8"/>
    </row>
    <row r="11340" spans="24:24" x14ac:dyDescent="0.35">
      <c r="X11340" s="8"/>
    </row>
    <row r="11341" spans="24:24" x14ac:dyDescent="0.35">
      <c r="X11341" s="8"/>
    </row>
    <row r="11342" spans="24:24" x14ac:dyDescent="0.35">
      <c r="X11342" s="8"/>
    </row>
    <row r="11343" spans="24:24" x14ac:dyDescent="0.35">
      <c r="X11343" s="8"/>
    </row>
    <row r="11344" spans="24:24" x14ac:dyDescent="0.35">
      <c r="X11344" s="8"/>
    </row>
    <row r="11345" spans="24:24" x14ac:dyDescent="0.35">
      <c r="X11345" s="8"/>
    </row>
    <row r="11346" spans="24:24" x14ac:dyDescent="0.35">
      <c r="X11346" s="8"/>
    </row>
    <row r="11347" spans="24:24" x14ac:dyDescent="0.35">
      <c r="X11347" s="8"/>
    </row>
    <row r="11348" spans="24:24" x14ac:dyDescent="0.35">
      <c r="X11348" s="8"/>
    </row>
    <row r="11349" spans="24:24" x14ac:dyDescent="0.35">
      <c r="X11349" s="8"/>
    </row>
    <row r="11350" spans="24:24" x14ac:dyDescent="0.35">
      <c r="X11350" s="8"/>
    </row>
    <row r="11351" spans="24:24" x14ac:dyDescent="0.35">
      <c r="X11351" s="8"/>
    </row>
    <row r="11352" spans="24:24" x14ac:dyDescent="0.35">
      <c r="X11352" s="8"/>
    </row>
    <row r="11353" spans="24:24" x14ac:dyDescent="0.35">
      <c r="X11353" s="8"/>
    </row>
    <row r="11354" spans="24:24" x14ac:dyDescent="0.35">
      <c r="X11354" s="8"/>
    </row>
    <row r="11355" spans="24:24" x14ac:dyDescent="0.35">
      <c r="X11355" s="8"/>
    </row>
    <row r="11356" spans="24:24" x14ac:dyDescent="0.35">
      <c r="X11356" s="8"/>
    </row>
    <row r="11357" spans="24:24" x14ac:dyDescent="0.35">
      <c r="X11357" s="8"/>
    </row>
    <row r="11358" spans="24:24" x14ac:dyDescent="0.35">
      <c r="X11358" s="8"/>
    </row>
    <row r="11359" spans="24:24" x14ac:dyDescent="0.35">
      <c r="X11359" s="8"/>
    </row>
    <row r="11360" spans="24:24" x14ac:dyDescent="0.35">
      <c r="X11360" s="8"/>
    </row>
    <row r="11361" spans="24:24" x14ac:dyDescent="0.35">
      <c r="X11361" s="8"/>
    </row>
    <row r="11362" spans="24:24" x14ac:dyDescent="0.35">
      <c r="X11362" s="8"/>
    </row>
    <row r="11363" spans="24:24" x14ac:dyDescent="0.35">
      <c r="X11363" s="8"/>
    </row>
    <row r="11364" spans="24:24" x14ac:dyDescent="0.35">
      <c r="X11364" s="8"/>
    </row>
    <row r="11365" spans="24:24" x14ac:dyDescent="0.35">
      <c r="X11365" s="8"/>
    </row>
    <row r="11366" spans="24:24" x14ac:dyDescent="0.35">
      <c r="X11366" s="8"/>
    </row>
    <row r="11367" spans="24:24" x14ac:dyDescent="0.35">
      <c r="X11367" s="8"/>
    </row>
    <row r="11368" spans="24:24" x14ac:dyDescent="0.35">
      <c r="X11368" s="8"/>
    </row>
    <row r="11369" spans="24:24" x14ac:dyDescent="0.35">
      <c r="X11369" s="8"/>
    </row>
    <row r="11370" spans="24:24" x14ac:dyDescent="0.35">
      <c r="X11370" s="8"/>
    </row>
    <row r="11371" spans="24:24" x14ac:dyDescent="0.35">
      <c r="X11371" s="8"/>
    </row>
    <row r="11372" spans="24:24" x14ac:dyDescent="0.35">
      <c r="X11372" s="8"/>
    </row>
    <row r="11373" spans="24:24" x14ac:dyDescent="0.35">
      <c r="X11373" s="8"/>
    </row>
    <row r="11374" spans="24:24" x14ac:dyDescent="0.35">
      <c r="X11374" s="8"/>
    </row>
    <row r="11375" spans="24:24" x14ac:dyDescent="0.35">
      <c r="X11375" s="8"/>
    </row>
    <row r="11376" spans="24:24" x14ac:dyDescent="0.35">
      <c r="X11376" s="8"/>
    </row>
    <row r="11377" spans="24:24" x14ac:dyDescent="0.35">
      <c r="X11377" s="8"/>
    </row>
    <row r="11378" spans="24:24" x14ac:dyDescent="0.35">
      <c r="X11378" s="8"/>
    </row>
    <row r="11379" spans="24:24" x14ac:dyDescent="0.35">
      <c r="X11379" s="8"/>
    </row>
    <row r="11380" spans="24:24" x14ac:dyDescent="0.35">
      <c r="X11380" s="8"/>
    </row>
    <row r="11381" spans="24:24" x14ac:dyDescent="0.35">
      <c r="X11381" s="8"/>
    </row>
    <row r="11382" spans="24:24" x14ac:dyDescent="0.35">
      <c r="X11382" s="8"/>
    </row>
    <row r="11383" spans="24:24" x14ac:dyDescent="0.35">
      <c r="X11383" s="8"/>
    </row>
    <row r="11384" spans="24:24" x14ac:dyDescent="0.35">
      <c r="X11384" s="8"/>
    </row>
    <row r="11385" spans="24:24" x14ac:dyDescent="0.35">
      <c r="X11385" s="8"/>
    </row>
    <row r="11386" spans="24:24" x14ac:dyDescent="0.35">
      <c r="X11386" s="8"/>
    </row>
    <row r="11387" spans="24:24" x14ac:dyDescent="0.35">
      <c r="X11387" s="8"/>
    </row>
    <row r="11388" spans="24:24" x14ac:dyDescent="0.35">
      <c r="X11388" s="8"/>
    </row>
    <row r="11389" spans="24:24" x14ac:dyDescent="0.35">
      <c r="X11389" s="8"/>
    </row>
    <row r="11390" spans="24:24" x14ac:dyDescent="0.35">
      <c r="X11390" s="8"/>
    </row>
    <row r="11391" spans="24:24" x14ac:dyDescent="0.35">
      <c r="X11391" s="8"/>
    </row>
    <row r="11392" spans="24:24" x14ac:dyDescent="0.35">
      <c r="X11392" s="8"/>
    </row>
    <row r="11393" spans="24:24" x14ac:dyDescent="0.35">
      <c r="X11393" s="8"/>
    </row>
    <row r="11394" spans="24:24" x14ac:dyDescent="0.35">
      <c r="X11394" s="8"/>
    </row>
    <row r="11395" spans="24:24" x14ac:dyDescent="0.35">
      <c r="X11395" s="8"/>
    </row>
    <row r="11396" spans="24:24" x14ac:dyDescent="0.35">
      <c r="X11396" s="8"/>
    </row>
    <row r="11397" spans="24:24" x14ac:dyDescent="0.35">
      <c r="X11397" s="8"/>
    </row>
    <row r="11398" spans="24:24" x14ac:dyDescent="0.35">
      <c r="X11398" s="8"/>
    </row>
    <row r="11399" spans="24:24" x14ac:dyDescent="0.35">
      <c r="X11399" s="8"/>
    </row>
    <row r="11400" spans="24:24" x14ac:dyDescent="0.35">
      <c r="X11400" s="8"/>
    </row>
    <row r="11401" spans="24:24" x14ac:dyDescent="0.35">
      <c r="X11401" s="8"/>
    </row>
    <row r="11402" spans="24:24" x14ac:dyDescent="0.35">
      <c r="X11402" s="8"/>
    </row>
    <row r="11403" spans="24:24" x14ac:dyDescent="0.35">
      <c r="X11403" s="8"/>
    </row>
    <row r="11404" spans="24:24" x14ac:dyDescent="0.35">
      <c r="X11404" s="8"/>
    </row>
    <row r="11405" spans="24:24" x14ac:dyDescent="0.35">
      <c r="X11405" s="8"/>
    </row>
    <row r="11406" spans="24:24" x14ac:dyDescent="0.35">
      <c r="X11406" s="8"/>
    </row>
    <row r="11407" spans="24:24" x14ac:dyDescent="0.35">
      <c r="X11407" s="8"/>
    </row>
    <row r="11408" spans="24:24" x14ac:dyDescent="0.35">
      <c r="X11408" s="8"/>
    </row>
    <row r="11409" spans="24:24" x14ac:dyDescent="0.35">
      <c r="X11409" s="8"/>
    </row>
    <row r="11410" spans="24:24" x14ac:dyDescent="0.35">
      <c r="X11410" s="8"/>
    </row>
    <row r="11411" spans="24:24" x14ac:dyDescent="0.35">
      <c r="X11411" s="8"/>
    </row>
    <row r="11412" spans="24:24" x14ac:dyDescent="0.35">
      <c r="X11412" s="8"/>
    </row>
    <row r="11413" spans="24:24" x14ac:dyDescent="0.35">
      <c r="X11413" s="8"/>
    </row>
    <row r="11414" spans="24:24" x14ac:dyDescent="0.35">
      <c r="X11414" s="8"/>
    </row>
    <row r="11415" spans="24:24" x14ac:dyDescent="0.35">
      <c r="X11415" s="8"/>
    </row>
    <row r="11416" spans="24:24" x14ac:dyDescent="0.35">
      <c r="X11416" s="8"/>
    </row>
    <row r="11417" spans="24:24" x14ac:dyDescent="0.35">
      <c r="X11417" s="8"/>
    </row>
    <row r="11418" spans="24:24" x14ac:dyDescent="0.35">
      <c r="X11418" s="8"/>
    </row>
    <row r="11419" spans="24:24" x14ac:dyDescent="0.35">
      <c r="X11419" s="8"/>
    </row>
    <row r="11420" spans="24:24" x14ac:dyDescent="0.35">
      <c r="X11420" s="8"/>
    </row>
    <row r="11421" spans="24:24" x14ac:dyDescent="0.35">
      <c r="X11421" s="8"/>
    </row>
    <row r="11422" spans="24:24" x14ac:dyDescent="0.35">
      <c r="X11422" s="8"/>
    </row>
    <row r="11423" spans="24:24" x14ac:dyDescent="0.35">
      <c r="X11423" s="8"/>
    </row>
    <row r="11424" spans="24:24" x14ac:dyDescent="0.35">
      <c r="X11424" s="8"/>
    </row>
    <row r="11425" spans="24:24" x14ac:dyDescent="0.35">
      <c r="X11425" s="8"/>
    </row>
    <row r="11426" spans="24:24" x14ac:dyDescent="0.35">
      <c r="X11426" s="8"/>
    </row>
    <row r="11427" spans="24:24" x14ac:dyDescent="0.35">
      <c r="X11427" s="8"/>
    </row>
    <row r="11428" spans="24:24" x14ac:dyDescent="0.35">
      <c r="X11428" s="8"/>
    </row>
    <row r="11429" spans="24:24" x14ac:dyDescent="0.35">
      <c r="X11429" s="8"/>
    </row>
    <row r="11430" spans="24:24" x14ac:dyDescent="0.35">
      <c r="X11430" s="8"/>
    </row>
    <row r="11431" spans="24:24" x14ac:dyDescent="0.35">
      <c r="X11431" s="8"/>
    </row>
    <row r="11432" spans="24:24" x14ac:dyDescent="0.35">
      <c r="X11432" s="8"/>
    </row>
    <row r="11433" spans="24:24" x14ac:dyDescent="0.35">
      <c r="X11433" s="8"/>
    </row>
    <row r="11434" spans="24:24" x14ac:dyDescent="0.35">
      <c r="X11434" s="8"/>
    </row>
    <row r="11435" spans="24:24" x14ac:dyDescent="0.35">
      <c r="X11435" s="8"/>
    </row>
    <row r="11436" spans="24:24" x14ac:dyDescent="0.35">
      <c r="X11436" s="8"/>
    </row>
    <row r="11437" spans="24:24" x14ac:dyDescent="0.35">
      <c r="X11437" s="8"/>
    </row>
    <row r="11438" spans="24:24" x14ac:dyDescent="0.35">
      <c r="X11438" s="8"/>
    </row>
    <row r="11439" spans="24:24" x14ac:dyDescent="0.35">
      <c r="X11439" s="8"/>
    </row>
    <row r="11440" spans="24:24" x14ac:dyDescent="0.35">
      <c r="X11440" s="8"/>
    </row>
    <row r="11441" spans="24:24" x14ac:dyDescent="0.35">
      <c r="X11441" s="8"/>
    </row>
    <row r="11442" spans="24:24" x14ac:dyDescent="0.35">
      <c r="X11442" s="8"/>
    </row>
    <row r="11443" spans="24:24" x14ac:dyDescent="0.35">
      <c r="X11443" s="8"/>
    </row>
    <row r="11444" spans="24:24" x14ac:dyDescent="0.35">
      <c r="X11444" s="8"/>
    </row>
    <row r="11445" spans="24:24" x14ac:dyDescent="0.35">
      <c r="X11445" s="8"/>
    </row>
    <row r="11446" spans="24:24" x14ac:dyDescent="0.35">
      <c r="X11446" s="8"/>
    </row>
    <row r="11447" spans="24:24" x14ac:dyDescent="0.35">
      <c r="X11447" s="8"/>
    </row>
    <row r="11448" spans="24:24" x14ac:dyDescent="0.35">
      <c r="X11448" s="8"/>
    </row>
    <row r="11449" spans="24:24" x14ac:dyDescent="0.35">
      <c r="X11449" s="8"/>
    </row>
    <row r="11450" spans="24:24" x14ac:dyDescent="0.35">
      <c r="X11450" s="8"/>
    </row>
    <row r="11451" spans="24:24" x14ac:dyDescent="0.35">
      <c r="X11451" s="8"/>
    </row>
    <row r="11452" spans="24:24" x14ac:dyDescent="0.35">
      <c r="X11452" s="8"/>
    </row>
    <row r="11453" spans="24:24" x14ac:dyDescent="0.35">
      <c r="X11453" s="8"/>
    </row>
    <row r="11454" spans="24:24" x14ac:dyDescent="0.35">
      <c r="X11454" s="8"/>
    </row>
    <row r="11455" spans="24:24" x14ac:dyDescent="0.35">
      <c r="X11455" s="8"/>
    </row>
    <row r="11456" spans="24:24" x14ac:dyDescent="0.35">
      <c r="X11456" s="8"/>
    </row>
    <row r="11457" spans="24:24" x14ac:dyDescent="0.35">
      <c r="X11457" s="8"/>
    </row>
    <row r="11458" spans="24:24" x14ac:dyDescent="0.35">
      <c r="X11458" s="8"/>
    </row>
    <row r="11459" spans="24:24" x14ac:dyDescent="0.35">
      <c r="X11459" s="8"/>
    </row>
    <row r="11460" spans="24:24" x14ac:dyDescent="0.35">
      <c r="X11460" s="8"/>
    </row>
    <row r="11461" spans="24:24" x14ac:dyDescent="0.35">
      <c r="X11461" s="8"/>
    </row>
    <row r="11462" spans="24:24" x14ac:dyDescent="0.35">
      <c r="X11462" s="8"/>
    </row>
    <row r="11463" spans="24:24" x14ac:dyDescent="0.35">
      <c r="X11463" s="8"/>
    </row>
    <row r="11464" spans="24:24" x14ac:dyDescent="0.35">
      <c r="X11464" s="8"/>
    </row>
    <row r="11465" spans="24:24" x14ac:dyDescent="0.35">
      <c r="X11465" s="8"/>
    </row>
    <row r="11466" spans="24:24" x14ac:dyDescent="0.35">
      <c r="X11466" s="8"/>
    </row>
    <row r="11467" spans="24:24" x14ac:dyDescent="0.35">
      <c r="X11467" s="8"/>
    </row>
    <row r="11468" spans="24:24" x14ac:dyDescent="0.35">
      <c r="X11468" s="8"/>
    </row>
    <row r="11469" spans="24:24" x14ac:dyDescent="0.35">
      <c r="X11469" s="8"/>
    </row>
    <row r="11470" spans="24:24" x14ac:dyDescent="0.35">
      <c r="X11470" s="8"/>
    </row>
    <row r="11471" spans="24:24" x14ac:dyDescent="0.35">
      <c r="X11471" s="8"/>
    </row>
    <row r="11472" spans="24:24" x14ac:dyDescent="0.35">
      <c r="X11472" s="8"/>
    </row>
    <row r="11473" spans="24:24" x14ac:dyDescent="0.35">
      <c r="X11473" s="8"/>
    </row>
    <row r="11474" spans="24:24" x14ac:dyDescent="0.35">
      <c r="X11474" s="8"/>
    </row>
    <row r="11475" spans="24:24" x14ac:dyDescent="0.35">
      <c r="X11475" s="8"/>
    </row>
    <row r="11476" spans="24:24" x14ac:dyDescent="0.35">
      <c r="X11476" s="8"/>
    </row>
    <row r="11477" spans="24:24" x14ac:dyDescent="0.35">
      <c r="X11477" s="8"/>
    </row>
    <row r="11478" spans="24:24" x14ac:dyDescent="0.35">
      <c r="X11478" s="8"/>
    </row>
    <row r="11479" spans="24:24" x14ac:dyDescent="0.35">
      <c r="X11479" s="8"/>
    </row>
    <row r="11480" spans="24:24" x14ac:dyDescent="0.35">
      <c r="X11480" s="8"/>
    </row>
    <row r="11481" spans="24:24" x14ac:dyDescent="0.35">
      <c r="X11481" s="8"/>
    </row>
    <row r="11482" spans="24:24" x14ac:dyDescent="0.35">
      <c r="X11482" s="8"/>
    </row>
    <row r="11483" spans="24:24" x14ac:dyDescent="0.35">
      <c r="X11483" s="8"/>
    </row>
    <row r="11484" spans="24:24" x14ac:dyDescent="0.35">
      <c r="X11484" s="8"/>
    </row>
    <row r="11485" spans="24:24" x14ac:dyDescent="0.35">
      <c r="X11485" s="8"/>
    </row>
    <row r="11486" spans="24:24" x14ac:dyDescent="0.35">
      <c r="X11486" s="8"/>
    </row>
    <row r="11487" spans="24:24" x14ac:dyDescent="0.35">
      <c r="X11487" s="8"/>
    </row>
    <row r="11488" spans="24:24" x14ac:dyDescent="0.35">
      <c r="X11488" s="8"/>
    </row>
    <row r="11489" spans="24:24" x14ac:dyDescent="0.35">
      <c r="X11489" s="8"/>
    </row>
    <row r="11490" spans="24:24" x14ac:dyDescent="0.35">
      <c r="X11490" s="8"/>
    </row>
    <row r="11491" spans="24:24" x14ac:dyDescent="0.35">
      <c r="X11491" s="8"/>
    </row>
    <row r="11492" spans="24:24" x14ac:dyDescent="0.35">
      <c r="X11492" s="8"/>
    </row>
    <row r="11493" spans="24:24" x14ac:dyDescent="0.35">
      <c r="X11493" s="8"/>
    </row>
    <row r="11494" spans="24:24" x14ac:dyDescent="0.35">
      <c r="X11494" s="8"/>
    </row>
    <row r="11495" spans="24:24" x14ac:dyDescent="0.35">
      <c r="X11495" s="8"/>
    </row>
    <row r="11496" spans="24:24" x14ac:dyDescent="0.35">
      <c r="X11496" s="8"/>
    </row>
    <row r="11497" spans="24:24" x14ac:dyDescent="0.35">
      <c r="X11497" s="8"/>
    </row>
    <row r="11498" spans="24:24" x14ac:dyDescent="0.35">
      <c r="X11498" s="8"/>
    </row>
    <row r="11499" spans="24:24" x14ac:dyDescent="0.35">
      <c r="X11499" s="8"/>
    </row>
    <row r="11500" spans="24:24" x14ac:dyDescent="0.35">
      <c r="X11500" s="8"/>
    </row>
    <row r="11501" spans="24:24" x14ac:dyDescent="0.35">
      <c r="X11501" s="8"/>
    </row>
    <row r="11502" spans="24:24" x14ac:dyDescent="0.35">
      <c r="X11502" s="8"/>
    </row>
    <row r="11503" spans="24:24" x14ac:dyDescent="0.35">
      <c r="X11503" s="8"/>
    </row>
    <row r="11504" spans="24:24" x14ac:dyDescent="0.35">
      <c r="X11504" s="8"/>
    </row>
    <row r="11505" spans="24:24" x14ac:dyDescent="0.35">
      <c r="X11505" s="8"/>
    </row>
    <row r="11506" spans="24:24" x14ac:dyDescent="0.35">
      <c r="X11506" s="8"/>
    </row>
    <row r="11507" spans="24:24" x14ac:dyDescent="0.35">
      <c r="X11507" s="8"/>
    </row>
    <row r="11508" spans="24:24" x14ac:dyDescent="0.35">
      <c r="X11508" s="8"/>
    </row>
    <row r="11509" spans="24:24" x14ac:dyDescent="0.35">
      <c r="X11509" s="8"/>
    </row>
    <row r="11510" spans="24:24" x14ac:dyDescent="0.35">
      <c r="X11510" s="8"/>
    </row>
    <row r="11511" spans="24:24" x14ac:dyDescent="0.35">
      <c r="X11511" s="8"/>
    </row>
    <row r="11512" spans="24:24" x14ac:dyDescent="0.35">
      <c r="X11512" s="8"/>
    </row>
    <row r="11513" spans="24:24" x14ac:dyDescent="0.35">
      <c r="X11513" s="8"/>
    </row>
    <row r="11514" spans="24:24" x14ac:dyDescent="0.35">
      <c r="X11514" s="8"/>
    </row>
    <row r="11515" spans="24:24" x14ac:dyDescent="0.35">
      <c r="X11515" s="8"/>
    </row>
    <row r="11516" spans="24:24" x14ac:dyDescent="0.35">
      <c r="X11516" s="8"/>
    </row>
    <row r="11517" spans="24:24" x14ac:dyDescent="0.35">
      <c r="X11517" s="8"/>
    </row>
    <row r="11518" spans="24:24" x14ac:dyDescent="0.35">
      <c r="X11518" s="8"/>
    </row>
    <row r="11519" spans="24:24" x14ac:dyDescent="0.35">
      <c r="X11519" s="8"/>
    </row>
    <row r="11520" spans="24:24" x14ac:dyDescent="0.35">
      <c r="X11520" s="8"/>
    </row>
    <row r="11521" spans="24:24" x14ac:dyDescent="0.35">
      <c r="X11521" s="8"/>
    </row>
    <row r="11522" spans="24:24" x14ac:dyDescent="0.35">
      <c r="X11522" s="8"/>
    </row>
    <row r="11523" spans="24:24" x14ac:dyDescent="0.35">
      <c r="X11523" s="8"/>
    </row>
    <row r="11524" spans="24:24" x14ac:dyDescent="0.35">
      <c r="X11524" s="8"/>
    </row>
    <row r="11525" spans="24:24" x14ac:dyDescent="0.35">
      <c r="X11525" s="8"/>
    </row>
    <row r="11526" spans="24:24" x14ac:dyDescent="0.35">
      <c r="X11526" s="8"/>
    </row>
    <row r="11527" spans="24:24" x14ac:dyDescent="0.35">
      <c r="X11527" s="8"/>
    </row>
    <row r="11528" spans="24:24" x14ac:dyDescent="0.35">
      <c r="X11528" s="8"/>
    </row>
    <row r="11529" spans="24:24" x14ac:dyDescent="0.35">
      <c r="X11529" s="8"/>
    </row>
    <row r="11530" spans="24:24" x14ac:dyDescent="0.35">
      <c r="X11530" s="8"/>
    </row>
    <row r="11531" spans="24:24" x14ac:dyDescent="0.35">
      <c r="X11531" s="8"/>
    </row>
    <row r="11532" spans="24:24" x14ac:dyDescent="0.35">
      <c r="X11532" s="8"/>
    </row>
    <row r="11533" spans="24:24" x14ac:dyDescent="0.35">
      <c r="X11533" s="8"/>
    </row>
    <row r="11534" spans="24:24" x14ac:dyDescent="0.35">
      <c r="X11534" s="8"/>
    </row>
    <row r="11535" spans="24:24" x14ac:dyDescent="0.35">
      <c r="X11535" s="8"/>
    </row>
    <row r="11536" spans="24:24" x14ac:dyDescent="0.35">
      <c r="X11536" s="8"/>
    </row>
    <row r="11537" spans="24:24" x14ac:dyDescent="0.35">
      <c r="X11537" s="8"/>
    </row>
    <row r="11538" spans="24:24" x14ac:dyDescent="0.35">
      <c r="X11538" s="8"/>
    </row>
    <row r="11539" spans="24:24" x14ac:dyDescent="0.35">
      <c r="X11539" s="8"/>
    </row>
    <row r="11540" spans="24:24" x14ac:dyDescent="0.35">
      <c r="X11540" s="8"/>
    </row>
    <row r="11541" spans="24:24" x14ac:dyDescent="0.35">
      <c r="X11541" s="8"/>
    </row>
    <row r="11542" spans="24:24" x14ac:dyDescent="0.35">
      <c r="X11542" s="8"/>
    </row>
    <row r="11543" spans="24:24" x14ac:dyDescent="0.35">
      <c r="X11543" s="8"/>
    </row>
    <row r="11544" spans="24:24" x14ac:dyDescent="0.35">
      <c r="X11544" s="8"/>
    </row>
    <row r="11545" spans="24:24" x14ac:dyDescent="0.35">
      <c r="X11545" s="8"/>
    </row>
    <row r="11546" spans="24:24" x14ac:dyDescent="0.35">
      <c r="X11546" s="8"/>
    </row>
    <row r="11547" spans="24:24" x14ac:dyDescent="0.35">
      <c r="X11547" s="8"/>
    </row>
    <row r="11548" spans="24:24" x14ac:dyDescent="0.35">
      <c r="X11548" s="8"/>
    </row>
    <row r="11549" spans="24:24" x14ac:dyDescent="0.35">
      <c r="X11549" s="8"/>
    </row>
    <row r="11550" spans="24:24" x14ac:dyDescent="0.35">
      <c r="X11550" s="8"/>
    </row>
    <row r="11551" spans="24:24" x14ac:dyDescent="0.35">
      <c r="X11551" s="8"/>
    </row>
    <row r="11552" spans="24:24" x14ac:dyDescent="0.35">
      <c r="X11552" s="8"/>
    </row>
    <row r="11553" spans="24:24" x14ac:dyDescent="0.35">
      <c r="X11553" s="8"/>
    </row>
    <row r="11554" spans="24:24" x14ac:dyDescent="0.35">
      <c r="X11554" s="8"/>
    </row>
    <row r="11555" spans="24:24" x14ac:dyDescent="0.35">
      <c r="X11555" s="8"/>
    </row>
    <row r="11556" spans="24:24" x14ac:dyDescent="0.35">
      <c r="X11556" s="8"/>
    </row>
    <row r="11557" spans="24:24" x14ac:dyDescent="0.35">
      <c r="X11557" s="8"/>
    </row>
    <row r="11558" spans="24:24" x14ac:dyDescent="0.35">
      <c r="X11558" s="8"/>
    </row>
    <row r="11559" spans="24:24" x14ac:dyDescent="0.35">
      <c r="X11559" s="8"/>
    </row>
    <row r="11560" spans="24:24" x14ac:dyDescent="0.35">
      <c r="X11560" s="8"/>
    </row>
    <row r="11561" spans="24:24" x14ac:dyDescent="0.35">
      <c r="X11561" s="8"/>
    </row>
    <row r="11562" spans="24:24" x14ac:dyDescent="0.35">
      <c r="X11562" s="8"/>
    </row>
    <row r="11563" spans="24:24" x14ac:dyDescent="0.35">
      <c r="X11563" s="8"/>
    </row>
    <row r="11564" spans="24:24" x14ac:dyDescent="0.35">
      <c r="X11564" s="8"/>
    </row>
    <row r="11565" spans="24:24" x14ac:dyDescent="0.35">
      <c r="X11565" s="8"/>
    </row>
    <row r="11566" spans="24:24" x14ac:dyDescent="0.35">
      <c r="X11566" s="8"/>
    </row>
    <row r="11567" spans="24:24" x14ac:dyDescent="0.35">
      <c r="X11567" s="8"/>
    </row>
    <row r="11568" spans="24:24" x14ac:dyDescent="0.35">
      <c r="X11568" s="8"/>
    </row>
    <row r="11569" spans="24:24" x14ac:dyDescent="0.35">
      <c r="X11569" s="8"/>
    </row>
    <row r="11570" spans="24:24" x14ac:dyDescent="0.35">
      <c r="X11570" s="8"/>
    </row>
    <row r="11571" spans="24:24" x14ac:dyDescent="0.35">
      <c r="X11571" s="8"/>
    </row>
    <row r="11572" spans="24:24" x14ac:dyDescent="0.35">
      <c r="X11572" s="8"/>
    </row>
    <row r="11573" spans="24:24" x14ac:dyDescent="0.35">
      <c r="X11573" s="8"/>
    </row>
    <row r="11574" spans="24:24" x14ac:dyDescent="0.35">
      <c r="X11574" s="8"/>
    </row>
    <row r="11575" spans="24:24" x14ac:dyDescent="0.35">
      <c r="X11575" s="8"/>
    </row>
    <row r="11576" spans="24:24" x14ac:dyDescent="0.35">
      <c r="X11576" s="8"/>
    </row>
    <row r="11577" spans="24:24" x14ac:dyDescent="0.35">
      <c r="X11577" s="8"/>
    </row>
    <row r="11578" spans="24:24" x14ac:dyDescent="0.35">
      <c r="X11578" s="8"/>
    </row>
    <row r="11579" spans="24:24" x14ac:dyDescent="0.35">
      <c r="X11579" s="8"/>
    </row>
    <row r="11580" spans="24:24" x14ac:dyDescent="0.35">
      <c r="X11580" s="8"/>
    </row>
    <row r="11581" spans="24:24" x14ac:dyDescent="0.35">
      <c r="X11581" s="8"/>
    </row>
    <row r="11582" spans="24:24" x14ac:dyDescent="0.35">
      <c r="X11582" s="8"/>
    </row>
    <row r="11583" spans="24:24" x14ac:dyDescent="0.35">
      <c r="X11583" s="8"/>
    </row>
    <row r="11584" spans="24:24" x14ac:dyDescent="0.35">
      <c r="X11584" s="8"/>
    </row>
    <row r="11585" spans="24:24" x14ac:dyDescent="0.35">
      <c r="X11585" s="8"/>
    </row>
    <row r="11586" spans="24:24" x14ac:dyDescent="0.35">
      <c r="X11586" s="8"/>
    </row>
    <row r="11587" spans="24:24" x14ac:dyDescent="0.35">
      <c r="X11587" s="8"/>
    </row>
    <row r="11588" spans="24:24" x14ac:dyDescent="0.35">
      <c r="X11588" s="8"/>
    </row>
    <row r="11589" spans="24:24" x14ac:dyDescent="0.35">
      <c r="X11589" s="8"/>
    </row>
    <row r="11590" spans="24:24" x14ac:dyDescent="0.35">
      <c r="X11590" s="8"/>
    </row>
    <row r="11591" spans="24:24" x14ac:dyDescent="0.35">
      <c r="X11591" s="8"/>
    </row>
    <row r="11592" spans="24:24" x14ac:dyDescent="0.35">
      <c r="X11592" s="8"/>
    </row>
    <row r="11593" spans="24:24" x14ac:dyDescent="0.35">
      <c r="X11593" s="8"/>
    </row>
    <row r="11594" spans="24:24" x14ac:dyDescent="0.35">
      <c r="X11594" s="8"/>
    </row>
    <row r="11595" spans="24:24" x14ac:dyDescent="0.35">
      <c r="X11595" s="8"/>
    </row>
    <row r="11596" spans="24:24" x14ac:dyDescent="0.35">
      <c r="X11596" s="8"/>
    </row>
    <row r="11597" spans="24:24" x14ac:dyDescent="0.35">
      <c r="X11597" s="8"/>
    </row>
    <row r="11598" spans="24:24" x14ac:dyDescent="0.35">
      <c r="X11598" s="8"/>
    </row>
    <row r="11599" spans="24:24" x14ac:dyDescent="0.35">
      <c r="X11599" s="8"/>
    </row>
    <row r="11600" spans="24:24" x14ac:dyDescent="0.35">
      <c r="X11600" s="8"/>
    </row>
    <row r="11601" spans="24:24" x14ac:dyDescent="0.35">
      <c r="X11601" s="8"/>
    </row>
    <row r="11602" spans="24:24" x14ac:dyDescent="0.35">
      <c r="X11602" s="8"/>
    </row>
    <row r="11603" spans="24:24" x14ac:dyDescent="0.35">
      <c r="X11603" s="8"/>
    </row>
    <row r="11604" spans="24:24" x14ac:dyDescent="0.35">
      <c r="X11604" s="8"/>
    </row>
    <row r="11605" spans="24:24" x14ac:dyDescent="0.35">
      <c r="X11605" s="8"/>
    </row>
    <row r="11606" spans="24:24" x14ac:dyDescent="0.35">
      <c r="X11606" s="8"/>
    </row>
    <row r="11607" spans="24:24" x14ac:dyDescent="0.35">
      <c r="X11607" s="8"/>
    </row>
    <row r="11608" spans="24:24" x14ac:dyDescent="0.35">
      <c r="X11608" s="8"/>
    </row>
    <row r="11609" spans="24:24" x14ac:dyDescent="0.35">
      <c r="X11609" s="8"/>
    </row>
    <row r="11610" spans="24:24" x14ac:dyDescent="0.35">
      <c r="X11610" s="8"/>
    </row>
    <row r="11611" spans="24:24" x14ac:dyDescent="0.35">
      <c r="X11611" s="8"/>
    </row>
    <row r="11612" spans="24:24" x14ac:dyDescent="0.35">
      <c r="X11612" s="8"/>
    </row>
    <row r="11613" spans="24:24" x14ac:dyDescent="0.35">
      <c r="X11613" s="8"/>
    </row>
    <row r="11614" spans="24:24" x14ac:dyDescent="0.35">
      <c r="X11614" s="8"/>
    </row>
    <row r="11615" spans="24:24" x14ac:dyDescent="0.35">
      <c r="X11615" s="8"/>
    </row>
    <row r="11616" spans="24:24" x14ac:dyDescent="0.35">
      <c r="X11616" s="8"/>
    </row>
    <row r="11617" spans="24:24" x14ac:dyDescent="0.35">
      <c r="X11617" s="8"/>
    </row>
    <row r="11618" spans="24:24" x14ac:dyDescent="0.35">
      <c r="X11618" s="8"/>
    </row>
    <row r="11619" spans="24:24" x14ac:dyDescent="0.35">
      <c r="X11619" s="8"/>
    </row>
    <row r="11620" spans="24:24" x14ac:dyDescent="0.35">
      <c r="X11620" s="8"/>
    </row>
    <row r="11621" spans="24:24" x14ac:dyDescent="0.35">
      <c r="X11621" s="8"/>
    </row>
    <row r="11622" spans="24:24" x14ac:dyDescent="0.35">
      <c r="X11622" s="8"/>
    </row>
    <row r="11623" spans="24:24" x14ac:dyDescent="0.35">
      <c r="X11623" s="8"/>
    </row>
    <row r="11624" spans="24:24" x14ac:dyDescent="0.35">
      <c r="X11624" s="8"/>
    </row>
    <row r="11625" spans="24:24" x14ac:dyDescent="0.35">
      <c r="X11625" s="8"/>
    </row>
    <row r="11626" spans="24:24" x14ac:dyDescent="0.35">
      <c r="X11626" s="8"/>
    </row>
    <row r="11627" spans="24:24" x14ac:dyDescent="0.35">
      <c r="X11627" s="8"/>
    </row>
    <row r="11628" spans="24:24" x14ac:dyDescent="0.35">
      <c r="X11628" s="8"/>
    </row>
    <row r="11629" spans="24:24" x14ac:dyDescent="0.35">
      <c r="X11629" s="8"/>
    </row>
    <row r="11630" spans="24:24" x14ac:dyDescent="0.35">
      <c r="X11630" s="8"/>
    </row>
    <row r="11631" spans="24:24" x14ac:dyDescent="0.35">
      <c r="X11631" s="8"/>
    </row>
    <row r="11632" spans="24:24" x14ac:dyDescent="0.35">
      <c r="X11632" s="8"/>
    </row>
    <row r="11633" spans="24:24" x14ac:dyDescent="0.35">
      <c r="X11633" s="8"/>
    </row>
    <row r="11634" spans="24:24" x14ac:dyDescent="0.35">
      <c r="X11634" s="8"/>
    </row>
    <row r="11635" spans="24:24" x14ac:dyDescent="0.35">
      <c r="X11635" s="8"/>
    </row>
    <row r="11636" spans="24:24" x14ac:dyDescent="0.35">
      <c r="X11636" s="8"/>
    </row>
    <row r="11637" spans="24:24" x14ac:dyDescent="0.35">
      <c r="X11637" s="8"/>
    </row>
    <row r="11638" spans="24:24" x14ac:dyDescent="0.35">
      <c r="X11638" s="8"/>
    </row>
    <row r="11639" spans="24:24" x14ac:dyDescent="0.35">
      <c r="X11639" s="8"/>
    </row>
    <row r="11640" spans="24:24" x14ac:dyDescent="0.35">
      <c r="X11640" s="8"/>
    </row>
    <row r="11641" spans="24:24" x14ac:dyDescent="0.35">
      <c r="X11641" s="8"/>
    </row>
    <row r="11642" spans="24:24" x14ac:dyDescent="0.35">
      <c r="X11642" s="8"/>
    </row>
    <row r="11643" spans="24:24" x14ac:dyDescent="0.35">
      <c r="X11643" s="8"/>
    </row>
    <row r="11644" spans="24:24" x14ac:dyDescent="0.35">
      <c r="X11644" s="8"/>
    </row>
    <row r="11645" spans="24:24" x14ac:dyDescent="0.35">
      <c r="X11645" s="8"/>
    </row>
    <row r="11646" spans="24:24" x14ac:dyDescent="0.35">
      <c r="X11646" s="8"/>
    </row>
    <row r="11647" spans="24:24" x14ac:dyDescent="0.35">
      <c r="X11647" s="8"/>
    </row>
    <row r="11648" spans="24:24" x14ac:dyDescent="0.35">
      <c r="X11648" s="8"/>
    </row>
    <row r="11649" spans="24:24" x14ac:dyDescent="0.35">
      <c r="X11649" s="8"/>
    </row>
    <row r="11650" spans="24:24" x14ac:dyDescent="0.35">
      <c r="X11650" s="8"/>
    </row>
    <row r="11651" spans="24:24" x14ac:dyDescent="0.35">
      <c r="X11651" s="8"/>
    </row>
    <row r="11652" spans="24:24" x14ac:dyDescent="0.35">
      <c r="X11652" s="8"/>
    </row>
    <row r="11653" spans="24:24" x14ac:dyDescent="0.35">
      <c r="X11653" s="8"/>
    </row>
    <row r="11654" spans="24:24" x14ac:dyDescent="0.35">
      <c r="X11654" s="8"/>
    </row>
    <row r="11655" spans="24:24" x14ac:dyDescent="0.35">
      <c r="X11655" s="8"/>
    </row>
    <row r="11656" spans="24:24" x14ac:dyDescent="0.35">
      <c r="X11656" s="8"/>
    </row>
    <row r="11657" spans="24:24" x14ac:dyDescent="0.35">
      <c r="X11657" s="8"/>
    </row>
    <row r="11658" spans="24:24" x14ac:dyDescent="0.35">
      <c r="X11658" s="8"/>
    </row>
    <row r="11659" spans="24:24" x14ac:dyDescent="0.35">
      <c r="X11659" s="8"/>
    </row>
    <row r="11660" spans="24:24" x14ac:dyDescent="0.35">
      <c r="X11660" s="8"/>
    </row>
    <row r="11661" spans="24:24" x14ac:dyDescent="0.35">
      <c r="X11661" s="8"/>
    </row>
    <row r="11662" spans="24:24" x14ac:dyDescent="0.35">
      <c r="X11662" s="8"/>
    </row>
    <row r="11663" spans="24:24" x14ac:dyDescent="0.35">
      <c r="X11663" s="8"/>
    </row>
    <row r="11664" spans="24:24" x14ac:dyDescent="0.35">
      <c r="X11664" s="8"/>
    </row>
    <row r="11665" spans="24:24" x14ac:dyDescent="0.35">
      <c r="X11665" s="8"/>
    </row>
    <row r="11666" spans="24:24" x14ac:dyDescent="0.35">
      <c r="X11666" s="8"/>
    </row>
    <row r="11667" spans="24:24" x14ac:dyDescent="0.35">
      <c r="X11667" s="8"/>
    </row>
    <row r="11668" spans="24:24" x14ac:dyDescent="0.35">
      <c r="X11668" s="8"/>
    </row>
    <row r="11669" spans="24:24" x14ac:dyDescent="0.35">
      <c r="X11669" s="8"/>
    </row>
    <row r="11670" spans="24:24" x14ac:dyDescent="0.35">
      <c r="X11670" s="8"/>
    </row>
    <row r="11671" spans="24:24" x14ac:dyDescent="0.35">
      <c r="X11671" s="8"/>
    </row>
    <row r="11672" spans="24:24" x14ac:dyDescent="0.35">
      <c r="X11672" s="8"/>
    </row>
    <row r="11673" spans="24:24" x14ac:dyDescent="0.35">
      <c r="X11673" s="8"/>
    </row>
    <row r="11674" spans="24:24" x14ac:dyDescent="0.35">
      <c r="X11674" s="8"/>
    </row>
    <row r="11675" spans="24:24" x14ac:dyDescent="0.35">
      <c r="X11675" s="8"/>
    </row>
    <row r="11676" spans="24:24" x14ac:dyDescent="0.35">
      <c r="X11676" s="8"/>
    </row>
    <row r="11677" spans="24:24" x14ac:dyDescent="0.35">
      <c r="X11677" s="8"/>
    </row>
    <row r="11678" spans="24:24" x14ac:dyDescent="0.35">
      <c r="X11678" s="8"/>
    </row>
    <row r="11679" spans="24:24" x14ac:dyDescent="0.35">
      <c r="X11679" s="8"/>
    </row>
    <row r="11680" spans="24:24" x14ac:dyDescent="0.35">
      <c r="X11680" s="8"/>
    </row>
    <row r="11681" spans="24:24" x14ac:dyDescent="0.35">
      <c r="X11681" s="8"/>
    </row>
    <row r="11682" spans="24:24" x14ac:dyDescent="0.35">
      <c r="X11682" s="8"/>
    </row>
    <row r="11683" spans="24:24" x14ac:dyDescent="0.35">
      <c r="X11683" s="8"/>
    </row>
    <row r="11684" spans="24:24" x14ac:dyDescent="0.35">
      <c r="X11684" s="8"/>
    </row>
    <row r="11685" spans="24:24" x14ac:dyDescent="0.35">
      <c r="X11685" s="8"/>
    </row>
    <row r="11686" spans="24:24" x14ac:dyDescent="0.35">
      <c r="X11686" s="8"/>
    </row>
    <row r="11687" spans="24:24" x14ac:dyDescent="0.35">
      <c r="X11687" s="8"/>
    </row>
    <row r="11688" spans="24:24" x14ac:dyDescent="0.35">
      <c r="X11688" s="8"/>
    </row>
    <row r="11689" spans="24:24" x14ac:dyDescent="0.35">
      <c r="X11689" s="8"/>
    </row>
    <row r="11690" spans="24:24" x14ac:dyDescent="0.35">
      <c r="X11690" s="8"/>
    </row>
    <row r="11691" spans="24:24" x14ac:dyDescent="0.35">
      <c r="X11691" s="8"/>
    </row>
    <row r="11692" spans="24:24" x14ac:dyDescent="0.35">
      <c r="X11692" s="8"/>
    </row>
    <row r="11693" spans="24:24" x14ac:dyDescent="0.35">
      <c r="X11693" s="8"/>
    </row>
    <row r="11694" spans="24:24" x14ac:dyDescent="0.35">
      <c r="X11694" s="8"/>
    </row>
    <row r="11695" spans="24:24" x14ac:dyDescent="0.35">
      <c r="X11695" s="8"/>
    </row>
    <row r="11696" spans="24:24" x14ac:dyDescent="0.35">
      <c r="X11696" s="8"/>
    </row>
    <row r="11697" spans="24:24" x14ac:dyDescent="0.35">
      <c r="X11697" s="8"/>
    </row>
    <row r="11698" spans="24:24" x14ac:dyDescent="0.35">
      <c r="X11698" s="8"/>
    </row>
    <row r="11699" spans="24:24" x14ac:dyDescent="0.35">
      <c r="X11699" s="8"/>
    </row>
    <row r="11700" spans="24:24" x14ac:dyDescent="0.35">
      <c r="X11700" s="8"/>
    </row>
    <row r="11701" spans="24:24" x14ac:dyDescent="0.35">
      <c r="X11701" s="8"/>
    </row>
    <row r="11702" spans="24:24" x14ac:dyDescent="0.35">
      <c r="X11702" s="8"/>
    </row>
    <row r="11703" spans="24:24" x14ac:dyDescent="0.35">
      <c r="X11703" s="8"/>
    </row>
    <row r="11704" spans="24:24" x14ac:dyDescent="0.35">
      <c r="X11704" s="8"/>
    </row>
    <row r="11705" spans="24:24" x14ac:dyDescent="0.35">
      <c r="X11705" s="8"/>
    </row>
    <row r="11706" spans="24:24" x14ac:dyDescent="0.35">
      <c r="X11706" s="8"/>
    </row>
    <row r="11707" spans="24:24" x14ac:dyDescent="0.35">
      <c r="X11707" s="8"/>
    </row>
    <row r="11708" spans="24:24" x14ac:dyDescent="0.35">
      <c r="X11708" s="8"/>
    </row>
    <row r="11709" spans="24:24" x14ac:dyDescent="0.35">
      <c r="X11709" s="8"/>
    </row>
    <row r="11710" spans="24:24" x14ac:dyDescent="0.35">
      <c r="X11710" s="8"/>
    </row>
    <row r="11711" spans="24:24" x14ac:dyDescent="0.35">
      <c r="X11711" s="8"/>
    </row>
    <row r="11712" spans="24:24" x14ac:dyDescent="0.35">
      <c r="X11712" s="8"/>
    </row>
    <row r="11713" spans="24:24" x14ac:dyDescent="0.35">
      <c r="X11713" s="8"/>
    </row>
    <row r="11714" spans="24:24" x14ac:dyDescent="0.35">
      <c r="X11714" s="8"/>
    </row>
    <row r="11715" spans="24:24" x14ac:dyDescent="0.35">
      <c r="X11715" s="8"/>
    </row>
    <row r="11716" spans="24:24" x14ac:dyDescent="0.35">
      <c r="X11716" s="8"/>
    </row>
    <row r="11717" spans="24:24" x14ac:dyDescent="0.35">
      <c r="X11717" s="8"/>
    </row>
    <row r="11718" spans="24:24" x14ac:dyDescent="0.35">
      <c r="X11718" s="8"/>
    </row>
    <row r="11719" spans="24:24" x14ac:dyDescent="0.35">
      <c r="X11719" s="8"/>
    </row>
    <row r="11720" spans="24:24" x14ac:dyDescent="0.35">
      <c r="X11720" s="8"/>
    </row>
    <row r="11721" spans="24:24" x14ac:dyDescent="0.35">
      <c r="X11721" s="8"/>
    </row>
    <row r="11722" spans="24:24" x14ac:dyDescent="0.35">
      <c r="X11722" s="8"/>
    </row>
    <row r="11723" spans="24:24" x14ac:dyDescent="0.35">
      <c r="X11723" s="8"/>
    </row>
    <row r="11724" spans="24:24" x14ac:dyDescent="0.35">
      <c r="X11724" s="8"/>
    </row>
    <row r="11725" spans="24:24" x14ac:dyDescent="0.35">
      <c r="X11725" s="8"/>
    </row>
    <row r="11726" spans="24:24" x14ac:dyDescent="0.35">
      <c r="X11726" s="8"/>
    </row>
    <row r="11727" spans="24:24" x14ac:dyDescent="0.35">
      <c r="X11727" s="8"/>
    </row>
    <row r="11728" spans="24:24" x14ac:dyDescent="0.35">
      <c r="X11728" s="8"/>
    </row>
    <row r="11729" spans="24:24" x14ac:dyDescent="0.35">
      <c r="X11729" s="8"/>
    </row>
    <row r="11730" spans="24:24" x14ac:dyDescent="0.35">
      <c r="X11730" s="8"/>
    </row>
    <row r="11731" spans="24:24" x14ac:dyDescent="0.35">
      <c r="X11731" s="8"/>
    </row>
    <row r="11732" spans="24:24" x14ac:dyDescent="0.35">
      <c r="X11732" s="8"/>
    </row>
    <row r="11733" spans="24:24" x14ac:dyDescent="0.35">
      <c r="X11733" s="8"/>
    </row>
    <row r="11734" spans="24:24" x14ac:dyDescent="0.35">
      <c r="X11734" s="8"/>
    </row>
    <row r="11735" spans="24:24" x14ac:dyDescent="0.35">
      <c r="X11735" s="8"/>
    </row>
    <row r="11736" spans="24:24" x14ac:dyDescent="0.35">
      <c r="X11736" s="8"/>
    </row>
    <row r="11737" spans="24:24" x14ac:dyDescent="0.35">
      <c r="X11737" s="8"/>
    </row>
    <row r="11738" spans="24:24" x14ac:dyDescent="0.35">
      <c r="X11738" s="8"/>
    </row>
    <row r="11739" spans="24:24" x14ac:dyDescent="0.35">
      <c r="X11739" s="8"/>
    </row>
    <row r="11740" spans="24:24" x14ac:dyDescent="0.35">
      <c r="X11740" s="8"/>
    </row>
    <row r="11741" spans="24:24" x14ac:dyDescent="0.35">
      <c r="X11741" s="8"/>
    </row>
    <row r="11742" spans="24:24" x14ac:dyDescent="0.35">
      <c r="X11742" s="8"/>
    </row>
    <row r="11743" spans="24:24" x14ac:dyDescent="0.35">
      <c r="X11743" s="8"/>
    </row>
    <row r="11744" spans="24:24" x14ac:dyDescent="0.35">
      <c r="X11744" s="8"/>
    </row>
    <row r="11745" spans="24:24" x14ac:dyDescent="0.35">
      <c r="X11745" s="8"/>
    </row>
    <row r="11746" spans="24:24" x14ac:dyDescent="0.35">
      <c r="X11746" s="8"/>
    </row>
    <row r="11747" spans="24:24" x14ac:dyDescent="0.35">
      <c r="X11747" s="8"/>
    </row>
    <row r="11748" spans="24:24" x14ac:dyDescent="0.35">
      <c r="X11748" s="8"/>
    </row>
    <row r="11749" spans="24:24" x14ac:dyDescent="0.35">
      <c r="X11749" s="8"/>
    </row>
    <row r="11750" spans="24:24" x14ac:dyDescent="0.35">
      <c r="X11750" s="8"/>
    </row>
    <row r="11751" spans="24:24" x14ac:dyDescent="0.35">
      <c r="X11751" s="8"/>
    </row>
    <row r="11752" spans="24:24" x14ac:dyDescent="0.35">
      <c r="X11752" s="8"/>
    </row>
    <row r="11753" spans="24:24" x14ac:dyDescent="0.35">
      <c r="X11753" s="8"/>
    </row>
    <row r="11754" spans="24:24" x14ac:dyDescent="0.35">
      <c r="X11754" s="8"/>
    </row>
    <row r="11755" spans="24:24" x14ac:dyDescent="0.35">
      <c r="X11755" s="8"/>
    </row>
    <row r="11756" spans="24:24" x14ac:dyDescent="0.35">
      <c r="X11756" s="8"/>
    </row>
    <row r="11757" spans="24:24" x14ac:dyDescent="0.35">
      <c r="X11757" s="8"/>
    </row>
    <row r="11758" spans="24:24" x14ac:dyDescent="0.35">
      <c r="X11758" s="8"/>
    </row>
    <row r="11759" spans="24:24" x14ac:dyDescent="0.35">
      <c r="X11759" s="8"/>
    </row>
    <row r="11760" spans="24:24" x14ac:dyDescent="0.35">
      <c r="X11760" s="8"/>
    </row>
    <row r="11761" spans="24:24" x14ac:dyDescent="0.35">
      <c r="X11761" s="8"/>
    </row>
    <row r="11762" spans="24:24" x14ac:dyDescent="0.35">
      <c r="X11762" s="8"/>
    </row>
    <row r="11763" spans="24:24" x14ac:dyDescent="0.35">
      <c r="X11763" s="8"/>
    </row>
    <row r="11764" spans="24:24" x14ac:dyDescent="0.35">
      <c r="X11764" s="8"/>
    </row>
    <row r="11765" spans="24:24" x14ac:dyDescent="0.35">
      <c r="X11765" s="8"/>
    </row>
    <row r="11766" spans="24:24" x14ac:dyDescent="0.35">
      <c r="X11766" s="8"/>
    </row>
    <row r="11767" spans="24:24" x14ac:dyDescent="0.35">
      <c r="X11767" s="8"/>
    </row>
    <row r="11768" spans="24:24" x14ac:dyDescent="0.35">
      <c r="X11768" s="8"/>
    </row>
    <row r="11769" spans="24:24" x14ac:dyDescent="0.35">
      <c r="X11769" s="8"/>
    </row>
    <row r="11770" spans="24:24" x14ac:dyDescent="0.35">
      <c r="X11770" s="8"/>
    </row>
    <row r="11771" spans="24:24" x14ac:dyDescent="0.35">
      <c r="X11771" s="8"/>
    </row>
    <row r="11772" spans="24:24" x14ac:dyDescent="0.35">
      <c r="X11772" s="8"/>
    </row>
    <row r="11773" spans="24:24" x14ac:dyDescent="0.35">
      <c r="X11773" s="8"/>
    </row>
    <row r="11774" spans="24:24" x14ac:dyDescent="0.35">
      <c r="X11774" s="8"/>
    </row>
    <row r="11775" spans="24:24" x14ac:dyDescent="0.35">
      <c r="X11775" s="8"/>
    </row>
    <row r="11776" spans="24:24" x14ac:dyDescent="0.35">
      <c r="X11776" s="8"/>
    </row>
    <row r="11777" spans="24:24" x14ac:dyDescent="0.35">
      <c r="X11777" s="8"/>
    </row>
    <row r="11778" spans="24:24" x14ac:dyDescent="0.35">
      <c r="X11778" s="8"/>
    </row>
    <row r="11779" spans="24:24" x14ac:dyDescent="0.35">
      <c r="X11779" s="8"/>
    </row>
    <row r="11780" spans="24:24" x14ac:dyDescent="0.35">
      <c r="X11780" s="8"/>
    </row>
    <row r="11781" spans="24:24" x14ac:dyDescent="0.35">
      <c r="X11781" s="8"/>
    </row>
    <row r="11782" spans="24:24" x14ac:dyDescent="0.35">
      <c r="X11782" s="8"/>
    </row>
    <row r="11783" spans="24:24" x14ac:dyDescent="0.35">
      <c r="X11783" s="8"/>
    </row>
    <row r="11784" spans="24:24" x14ac:dyDescent="0.35">
      <c r="X11784" s="8"/>
    </row>
    <row r="11785" spans="24:24" x14ac:dyDescent="0.35">
      <c r="X11785" s="8"/>
    </row>
    <row r="11786" spans="24:24" x14ac:dyDescent="0.35">
      <c r="X11786" s="8"/>
    </row>
    <row r="11787" spans="24:24" x14ac:dyDescent="0.35">
      <c r="X11787" s="8"/>
    </row>
    <row r="11788" spans="24:24" x14ac:dyDescent="0.35">
      <c r="X11788" s="8"/>
    </row>
    <row r="11789" spans="24:24" x14ac:dyDescent="0.35">
      <c r="X11789" s="8"/>
    </row>
    <row r="11790" spans="24:24" x14ac:dyDescent="0.35">
      <c r="X11790" s="8"/>
    </row>
    <row r="11791" spans="24:24" x14ac:dyDescent="0.35">
      <c r="X11791" s="8"/>
    </row>
    <row r="11792" spans="24:24" x14ac:dyDescent="0.35">
      <c r="X11792" s="8"/>
    </row>
    <row r="11793" spans="24:24" x14ac:dyDescent="0.35">
      <c r="X11793" s="8"/>
    </row>
    <row r="11794" spans="24:24" x14ac:dyDescent="0.35">
      <c r="X11794" s="8"/>
    </row>
    <row r="11795" spans="24:24" x14ac:dyDescent="0.35">
      <c r="X11795" s="8"/>
    </row>
    <row r="11796" spans="24:24" x14ac:dyDescent="0.35">
      <c r="X11796" s="8"/>
    </row>
    <row r="11797" spans="24:24" x14ac:dyDescent="0.35">
      <c r="X11797" s="8"/>
    </row>
    <row r="11798" spans="24:24" x14ac:dyDescent="0.35">
      <c r="X11798" s="8"/>
    </row>
    <row r="11799" spans="24:24" x14ac:dyDescent="0.35">
      <c r="X11799" s="8"/>
    </row>
    <row r="11800" spans="24:24" x14ac:dyDescent="0.35">
      <c r="X11800" s="8"/>
    </row>
    <row r="11801" spans="24:24" x14ac:dyDescent="0.35">
      <c r="X11801" s="8"/>
    </row>
    <row r="11802" spans="24:24" x14ac:dyDescent="0.35">
      <c r="X11802" s="8"/>
    </row>
    <row r="11803" spans="24:24" x14ac:dyDescent="0.35">
      <c r="X11803" s="8"/>
    </row>
    <row r="11804" spans="24:24" x14ac:dyDescent="0.35">
      <c r="X11804" s="8"/>
    </row>
    <row r="11805" spans="24:24" x14ac:dyDescent="0.35">
      <c r="X11805" s="8"/>
    </row>
    <row r="11806" spans="24:24" x14ac:dyDescent="0.35">
      <c r="X11806" s="8"/>
    </row>
    <row r="11807" spans="24:24" x14ac:dyDescent="0.35">
      <c r="X11807" s="8"/>
    </row>
    <row r="11808" spans="24:24" x14ac:dyDescent="0.35">
      <c r="X11808" s="8"/>
    </row>
    <row r="11809" spans="24:24" x14ac:dyDescent="0.35">
      <c r="X11809" s="8"/>
    </row>
    <row r="11810" spans="24:24" x14ac:dyDescent="0.35">
      <c r="X11810" s="8"/>
    </row>
    <row r="11811" spans="24:24" x14ac:dyDescent="0.35">
      <c r="X11811" s="8"/>
    </row>
    <row r="11812" spans="24:24" x14ac:dyDescent="0.35">
      <c r="X11812" s="8"/>
    </row>
    <row r="11813" spans="24:24" x14ac:dyDescent="0.35">
      <c r="X11813" s="8"/>
    </row>
    <row r="11814" spans="24:24" x14ac:dyDescent="0.35">
      <c r="X11814" s="8"/>
    </row>
    <row r="11815" spans="24:24" x14ac:dyDescent="0.35">
      <c r="X11815" s="8"/>
    </row>
    <row r="11816" spans="24:24" x14ac:dyDescent="0.35">
      <c r="X11816" s="8"/>
    </row>
    <row r="11817" spans="24:24" x14ac:dyDescent="0.35">
      <c r="X11817" s="8"/>
    </row>
    <row r="11818" spans="24:24" x14ac:dyDescent="0.35">
      <c r="X11818" s="8"/>
    </row>
    <row r="11819" spans="24:24" x14ac:dyDescent="0.35">
      <c r="X11819" s="8"/>
    </row>
    <row r="11820" spans="24:24" x14ac:dyDescent="0.35">
      <c r="X11820" s="8"/>
    </row>
    <row r="11821" spans="24:24" x14ac:dyDescent="0.35">
      <c r="X11821" s="8"/>
    </row>
    <row r="11822" spans="24:24" x14ac:dyDescent="0.35">
      <c r="X11822" s="8"/>
    </row>
    <row r="11823" spans="24:24" x14ac:dyDescent="0.35">
      <c r="X11823" s="8"/>
    </row>
    <row r="11824" spans="24:24" x14ac:dyDescent="0.35">
      <c r="X11824" s="8"/>
    </row>
    <row r="11825" spans="24:24" x14ac:dyDescent="0.35">
      <c r="X11825" s="8"/>
    </row>
    <row r="11826" spans="24:24" x14ac:dyDescent="0.35">
      <c r="X11826" s="8"/>
    </row>
    <row r="11827" spans="24:24" x14ac:dyDescent="0.35">
      <c r="X11827" s="8"/>
    </row>
    <row r="11828" spans="24:24" x14ac:dyDescent="0.35">
      <c r="X11828" s="8"/>
    </row>
    <row r="11829" spans="24:24" x14ac:dyDescent="0.35">
      <c r="X11829" s="8"/>
    </row>
    <row r="11830" spans="24:24" x14ac:dyDescent="0.35">
      <c r="X11830" s="8"/>
    </row>
    <row r="11831" spans="24:24" x14ac:dyDescent="0.35">
      <c r="X11831" s="8"/>
    </row>
    <row r="11832" spans="24:24" x14ac:dyDescent="0.35">
      <c r="X11832" s="8"/>
    </row>
    <row r="11833" spans="24:24" x14ac:dyDescent="0.35">
      <c r="X11833" s="8"/>
    </row>
    <row r="11834" spans="24:24" x14ac:dyDescent="0.35">
      <c r="X11834" s="8"/>
    </row>
    <row r="11835" spans="24:24" x14ac:dyDescent="0.35">
      <c r="X11835" s="8"/>
    </row>
    <row r="11836" spans="24:24" x14ac:dyDescent="0.35">
      <c r="X11836" s="8"/>
    </row>
    <row r="11837" spans="24:24" x14ac:dyDescent="0.35">
      <c r="X11837" s="8"/>
    </row>
    <row r="11838" spans="24:24" x14ac:dyDescent="0.35">
      <c r="X11838" s="8"/>
    </row>
    <row r="11839" spans="24:24" x14ac:dyDescent="0.35">
      <c r="X11839" s="8"/>
    </row>
    <row r="11840" spans="24:24" x14ac:dyDescent="0.35">
      <c r="X11840" s="8"/>
    </row>
    <row r="11841" spans="24:24" x14ac:dyDescent="0.35">
      <c r="X11841" s="8"/>
    </row>
    <row r="11842" spans="24:24" x14ac:dyDescent="0.35">
      <c r="X11842" s="8"/>
    </row>
    <row r="11843" spans="24:24" x14ac:dyDescent="0.35">
      <c r="X11843" s="8"/>
    </row>
    <row r="11844" spans="24:24" x14ac:dyDescent="0.35">
      <c r="X11844" s="8"/>
    </row>
    <row r="11845" spans="24:24" x14ac:dyDescent="0.35">
      <c r="X11845" s="8"/>
    </row>
    <row r="11846" spans="24:24" x14ac:dyDescent="0.35">
      <c r="X11846" s="8"/>
    </row>
    <row r="11847" spans="24:24" x14ac:dyDescent="0.35">
      <c r="X11847" s="8"/>
    </row>
    <row r="11848" spans="24:24" x14ac:dyDescent="0.35">
      <c r="X11848" s="8"/>
    </row>
    <row r="11849" spans="24:24" x14ac:dyDescent="0.35">
      <c r="X11849" s="8"/>
    </row>
    <row r="11850" spans="24:24" x14ac:dyDescent="0.35">
      <c r="X11850" s="8"/>
    </row>
    <row r="11851" spans="24:24" x14ac:dyDescent="0.35">
      <c r="X11851" s="8"/>
    </row>
    <row r="11852" spans="24:24" x14ac:dyDescent="0.35">
      <c r="X11852" s="8"/>
    </row>
    <row r="11853" spans="24:24" x14ac:dyDescent="0.35">
      <c r="X11853" s="8"/>
    </row>
    <row r="11854" spans="24:24" x14ac:dyDescent="0.35">
      <c r="X11854" s="8"/>
    </row>
    <row r="11855" spans="24:24" x14ac:dyDescent="0.35">
      <c r="X11855" s="8"/>
    </row>
    <row r="11856" spans="24:24" x14ac:dyDescent="0.35">
      <c r="X11856" s="8"/>
    </row>
    <row r="11857" spans="24:24" x14ac:dyDescent="0.35">
      <c r="X11857" s="8"/>
    </row>
    <row r="11858" spans="24:24" x14ac:dyDescent="0.35">
      <c r="X11858" s="8"/>
    </row>
    <row r="11859" spans="24:24" x14ac:dyDescent="0.35">
      <c r="X11859" s="8"/>
    </row>
    <row r="11860" spans="24:24" x14ac:dyDescent="0.35">
      <c r="X11860" s="8"/>
    </row>
    <row r="11861" spans="24:24" x14ac:dyDescent="0.35">
      <c r="X11861" s="8"/>
    </row>
    <row r="11862" spans="24:24" x14ac:dyDescent="0.35">
      <c r="X11862" s="8"/>
    </row>
    <row r="11863" spans="24:24" x14ac:dyDescent="0.35">
      <c r="X11863" s="8"/>
    </row>
    <row r="11864" spans="24:24" x14ac:dyDescent="0.35">
      <c r="X11864" s="8"/>
    </row>
    <row r="11865" spans="24:24" x14ac:dyDescent="0.35">
      <c r="X11865" s="8"/>
    </row>
    <row r="11866" spans="24:24" x14ac:dyDescent="0.35">
      <c r="X11866" s="8"/>
    </row>
    <row r="11867" spans="24:24" x14ac:dyDescent="0.35">
      <c r="X11867" s="8"/>
    </row>
    <row r="11868" spans="24:24" x14ac:dyDescent="0.35">
      <c r="X11868" s="8"/>
    </row>
    <row r="11869" spans="24:24" x14ac:dyDescent="0.35">
      <c r="X11869" s="8"/>
    </row>
    <row r="11870" spans="24:24" x14ac:dyDescent="0.35">
      <c r="X11870" s="8"/>
    </row>
    <row r="11871" spans="24:24" x14ac:dyDescent="0.35">
      <c r="X11871" s="8"/>
    </row>
    <row r="11872" spans="24:24" x14ac:dyDescent="0.35">
      <c r="X11872" s="8"/>
    </row>
    <row r="11873" spans="24:24" x14ac:dyDescent="0.35">
      <c r="X11873" s="8"/>
    </row>
    <row r="11874" spans="24:24" x14ac:dyDescent="0.35">
      <c r="X11874" s="8"/>
    </row>
    <row r="11875" spans="24:24" x14ac:dyDescent="0.35">
      <c r="X11875" s="8"/>
    </row>
    <row r="11876" spans="24:24" x14ac:dyDescent="0.35">
      <c r="X11876" s="8"/>
    </row>
    <row r="11877" spans="24:24" x14ac:dyDescent="0.35">
      <c r="X11877" s="8"/>
    </row>
    <row r="11878" spans="24:24" x14ac:dyDescent="0.35">
      <c r="X11878" s="8"/>
    </row>
    <row r="11879" spans="24:24" x14ac:dyDescent="0.35">
      <c r="X11879" s="8"/>
    </row>
    <row r="11880" spans="24:24" x14ac:dyDescent="0.35">
      <c r="X11880" s="8"/>
    </row>
    <row r="11881" spans="24:24" x14ac:dyDescent="0.35">
      <c r="X11881" s="8"/>
    </row>
    <row r="11882" spans="24:24" x14ac:dyDescent="0.35">
      <c r="X11882" s="8"/>
    </row>
    <row r="11883" spans="24:24" x14ac:dyDescent="0.35">
      <c r="X11883" s="8"/>
    </row>
    <row r="11884" spans="24:24" x14ac:dyDescent="0.35">
      <c r="X11884" s="8"/>
    </row>
    <row r="11885" spans="24:24" x14ac:dyDescent="0.35">
      <c r="X11885" s="8"/>
    </row>
    <row r="11886" spans="24:24" x14ac:dyDescent="0.35">
      <c r="X11886" s="8"/>
    </row>
    <row r="11887" spans="24:24" x14ac:dyDescent="0.35">
      <c r="X11887" s="8"/>
    </row>
    <row r="11888" spans="24:24" x14ac:dyDescent="0.35">
      <c r="X11888" s="8"/>
    </row>
    <row r="11889" spans="24:24" x14ac:dyDescent="0.35">
      <c r="X11889" s="8"/>
    </row>
    <row r="11890" spans="24:24" x14ac:dyDescent="0.35">
      <c r="X11890" s="8"/>
    </row>
    <row r="11891" spans="24:24" x14ac:dyDescent="0.35">
      <c r="X11891" s="8"/>
    </row>
    <row r="11892" spans="24:24" x14ac:dyDescent="0.35">
      <c r="X11892" s="8"/>
    </row>
    <row r="11893" spans="24:24" x14ac:dyDescent="0.35">
      <c r="X11893" s="8"/>
    </row>
    <row r="11894" spans="24:24" x14ac:dyDescent="0.35">
      <c r="X11894" s="8"/>
    </row>
    <row r="11895" spans="24:24" x14ac:dyDescent="0.35">
      <c r="X11895" s="8"/>
    </row>
    <row r="11896" spans="24:24" x14ac:dyDescent="0.35">
      <c r="X11896" s="8"/>
    </row>
    <row r="11897" spans="24:24" x14ac:dyDescent="0.35">
      <c r="X11897" s="8"/>
    </row>
    <row r="11898" spans="24:24" x14ac:dyDescent="0.35">
      <c r="X11898" s="8"/>
    </row>
    <row r="11899" spans="24:24" x14ac:dyDescent="0.35">
      <c r="X11899" s="8"/>
    </row>
    <row r="11900" spans="24:24" x14ac:dyDescent="0.35">
      <c r="X11900" s="8"/>
    </row>
    <row r="11901" spans="24:24" x14ac:dyDescent="0.35">
      <c r="X11901" s="8"/>
    </row>
    <row r="11902" spans="24:24" x14ac:dyDescent="0.35">
      <c r="X11902" s="8"/>
    </row>
    <row r="11903" spans="24:24" x14ac:dyDescent="0.35">
      <c r="X11903" s="8"/>
    </row>
    <row r="11904" spans="24:24" x14ac:dyDescent="0.35">
      <c r="X11904" s="8"/>
    </row>
    <row r="11905" spans="24:24" x14ac:dyDescent="0.35">
      <c r="X11905" s="8"/>
    </row>
    <row r="11906" spans="24:24" x14ac:dyDescent="0.35">
      <c r="X11906" s="8"/>
    </row>
    <row r="11907" spans="24:24" x14ac:dyDescent="0.35">
      <c r="X11907" s="8"/>
    </row>
    <row r="11908" spans="24:24" x14ac:dyDescent="0.35">
      <c r="X11908" s="8"/>
    </row>
    <row r="11909" spans="24:24" x14ac:dyDescent="0.35">
      <c r="X11909" s="8"/>
    </row>
    <row r="11910" spans="24:24" x14ac:dyDescent="0.35">
      <c r="X11910" s="8"/>
    </row>
    <row r="11911" spans="24:24" x14ac:dyDescent="0.35">
      <c r="X11911" s="8"/>
    </row>
    <row r="11912" spans="24:24" x14ac:dyDescent="0.35">
      <c r="X11912" s="8"/>
    </row>
    <row r="11913" spans="24:24" x14ac:dyDescent="0.35">
      <c r="X11913" s="8"/>
    </row>
    <row r="11914" spans="24:24" x14ac:dyDescent="0.35">
      <c r="X11914" s="8"/>
    </row>
    <row r="11915" spans="24:24" x14ac:dyDescent="0.35">
      <c r="X11915" s="8"/>
    </row>
    <row r="11916" spans="24:24" x14ac:dyDescent="0.35">
      <c r="X11916" s="8"/>
    </row>
    <row r="11917" spans="24:24" x14ac:dyDescent="0.35">
      <c r="X11917" s="8"/>
    </row>
    <row r="11918" spans="24:24" x14ac:dyDescent="0.35">
      <c r="X11918" s="8"/>
    </row>
    <row r="11919" spans="24:24" x14ac:dyDescent="0.35">
      <c r="X11919" s="8"/>
    </row>
    <row r="11920" spans="24:24" x14ac:dyDescent="0.35">
      <c r="X11920" s="8"/>
    </row>
    <row r="11921" spans="24:24" x14ac:dyDescent="0.35">
      <c r="X11921" s="8"/>
    </row>
    <row r="11922" spans="24:24" x14ac:dyDescent="0.35">
      <c r="X11922" s="8"/>
    </row>
    <row r="11923" spans="24:24" x14ac:dyDescent="0.35">
      <c r="X11923" s="8"/>
    </row>
    <row r="11924" spans="24:24" x14ac:dyDescent="0.35">
      <c r="X11924" s="8"/>
    </row>
    <row r="11925" spans="24:24" x14ac:dyDescent="0.35">
      <c r="X11925" s="8"/>
    </row>
    <row r="11926" spans="24:24" x14ac:dyDescent="0.35">
      <c r="X11926" s="8"/>
    </row>
    <row r="11927" spans="24:24" x14ac:dyDescent="0.35">
      <c r="X11927" s="8"/>
    </row>
    <row r="11928" spans="24:24" x14ac:dyDescent="0.35">
      <c r="X11928" s="8"/>
    </row>
    <row r="11929" spans="24:24" x14ac:dyDescent="0.35">
      <c r="X11929" s="8"/>
    </row>
    <row r="11930" spans="24:24" x14ac:dyDescent="0.35">
      <c r="X11930" s="8"/>
    </row>
    <row r="11931" spans="24:24" x14ac:dyDescent="0.35">
      <c r="X11931" s="8"/>
    </row>
    <row r="11932" spans="24:24" x14ac:dyDescent="0.35">
      <c r="X11932" s="8"/>
    </row>
    <row r="11933" spans="24:24" x14ac:dyDescent="0.35">
      <c r="X11933" s="8"/>
    </row>
    <row r="11934" spans="24:24" x14ac:dyDescent="0.35">
      <c r="X11934" s="8"/>
    </row>
    <row r="11935" spans="24:24" x14ac:dyDescent="0.35">
      <c r="X11935" s="8"/>
    </row>
    <row r="11936" spans="24:24" x14ac:dyDescent="0.35">
      <c r="X11936" s="8"/>
    </row>
    <row r="11937" spans="24:24" x14ac:dyDescent="0.35">
      <c r="X11937" s="8"/>
    </row>
    <row r="11938" spans="24:24" x14ac:dyDescent="0.35">
      <c r="X11938" s="8"/>
    </row>
    <row r="11939" spans="24:24" x14ac:dyDescent="0.35">
      <c r="X11939" s="8"/>
    </row>
    <row r="11940" spans="24:24" x14ac:dyDescent="0.35">
      <c r="X11940" s="8"/>
    </row>
    <row r="11941" spans="24:24" x14ac:dyDescent="0.35">
      <c r="X11941" s="8"/>
    </row>
    <row r="11942" spans="24:24" x14ac:dyDescent="0.35">
      <c r="X11942" s="8"/>
    </row>
    <row r="11943" spans="24:24" x14ac:dyDescent="0.35">
      <c r="X11943" s="8"/>
    </row>
    <row r="11944" spans="24:24" x14ac:dyDescent="0.35">
      <c r="X11944" s="8"/>
    </row>
    <row r="11945" spans="24:24" x14ac:dyDescent="0.35">
      <c r="X11945" s="8"/>
    </row>
    <row r="11946" spans="24:24" x14ac:dyDescent="0.35">
      <c r="X11946" s="8"/>
    </row>
    <row r="11947" spans="24:24" x14ac:dyDescent="0.35">
      <c r="X11947" s="8"/>
    </row>
    <row r="11948" spans="24:24" x14ac:dyDescent="0.35">
      <c r="X11948" s="8"/>
    </row>
    <row r="11949" spans="24:24" x14ac:dyDescent="0.35">
      <c r="X11949" s="8"/>
    </row>
    <row r="11950" spans="24:24" x14ac:dyDescent="0.35">
      <c r="X11950" s="8"/>
    </row>
    <row r="11951" spans="24:24" x14ac:dyDescent="0.35">
      <c r="X11951" s="8"/>
    </row>
    <row r="11952" spans="24:24" x14ac:dyDescent="0.35">
      <c r="X11952" s="8"/>
    </row>
    <row r="11953" spans="24:24" x14ac:dyDescent="0.35">
      <c r="X11953" s="8"/>
    </row>
    <row r="11954" spans="24:24" x14ac:dyDescent="0.35">
      <c r="X11954" s="8"/>
    </row>
    <row r="11955" spans="24:24" x14ac:dyDescent="0.35">
      <c r="X11955" s="8"/>
    </row>
    <row r="11956" spans="24:24" x14ac:dyDescent="0.35">
      <c r="X11956" s="8"/>
    </row>
    <row r="11957" spans="24:24" x14ac:dyDescent="0.35">
      <c r="X11957" s="8"/>
    </row>
    <row r="11958" spans="24:24" x14ac:dyDescent="0.35">
      <c r="X11958" s="8"/>
    </row>
    <row r="11959" spans="24:24" x14ac:dyDescent="0.35">
      <c r="X11959" s="8"/>
    </row>
    <row r="11960" spans="24:24" x14ac:dyDescent="0.35">
      <c r="X11960" s="8"/>
    </row>
    <row r="11961" spans="24:24" x14ac:dyDescent="0.35">
      <c r="X11961" s="8"/>
    </row>
    <row r="11962" spans="24:24" x14ac:dyDescent="0.35">
      <c r="X11962" s="8"/>
    </row>
    <row r="11963" spans="24:24" x14ac:dyDescent="0.35">
      <c r="X11963" s="8"/>
    </row>
    <row r="11964" spans="24:24" x14ac:dyDescent="0.35">
      <c r="X11964" s="8"/>
    </row>
    <row r="11965" spans="24:24" x14ac:dyDescent="0.35">
      <c r="X11965" s="8"/>
    </row>
    <row r="11966" spans="24:24" x14ac:dyDescent="0.35">
      <c r="X11966" s="8"/>
    </row>
    <row r="11967" spans="24:24" x14ac:dyDescent="0.35">
      <c r="X11967" s="8"/>
    </row>
    <row r="11968" spans="24:24" x14ac:dyDescent="0.35">
      <c r="X11968" s="8"/>
    </row>
    <row r="11969" spans="24:24" x14ac:dyDescent="0.35">
      <c r="X11969" s="8"/>
    </row>
    <row r="11970" spans="24:24" x14ac:dyDescent="0.35">
      <c r="X11970" s="8"/>
    </row>
    <row r="11971" spans="24:24" x14ac:dyDescent="0.35">
      <c r="X11971" s="8"/>
    </row>
    <row r="11972" spans="24:24" x14ac:dyDescent="0.35">
      <c r="X11972" s="8"/>
    </row>
    <row r="11973" spans="24:24" x14ac:dyDescent="0.35">
      <c r="X11973" s="8"/>
    </row>
    <row r="11974" spans="24:24" x14ac:dyDescent="0.35">
      <c r="X11974" s="8"/>
    </row>
    <row r="11975" spans="24:24" x14ac:dyDescent="0.35">
      <c r="X11975" s="8"/>
    </row>
    <row r="11976" spans="24:24" x14ac:dyDescent="0.35">
      <c r="X11976" s="8"/>
    </row>
    <row r="11977" spans="24:24" x14ac:dyDescent="0.35">
      <c r="X11977" s="8"/>
    </row>
    <row r="11978" spans="24:24" x14ac:dyDescent="0.35">
      <c r="X11978" s="8"/>
    </row>
    <row r="11979" spans="24:24" x14ac:dyDescent="0.35">
      <c r="X11979" s="8"/>
    </row>
    <row r="11980" spans="24:24" x14ac:dyDescent="0.35">
      <c r="X11980" s="8"/>
    </row>
    <row r="11981" spans="24:24" x14ac:dyDescent="0.35">
      <c r="X11981" s="8"/>
    </row>
    <row r="11982" spans="24:24" x14ac:dyDescent="0.35">
      <c r="X11982" s="8"/>
    </row>
    <row r="11983" spans="24:24" x14ac:dyDescent="0.35">
      <c r="X11983" s="8"/>
    </row>
    <row r="11984" spans="24:24" x14ac:dyDescent="0.35">
      <c r="X11984" s="8"/>
    </row>
    <row r="11985" spans="24:24" x14ac:dyDescent="0.35">
      <c r="X11985" s="8"/>
    </row>
    <row r="11986" spans="24:24" x14ac:dyDescent="0.35">
      <c r="X11986" s="8"/>
    </row>
    <row r="11987" spans="24:24" x14ac:dyDescent="0.35">
      <c r="X11987" s="8"/>
    </row>
    <row r="11988" spans="24:24" x14ac:dyDescent="0.35">
      <c r="X11988" s="8"/>
    </row>
    <row r="11989" spans="24:24" x14ac:dyDescent="0.35">
      <c r="X11989" s="8"/>
    </row>
    <row r="11990" spans="24:24" x14ac:dyDescent="0.35">
      <c r="X11990" s="8"/>
    </row>
    <row r="11991" spans="24:24" x14ac:dyDescent="0.35">
      <c r="X11991" s="8"/>
    </row>
    <row r="11992" spans="24:24" x14ac:dyDescent="0.35">
      <c r="X11992" s="8"/>
    </row>
    <row r="11993" spans="24:24" x14ac:dyDescent="0.35">
      <c r="X11993" s="8"/>
    </row>
    <row r="11994" spans="24:24" x14ac:dyDescent="0.35">
      <c r="X11994" s="8"/>
    </row>
    <row r="11995" spans="24:24" x14ac:dyDescent="0.35">
      <c r="X11995" s="8"/>
    </row>
    <row r="11996" spans="24:24" x14ac:dyDescent="0.35">
      <c r="X11996" s="8"/>
    </row>
    <row r="11997" spans="24:24" x14ac:dyDescent="0.35">
      <c r="X11997" s="8"/>
    </row>
    <row r="11998" spans="24:24" x14ac:dyDescent="0.35">
      <c r="X11998" s="8"/>
    </row>
    <row r="11999" spans="24:24" x14ac:dyDescent="0.35">
      <c r="X11999" s="8"/>
    </row>
    <row r="12000" spans="24:24" x14ac:dyDescent="0.35">
      <c r="X12000" s="8"/>
    </row>
    <row r="12001" spans="24:24" x14ac:dyDescent="0.35">
      <c r="X12001" s="8"/>
    </row>
    <row r="12002" spans="24:24" x14ac:dyDescent="0.35">
      <c r="X12002" s="8"/>
    </row>
    <row r="12003" spans="24:24" x14ac:dyDescent="0.35">
      <c r="X12003" s="8"/>
    </row>
    <row r="12004" spans="24:24" x14ac:dyDescent="0.35">
      <c r="X12004" s="8"/>
    </row>
    <row r="12005" spans="24:24" x14ac:dyDescent="0.35">
      <c r="X12005" s="8"/>
    </row>
    <row r="12006" spans="24:24" x14ac:dyDescent="0.35">
      <c r="X12006" s="8"/>
    </row>
    <row r="12007" spans="24:24" x14ac:dyDescent="0.35">
      <c r="X12007" s="8"/>
    </row>
    <row r="12008" spans="24:24" x14ac:dyDescent="0.35">
      <c r="X12008" s="8"/>
    </row>
    <row r="12009" spans="24:24" x14ac:dyDescent="0.35">
      <c r="X12009" s="8"/>
    </row>
    <row r="12010" spans="24:24" x14ac:dyDescent="0.35">
      <c r="X12010" s="8"/>
    </row>
    <row r="12011" spans="24:24" x14ac:dyDescent="0.35">
      <c r="X12011" s="8"/>
    </row>
    <row r="12012" spans="24:24" x14ac:dyDescent="0.35">
      <c r="X12012" s="8"/>
    </row>
    <row r="12013" spans="24:24" x14ac:dyDescent="0.35">
      <c r="X12013" s="8"/>
    </row>
    <row r="12014" spans="24:24" x14ac:dyDescent="0.35">
      <c r="X12014" s="8"/>
    </row>
    <row r="12015" spans="24:24" x14ac:dyDescent="0.35">
      <c r="X12015" s="8"/>
    </row>
    <row r="12016" spans="24:24" x14ac:dyDescent="0.35">
      <c r="X12016" s="8"/>
    </row>
    <row r="12017" spans="24:24" x14ac:dyDescent="0.35">
      <c r="X12017" s="8"/>
    </row>
    <row r="12018" spans="24:24" x14ac:dyDescent="0.35">
      <c r="X12018" s="8"/>
    </row>
    <row r="12019" spans="24:24" x14ac:dyDescent="0.35">
      <c r="X12019" s="8"/>
    </row>
    <row r="12020" spans="24:24" x14ac:dyDescent="0.35">
      <c r="X12020" s="8"/>
    </row>
    <row r="12021" spans="24:24" x14ac:dyDescent="0.35">
      <c r="X12021" s="8"/>
    </row>
    <row r="12022" spans="24:24" x14ac:dyDescent="0.35">
      <c r="X12022" s="8"/>
    </row>
    <row r="12023" spans="24:24" x14ac:dyDescent="0.35">
      <c r="X12023" s="8"/>
    </row>
    <row r="12024" spans="24:24" x14ac:dyDescent="0.35">
      <c r="X12024" s="8"/>
    </row>
    <row r="12025" spans="24:24" x14ac:dyDescent="0.35">
      <c r="X12025" s="8"/>
    </row>
    <row r="12026" spans="24:24" x14ac:dyDescent="0.35">
      <c r="X12026" s="8"/>
    </row>
    <row r="12027" spans="24:24" x14ac:dyDescent="0.35">
      <c r="X12027" s="8"/>
    </row>
    <row r="12028" spans="24:24" x14ac:dyDescent="0.35">
      <c r="X12028" s="8"/>
    </row>
    <row r="12029" spans="24:24" x14ac:dyDescent="0.35">
      <c r="X12029" s="8"/>
    </row>
    <row r="12030" spans="24:24" x14ac:dyDescent="0.35">
      <c r="X12030" s="8"/>
    </row>
    <row r="12031" spans="24:24" x14ac:dyDescent="0.35">
      <c r="X12031" s="8"/>
    </row>
    <row r="12032" spans="24:24" x14ac:dyDescent="0.35">
      <c r="X12032" s="8"/>
    </row>
    <row r="12033" spans="24:24" x14ac:dyDescent="0.35">
      <c r="X12033" s="8"/>
    </row>
    <row r="12034" spans="24:24" x14ac:dyDescent="0.35">
      <c r="X12034" s="8"/>
    </row>
    <row r="12035" spans="24:24" x14ac:dyDescent="0.35">
      <c r="X12035" s="8"/>
    </row>
    <row r="12036" spans="24:24" x14ac:dyDescent="0.35">
      <c r="X12036" s="8"/>
    </row>
    <row r="12037" spans="24:24" x14ac:dyDescent="0.35">
      <c r="X12037" s="8"/>
    </row>
    <row r="12038" spans="24:24" x14ac:dyDescent="0.35">
      <c r="X12038" s="8"/>
    </row>
    <row r="12039" spans="24:24" x14ac:dyDescent="0.35">
      <c r="X12039" s="8"/>
    </row>
    <row r="12040" spans="24:24" x14ac:dyDescent="0.35">
      <c r="X12040" s="8"/>
    </row>
    <row r="12041" spans="24:24" x14ac:dyDescent="0.35">
      <c r="X12041" s="8"/>
    </row>
    <row r="12042" spans="24:24" x14ac:dyDescent="0.35">
      <c r="X12042" s="8"/>
    </row>
    <row r="12043" spans="24:24" x14ac:dyDescent="0.35">
      <c r="X12043" s="8"/>
    </row>
    <row r="12044" spans="24:24" x14ac:dyDescent="0.35">
      <c r="X12044" s="8"/>
    </row>
    <row r="12045" spans="24:24" x14ac:dyDescent="0.35">
      <c r="X12045" s="8"/>
    </row>
    <row r="12046" spans="24:24" x14ac:dyDescent="0.35">
      <c r="X12046" s="8"/>
    </row>
    <row r="12047" spans="24:24" x14ac:dyDescent="0.35">
      <c r="X12047" s="8"/>
    </row>
    <row r="12048" spans="24:24" x14ac:dyDescent="0.35">
      <c r="X12048" s="8"/>
    </row>
    <row r="12049" spans="24:24" x14ac:dyDescent="0.35">
      <c r="X12049" s="8"/>
    </row>
    <row r="12050" spans="24:24" x14ac:dyDescent="0.35">
      <c r="X12050" s="8"/>
    </row>
    <row r="12051" spans="24:24" x14ac:dyDescent="0.35">
      <c r="X12051" s="8"/>
    </row>
    <row r="12052" spans="24:24" x14ac:dyDescent="0.35">
      <c r="X12052" s="8"/>
    </row>
    <row r="12053" spans="24:24" x14ac:dyDescent="0.35">
      <c r="X12053" s="8"/>
    </row>
    <row r="12054" spans="24:24" x14ac:dyDescent="0.35">
      <c r="X12054" s="8"/>
    </row>
    <row r="12055" spans="24:24" x14ac:dyDescent="0.35">
      <c r="X12055" s="8"/>
    </row>
    <row r="12056" spans="24:24" x14ac:dyDescent="0.35">
      <c r="X12056" s="8"/>
    </row>
    <row r="12057" spans="24:24" x14ac:dyDescent="0.35">
      <c r="X12057" s="8"/>
    </row>
    <row r="12058" spans="24:24" x14ac:dyDescent="0.35">
      <c r="X12058" s="8"/>
    </row>
    <row r="12059" spans="24:24" x14ac:dyDescent="0.35">
      <c r="X12059" s="8"/>
    </row>
    <row r="12060" spans="24:24" x14ac:dyDescent="0.35">
      <c r="X12060" s="8"/>
    </row>
    <row r="12061" spans="24:24" x14ac:dyDescent="0.35">
      <c r="X12061" s="8"/>
    </row>
    <row r="12062" spans="24:24" x14ac:dyDescent="0.35">
      <c r="X12062" s="8"/>
    </row>
    <row r="12063" spans="24:24" x14ac:dyDescent="0.35">
      <c r="X12063" s="8"/>
    </row>
    <row r="12064" spans="24:24" x14ac:dyDescent="0.35">
      <c r="X12064" s="8"/>
    </row>
    <row r="12065" spans="24:24" x14ac:dyDescent="0.35">
      <c r="X12065" s="8"/>
    </row>
    <row r="12066" spans="24:24" x14ac:dyDescent="0.35">
      <c r="X12066" s="8"/>
    </row>
    <row r="12067" spans="24:24" x14ac:dyDescent="0.35">
      <c r="X12067" s="8"/>
    </row>
    <row r="12068" spans="24:24" x14ac:dyDescent="0.35">
      <c r="X12068" s="8"/>
    </row>
    <row r="12069" spans="24:24" x14ac:dyDescent="0.35">
      <c r="X12069" s="8"/>
    </row>
    <row r="12070" spans="24:24" x14ac:dyDescent="0.35">
      <c r="X12070" s="8"/>
    </row>
    <row r="12071" spans="24:24" x14ac:dyDescent="0.35">
      <c r="X12071" s="8"/>
    </row>
    <row r="12072" spans="24:24" x14ac:dyDescent="0.35">
      <c r="X12072" s="8"/>
    </row>
    <row r="12073" spans="24:24" x14ac:dyDescent="0.35">
      <c r="X12073" s="8"/>
    </row>
    <row r="12074" spans="24:24" x14ac:dyDescent="0.35">
      <c r="X12074" s="8"/>
    </row>
    <row r="12075" spans="24:24" x14ac:dyDescent="0.35">
      <c r="X12075" s="8"/>
    </row>
    <row r="12076" spans="24:24" x14ac:dyDescent="0.35">
      <c r="X12076" s="8"/>
    </row>
    <row r="12077" spans="24:24" x14ac:dyDescent="0.35">
      <c r="X12077" s="8"/>
    </row>
    <row r="12078" spans="24:24" x14ac:dyDescent="0.35">
      <c r="X12078" s="8"/>
    </row>
    <row r="12079" spans="24:24" x14ac:dyDescent="0.35">
      <c r="X12079" s="8"/>
    </row>
    <row r="12080" spans="24:24" x14ac:dyDescent="0.35">
      <c r="X12080" s="8"/>
    </row>
    <row r="12081" spans="24:24" x14ac:dyDescent="0.35">
      <c r="X12081" s="8"/>
    </row>
    <row r="12082" spans="24:24" x14ac:dyDescent="0.35">
      <c r="X12082" s="8"/>
    </row>
    <row r="12083" spans="24:24" x14ac:dyDescent="0.35">
      <c r="X12083" s="8"/>
    </row>
    <row r="12084" spans="24:24" x14ac:dyDescent="0.35">
      <c r="X12084" s="8"/>
    </row>
    <row r="12085" spans="24:24" x14ac:dyDescent="0.35">
      <c r="X12085" s="8"/>
    </row>
    <row r="12086" spans="24:24" x14ac:dyDescent="0.35">
      <c r="X12086" s="8"/>
    </row>
    <row r="12087" spans="24:24" x14ac:dyDescent="0.35">
      <c r="X12087" s="8"/>
    </row>
    <row r="12088" spans="24:24" x14ac:dyDescent="0.35">
      <c r="X12088" s="8"/>
    </row>
    <row r="12089" spans="24:24" x14ac:dyDescent="0.35">
      <c r="X12089" s="8"/>
    </row>
    <row r="12090" spans="24:24" x14ac:dyDescent="0.35">
      <c r="X12090" s="8"/>
    </row>
    <row r="12091" spans="24:24" x14ac:dyDescent="0.35">
      <c r="X12091" s="8"/>
    </row>
    <row r="12092" spans="24:24" x14ac:dyDescent="0.35">
      <c r="X12092" s="8"/>
    </row>
    <row r="12093" spans="24:24" x14ac:dyDescent="0.35">
      <c r="X12093" s="8"/>
    </row>
    <row r="12094" spans="24:24" x14ac:dyDescent="0.35">
      <c r="X12094" s="8"/>
    </row>
    <row r="12095" spans="24:24" x14ac:dyDescent="0.35">
      <c r="X12095" s="8"/>
    </row>
    <row r="12096" spans="24:24" x14ac:dyDescent="0.35">
      <c r="X12096" s="8"/>
    </row>
    <row r="12097" spans="24:24" x14ac:dyDescent="0.35">
      <c r="X12097" s="8"/>
    </row>
    <row r="12098" spans="24:24" x14ac:dyDescent="0.35">
      <c r="X12098" s="8"/>
    </row>
    <row r="12099" spans="24:24" x14ac:dyDescent="0.35">
      <c r="X12099" s="8"/>
    </row>
    <row r="12100" spans="24:24" x14ac:dyDescent="0.35">
      <c r="X12100" s="8"/>
    </row>
    <row r="12101" spans="24:24" x14ac:dyDescent="0.35">
      <c r="X12101" s="8"/>
    </row>
    <row r="12102" spans="24:24" x14ac:dyDescent="0.35">
      <c r="X12102" s="8"/>
    </row>
    <row r="12103" spans="24:24" x14ac:dyDescent="0.35">
      <c r="X12103" s="8"/>
    </row>
    <row r="12104" spans="24:24" x14ac:dyDescent="0.35">
      <c r="X12104" s="8"/>
    </row>
    <row r="12105" spans="24:24" x14ac:dyDescent="0.35">
      <c r="X12105" s="8"/>
    </row>
    <row r="12106" spans="24:24" x14ac:dyDescent="0.35">
      <c r="X12106" s="8"/>
    </row>
    <row r="12107" spans="24:24" x14ac:dyDescent="0.35">
      <c r="X12107" s="8"/>
    </row>
    <row r="12108" spans="24:24" x14ac:dyDescent="0.35">
      <c r="X12108" s="8"/>
    </row>
    <row r="12109" spans="24:24" x14ac:dyDescent="0.35">
      <c r="X12109" s="8"/>
    </row>
    <row r="12110" spans="24:24" x14ac:dyDescent="0.35">
      <c r="X12110" s="8"/>
    </row>
    <row r="12111" spans="24:24" x14ac:dyDescent="0.35">
      <c r="X12111" s="8"/>
    </row>
    <row r="12112" spans="24:24" x14ac:dyDescent="0.35">
      <c r="X12112" s="8"/>
    </row>
    <row r="12113" spans="24:24" x14ac:dyDescent="0.35">
      <c r="X12113" s="8"/>
    </row>
    <row r="12114" spans="24:24" x14ac:dyDescent="0.35">
      <c r="X12114" s="8"/>
    </row>
    <row r="12115" spans="24:24" x14ac:dyDescent="0.35">
      <c r="X12115" s="8"/>
    </row>
    <row r="12116" spans="24:24" x14ac:dyDescent="0.35">
      <c r="X12116" s="8"/>
    </row>
    <row r="12117" spans="24:24" x14ac:dyDescent="0.35">
      <c r="X12117" s="8"/>
    </row>
    <row r="12118" spans="24:24" x14ac:dyDescent="0.35">
      <c r="X12118" s="8"/>
    </row>
    <row r="12119" spans="24:24" x14ac:dyDescent="0.35">
      <c r="X12119" s="8"/>
    </row>
    <row r="12120" spans="24:24" x14ac:dyDescent="0.35">
      <c r="X12120" s="8"/>
    </row>
    <row r="12121" spans="24:24" x14ac:dyDescent="0.35">
      <c r="X12121" s="8"/>
    </row>
    <row r="12122" spans="24:24" x14ac:dyDescent="0.35">
      <c r="X12122" s="8"/>
    </row>
    <row r="12123" spans="24:24" x14ac:dyDescent="0.35">
      <c r="X12123" s="8"/>
    </row>
    <row r="12124" spans="24:24" x14ac:dyDescent="0.35">
      <c r="X12124" s="8"/>
    </row>
    <row r="12125" spans="24:24" x14ac:dyDescent="0.35">
      <c r="X12125" s="8"/>
    </row>
    <row r="12126" spans="24:24" x14ac:dyDescent="0.35">
      <c r="X12126" s="8"/>
    </row>
    <row r="12127" spans="24:24" x14ac:dyDescent="0.35">
      <c r="X12127" s="8"/>
    </row>
    <row r="12128" spans="24:24" x14ac:dyDescent="0.35">
      <c r="X12128" s="8"/>
    </row>
    <row r="12129" spans="24:24" x14ac:dyDescent="0.35">
      <c r="X12129" s="8"/>
    </row>
    <row r="12130" spans="24:24" x14ac:dyDescent="0.35">
      <c r="X12130" s="8"/>
    </row>
    <row r="12131" spans="24:24" x14ac:dyDescent="0.35">
      <c r="X12131" s="8"/>
    </row>
    <row r="12132" spans="24:24" x14ac:dyDescent="0.35">
      <c r="X12132" s="8"/>
    </row>
    <row r="12133" spans="24:24" x14ac:dyDescent="0.35">
      <c r="X12133" s="8"/>
    </row>
    <row r="12134" spans="24:24" x14ac:dyDescent="0.35">
      <c r="X12134" s="8"/>
    </row>
    <row r="12135" spans="24:24" x14ac:dyDescent="0.35">
      <c r="X12135" s="8"/>
    </row>
    <row r="12136" spans="24:24" x14ac:dyDescent="0.35">
      <c r="X12136" s="8"/>
    </row>
    <row r="12137" spans="24:24" x14ac:dyDescent="0.35">
      <c r="X12137" s="8"/>
    </row>
    <row r="12138" spans="24:24" x14ac:dyDescent="0.35">
      <c r="X12138" s="8"/>
    </row>
    <row r="12139" spans="24:24" x14ac:dyDescent="0.35">
      <c r="X12139" s="8"/>
    </row>
    <row r="12140" spans="24:24" x14ac:dyDescent="0.35">
      <c r="X12140" s="8"/>
    </row>
    <row r="12141" spans="24:24" x14ac:dyDescent="0.35">
      <c r="X12141" s="8"/>
    </row>
    <row r="12142" spans="24:24" x14ac:dyDescent="0.35">
      <c r="X12142" s="8"/>
    </row>
    <row r="12143" spans="24:24" x14ac:dyDescent="0.35">
      <c r="X12143" s="8"/>
    </row>
    <row r="12144" spans="24:24" x14ac:dyDescent="0.35">
      <c r="X12144" s="8"/>
    </row>
    <row r="12145" spans="24:24" x14ac:dyDescent="0.35">
      <c r="X12145" s="8"/>
    </row>
    <row r="12146" spans="24:24" x14ac:dyDescent="0.35">
      <c r="X12146" s="8"/>
    </row>
    <row r="12147" spans="24:24" x14ac:dyDescent="0.35">
      <c r="X12147" s="8"/>
    </row>
    <row r="12148" spans="24:24" x14ac:dyDescent="0.35">
      <c r="X12148" s="8"/>
    </row>
    <row r="12149" spans="24:24" x14ac:dyDescent="0.35">
      <c r="X12149" s="8"/>
    </row>
    <row r="12150" spans="24:24" x14ac:dyDescent="0.35">
      <c r="X12150" s="8"/>
    </row>
    <row r="12151" spans="24:24" x14ac:dyDescent="0.35">
      <c r="X12151" s="8"/>
    </row>
    <row r="12152" spans="24:24" x14ac:dyDescent="0.35">
      <c r="X12152" s="8"/>
    </row>
    <row r="12153" spans="24:24" x14ac:dyDescent="0.35">
      <c r="X12153" s="8"/>
    </row>
    <row r="12154" spans="24:24" x14ac:dyDescent="0.35">
      <c r="X12154" s="8"/>
    </row>
    <row r="12155" spans="24:24" x14ac:dyDescent="0.35">
      <c r="X12155" s="8"/>
    </row>
    <row r="12156" spans="24:24" x14ac:dyDescent="0.35">
      <c r="X12156" s="8"/>
    </row>
    <row r="12157" spans="24:24" x14ac:dyDescent="0.35">
      <c r="X12157" s="8"/>
    </row>
    <row r="12158" spans="24:24" x14ac:dyDescent="0.35">
      <c r="X12158" s="8"/>
    </row>
    <row r="12159" spans="24:24" x14ac:dyDescent="0.35">
      <c r="X12159" s="8"/>
    </row>
    <row r="12160" spans="24:24" x14ac:dyDescent="0.35">
      <c r="X12160" s="8"/>
    </row>
    <row r="12161" spans="24:24" x14ac:dyDescent="0.35">
      <c r="X12161" s="8"/>
    </row>
    <row r="12162" spans="24:24" x14ac:dyDescent="0.35">
      <c r="X12162" s="8"/>
    </row>
    <row r="12163" spans="24:24" x14ac:dyDescent="0.35">
      <c r="X12163" s="8"/>
    </row>
    <row r="12164" spans="24:24" x14ac:dyDescent="0.35">
      <c r="X12164" s="8"/>
    </row>
    <row r="12165" spans="24:24" x14ac:dyDescent="0.35">
      <c r="X12165" s="8"/>
    </row>
    <row r="12166" spans="24:24" x14ac:dyDescent="0.35">
      <c r="X12166" s="8"/>
    </row>
    <row r="12167" spans="24:24" x14ac:dyDescent="0.35">
      <c r="X12167" s="8"/>
    </row>
    <row r="12168" spans="24:24" x14ac:dyDescent="0.35">
      <c r="X12168" s="8"/>
    </row>
    <row r="12169" spans="24:24" x14ac:dyDescent="0.35">
      <c r="X12169" s="8"/>
    </row>
    <row r="12170" spans="24:24" x14ac:dyDescent="0.35">
      <c r="X12170" s="8"/>
    </row>
    <row r="12171" spans="24:24" x14ac:dyDescent="0.35">
      <c r="X12171" s="8"/>
    </row>
    <row r="12172" spans="24:24" x14ac:dyDescent="0.35">
      <c r="X12172" s="8"/>
    </row>
    <row r="12173" spans="24:24" x14ac:dyDescent="0.35">
      <c r="X12173" s="8"/>
    </row>
    <row r="12174" spans="24:24" x14ac:dyDescent="0.35">
      <c r="X12174" s="8"/>
    </row>
    <row r="12175" spans="24:24" x14ac:dyDescent="0.35">
      <c r="X12175" s="8"/>
    </row>
    <row r="12176" spans="24:24" x14ac:dyDescent="0.35">
      <c r="X12176" s="8"/>
    </row>
    <row r="12177" spans="24:24" x14ac:dyDescent="0.35">
      <c r="X12177" s="8"/>
    </row>
    <row r="12178" spans="24:24" x14ac:dyDescent="0.35">
      <c r="X12178" s="8"/>
    </row>
    <row r="12179" spans="24:24" x14ac:dyDescent="0.35">
      <c r="X12179" s="8"/>
    </row>
    <row r="12180" spans="24:24" x14ac:dyDescent="0.35">
      <c r="X12180" s="8"/>
    </row>
    <row r="12181" spans="24:24" x14ac:dyDescent="0.35">
      <c r="X12181" s="8"/>
    </row>
    <row r="12182" spans="24:24" x14ac:dyDescent="0.35">
      <c r="X12182" s="8"/>
    </row>
    <row r="12183" spans="24:24" x14ac:dyDescent="0.35">
      <c r="X12183" s="8"/>
    </row>
    <row r="12184" spans="24:24" x14ac:dyDescent="0.35">
      <c r="X12184" s="8"/>
    </row>
    <row r="12185" spans="24:24" x14ac:dyDescent="0.35">
      <c r="X12185" s="8"/>
    </row>
    <row r="12186" spans="24:24" x14ac:dyDescent="0.35">
      <c r="X12186" s="8"/>
    </row>
    <row r="12187" spans="24:24" x14ac:dyDescent="0.35">
      <c r="X12187" s="8"/>
    </row>
    <row r="12188" spans="24:24" x14ac:dyDescent="0.35">
      <c r="X12188" s="8"/>
    </row>
    <row r="12189" spans="24:24" x14ac:dyDescent="0.35">
      <c r="X12189" s="8"/>
    </row>
    <row r="12190" spans="24:24" x14ac:dyDescent="0.35">
      <c r="X12190" s="8"/>
    </row>
    <row r="12191" spans="24:24" x14ac:dyDescent="0.35">
      <c r="X12191" s="8"/>
    </row>
    <row r="12192" spans="24:24" x14ac:dyDescent="0.35">
      <c r="X12192" s="8"/>
    </row>
    <row r="12193" spans="24:24" x14ac:dyDescent="0.35">
      <c r="X12193" s="8"/>
    </row>
    <row r="12194" spans="24:24" x14ac:dyDescent="0.35">
      <c r="X12194" s="8"/>
    </row>
    <row r="12195" spans="24:24" x14ac:dyDescent="0.35">
      <c r="X12195" s="8"/>
    </row>
    <row r="12196" spans="24:24" x14ac:dyDescent="0.35">
      <c r="X12196" s="8"/>
    </row>
    <row r="12197" spans="24:24" x14ac:dyDescent="0.35">
      <c r="X12197" s="8"/>
    </row>
    <row r="12198" spans="24:24" x14ac:dyDescent="0.35">
      <c r="X12198" s="8"/>
    </row>
    <row r="12199" spans="24:24" x14ac:dyDescent="0.35">
      <c r="X12199" s="8"/>
    </row>
    <row r="12200" spans="24:24" x14ac:dyDescent="0.35">
      <c r="X12200" s="8"/>
    </row>
    <row r="12201" spans="24:24" x14ac:dyDescent="0.35">
      <c r="X12201" s="8"/>
    </row>
    <row r="12202" spans="24:24" x14ac:dyDescent="0.35">
      <c r="X12202" s="8"/>
    </row>
    <row r="12203" spans="24:24" x14ac:dyDescent="0.35">
      <c r="X12203" s="8"/>
    </row>
    <row r="12204" spans="24:24" x14ac:dyDescent="0.35">
      <c r="X12204" s="8"/>
    </row>
    <row r="12205" spans="24:24" x14ac:dyDescent="0.35">
      <c r="X12205" s="8"/>
    </row>
    <row r="12206" spans="24:24" x14ac:dyDescent="0.35">
      <c r="X12206" s="8"/>
    </row>
    <row r="12207" spans="24:24" x14ac:dyDescent="0.35">
      <c r="X12207" s="8"/>
    </row>
    <row r="12208" spans="24:24" x14ac:dyDescent="0.35">
      <c r="X12208" s="8"/>
    </row>
    <row r="12209" spans="24:24" x14ac:dyDescent="0.35">
      <c r="X12209" s="8"/>
    </row>
    <row r="12210" spans="24:24" x14ac:dyDescent="0.35">
      <c r="X12210" s="8"/>
    </row>
    <row r="12211" spans="24:24" x14ac:dyDescent="0.35">
      <c r="X12211" s="8"/>
    </row>
    <row r="12212" spans="24:24" x14ac:dyDescent="0.35">
      <c r="X12212" s="8"/>
    </row>
    <row r="12213" spans="24:24" x14ac:dyDescent="0.35">
      <c r="X12213" s="8"/>
    </row>
    <row r="12214" spans="24:24" x14ac:dyDescent="0.35">
      <c r="X12214" s="8"/>
    </row>
    <row r="12215" spans="24:24" x14ac:dyDescent="0.35">
      <c r="X12215" s="8"/>
    </row>
    <row r="12216" spans="24:24" x14ac:dyDescent="0.35">
      <c r="X12216" s="8"/>
    </row>
    <row r="12217" spans="24:24" x14ac:dyDescent="0.35">
      <c r="X12217" s="8"/>
    </row>
    <row r="12218" spans="24:24" x14ac:dyDescent="0.35">
      <c r="X12218" s="8"/>
    </row>
    <row r="12219" spans="24:24" x14ac:dyDescent="0.35">
      <c r="X12219" s="8"/>
    </row>
    <row r="12220" spans="24:24" x14ac:dyDescent="0.35">
      <c r="X12220" s="8"/>
    </row>
    <row r="12221" spans="24:24" x14ac:dyDescent="0.35">
      <c r="X12221" s="8"/>
    </row>
    <row r="12222" spans="24:24" x14ac:dyDescent="0.35">
      <c r="X12222" s="8"/>
    </row>
    <row r="12223" spans="24:24" x14ac:dyDescent="0.35">
      <c r="X12223" s="8"/>
    </row>
    <row r="12224" spans="24:24" x14ac:dyDescent="0.35">
      <c r="X12224" s="8"/>
    </row>
    <row r="12225" spans="24:24" x14ac:dyDescent="0.35">
      <c r="X12225" s="8"/>
    </row>
    <row r="12226" spans="24:24" x14ac:dyDescent="0.35">
      <c r="X12226" s="8"/>
    </row>
    <row r="12227" spans="24:24" x14ac:dyDescent="0.35">
      <c r="X12227" s="8"/>
    </row>
    <row r="12228" spans="24:24" x14ac:dyDescent="0.35">
      <c r="X12228" s="8"/>
    </row>
    <row r="12229" spans="24:24" x14ac:dyDescent="0.35">
      <c r="X12229" s="8"/>
    </row>
    <row r="12230" spans="24:24" x14ac:dyDescent="0.35">
      <c r="X12230" s="8"/>
    </row>
    <row r="12231" spans="24:24" x14ac:dyDescent="0.35">
      <c r="X12231" s="8"/>
    </row>
    <row r="12232" spans="24:24" x14ac:dyDescent="0.35">
      <c r="X12232" s="8"/>
    </row>
    <row r="12233" spans="24:24" x14ac:dyDescent="0.35">
      <c r="X12233" s="8"/>
    </row>
    <row r="12234" spans="24:24" x14ac:dyDescent="0.35">
      <c r="X12234" s="8"/>
    </row>
    <row r="12235" spans="24:24" x14ac:dyDescent="0.35">
      <c r="X12235" s="8"/>
    </row>
    <row r="12236" spans="24:24" x14ac:dyDescent="0.35">
      <c r="X12236" s="8"/>
    </row>
    <row r="12237" spans="24:24" x14ac:dyDescent="0.35">
      <c r="X12237" s="8"/>
    </row>
    <row r="12238" spans="24:24" x14ac:dyDescent="0.35">
      <c r="X12238" s="8"/>
    </row>
    <row r="12239" spans="24:24" x14ac:dyDescent="0.35">
      <c r="X12239" s="8"/>
    </row>
    <row r="12240" spans="24:24" x14ac:dyDescent="0.35">
      <c r="X12240" s="8"/>
    </row>
    <row r="12241" spans="24:24" x14ac:dyDescent="0.35">
      <c r="X12241" s="8"/>
    </row>
    <row r="12242" spans="24:24" x14ac:dyDescent="0.35">
      <c r="X12242" s="8"/>
    </row>
    <row r="12243" spans="24:24" x14ac:dyDescent="0.35">
      <c r="X12243" s="8"/>
    </row>
    <row r="12244" spans="24:24" x14ac:dyDescent="0.35">
      <c r="X12244" s="8"/>
    </row>
    <row r="12245" spans="24:24" x14ac:dyDescent="0.35">
      <c r="X12245" s="8"/>
    </row>
    <row r="12246" spans="24:24" x14ac:dyDescent="0.35">
      <c r="X12246" s="8"/>
    </row>
    <row r="12247" spans="24:24" x14ac:dyDescent="0.35">
      <c r="X12247" s="8"/>
    </row>
    <row r="12248" spans="24:24" x14ac:dyDescent="0.35">
      <c r="X12248" s="8"/>
    </row>
    <row r="12249" spans="24:24" x14ac:dyDescent="0.35">
      <c r="X12249" s="8"/>
    </row>
    <row r="12250" spans="24:24" x14ac:dyDescent="0.35">
      <c r="X12250" s="8"/>
    </row>
    <row r="12251" spans="24:24" x14ac:dyDescent="0.35">
      <c r="X12251" s="8"/>
    </row>
    <row r="12252" spans="24:24" x14ac:dyDescent="0.35">
      <c r="X12252" s="8"/>
    </row>
    <row r="12253" spans="24:24" x14ac:dyDescent="0.35">
      <c r="X12253" s="8"/>
    </row>
    <row r="12254" spans="24:24" x14ac:dyDescent="0.35">
      <c r="X12254" s="8"/>
    </row>
    <row r="12255" spans="24:24" x14ac:dyDescent="0.35">
      <c r="X12255" s="8"/>
    </row>
    <row r="12256" spans="24:24" x14ac:dyDescent="0.35">
      <c r="X12256" s="8"/>
    </row>
    <row r="12257" spans="24:24" x14ac:dyDescent="0.35">
      <c r="X12257" s="8"/>
    </row>
    <row r="12258" spans="24:24" x14ac:dyDescent="0.35">
      <c r="X12258" s="8"/>
    </row>
    <row r="12259" spans="24:24" x14ac:dyDescent="0.35">
      <c r="X12259" s="8"/>
    </row>
    <row r="12260" spans="24:24" x14ac:dyDescent="0.35">
      <c r="X12260" s="8"/>
    </row>
    <row r="12261" spans="24:24" x14ac:dyDescent="0.35">
      <c r="X12261" s="8"/>
    </row>
    <row r="12262" spans="24:24" x14ac:dyDescent="0.35">
      <c r="X12262" s="8"/>
    </row>
    <row r="12263" spans="24:24" x14ac:dyDescent="0.35">
      <c r="X12263" s="8"/>
    </row>
    <row r="12264" spans="24:24" x14ac:dyDescent="0.35">
      <c r="X12264" s="8"/>
    </row>
    <row r="12265" spans="24:24" x14ac:dyDescent="0.35">
      <c r="X12265" s="8"/>
    </row>
    <row r="12266" spans="24:24" x14ac:dyDescent="0.35">
      <c r="X12266" s="8"/>
    </row>
    <row r="12267" spans="24:24" x14ac:dyDescent="0.35">
      <c r="X12267" s="8"/>
    </row>
    <row r="12268" spans="24:24" x14ac:dyDescent="0.35">
      <c r="X12268" s="8"/>
    </row>
    <row r="12269" spans="24:24" x14ac:dyDescent="0.35">
      <c r="X12269" s="8"/>
    </row>
    <row r="12270" spans="24:24" x14ac:dyDescent="0.35">
      <c r="X12270" s="8"/>
    </row>
    <row r="12271" spans="24:24" x14ac:dyDescent="0.35">
      <c r="X12271" s="8"/>
    </row>
    <row r="12272" spans="24:24" x14ac:dyDescent="0.35">
      <c r="X12272" s="8"/>
    </row>
    <row r="12273" spans="24:24" x14ac:dyDescent="0.35">
      <c r="X12273" s="8"/>
    </row>
    <row r="12274" spans="24:24" x14ac:dyDescent="0.35">
      <c r="X12274" s="8"/>
    </row>
    <row r="12275" spans="24:24" x14ac:dyDescent="0.35">
      <c r="X12275" s="8"/>
    </row>
    <row r="12276" spans="24:24" x14ac:dyDescent="0.35">
      <c r="X12276" s="8"/>
    </row>
    <row r="12277" spans="24:24" x14ac:dyDescent="0.35">
      <c r="X12277" s="8"/>
    </row>
    <row r="12278" spans="24:24" x14ac:dyDescent="0.35">
      <c r="X12278" s="8"/>
    </row>
    <row r="12279" spans="24:24" x14ac:dyDescent="0.35">
      <c r="X12279" s="8"/>
    </row>
    <row r="12280" spans="24:24" x14ac:dyDescent="0.35">
      <c r="X12280" s="8"/>
    </row>
    <row r="12281" spans="24:24" x14ac:dyDescent="0.35">
      <c r="X12281" s="8"/>
    </row>
    <row r="12282" spans="24:24" x14ac:dyDescent="0.35">
      <c r="X12282" s="8"/>
    </row>
    <row r="12283" spans="24:24" x14ac:dyDescent="0.35">
      <c r="X12283" s="8"/>
    </row>
    <row r="12284" spans="24:24" x14ac:dyDescent="0.35">
      <c r="X12284" s="8"/>
    </row>
    <row r="12285" spans="24:24" x14ac:dyDescent="0.35">
      <c r="X12285" s="8"/>
    </row>
    <row r="12286" spans="24:24" x14ac:dyDescent="0.35">
      <c r="X12286" s="8"/>
    </row>
    <row r="12287" spans="24:24" x14ac:dyDescent="0.35">
      <c r="X12287" s="8"/>
    </row>
    <row r="12288" spans="24:24" x14ac:dyDescent="0.35">
      <c r="X12288" s="8"/>
    </row>
    <row r="12289" spans="24:24" x14ac:dyDescent="0.35">
      <c r="X12289" s="8"/>
    </row>
    <row r="12290" spans="24:24" x14ac:dyDescent="0.35">
      <c r="X12290" s="8"/>
    </row>
    <row r="12291" spans="24:24" x14ac:dyDescent="0.35">
      <c r="X12291" s="8"/>
    </row>
    <row r="12292" spans="24:24" x14ac:dyDescent="0.35">
      <c r="X12292" s="8"/>
    </row>
    <row r="12293" spans="24:24" x14ac:dyDescent="0.35">
      <c r="X12293" s="8"/>
    </row>
    <row r="12294" spans="24:24" x14ac:dyDescent="0.35">
      <c r="X12294" s="8"/>
    </row>
    <row r="12295" spans="24:24" x14ac:dyDescent="0.35">
      <c r="X12295" s="8"/>
    </row>
    <row r="12296" spans="24:24" x14ac:dyDescent="0.35">
      <c r="X12296" s="8"/>
    </row>
    <row r="12297" spans="24:24" x14ac:dyDescent="0.35">
      <c r="X12297" s="8"/>
    </row>
    <row r="12298" spans="24:24" x14ac:dyDescent="0.35">
      <c r="X12298" s="8"/>
    </row>
    <row r="12299" spans="24:24" x14ac:dyDescent="0.35">
      <c r="X12299" s="8"/>
    </row>
    <row r="12300" spans="24:24" x14ac:dyDescent="0.35">
      <c r="X12300" s="8"/>
    </row>
    <row r="12301" spans="24:24" x14ac:dyDescent="0.35">
      <c r="X12301" s="8"/>
    </row>
    <row r="12302" spans="24:24" x14ac:dyDescent="0.35">
      <c r="X12302" s="8"/>
    </row>
    <row r="12303" spans="24:24" x14ac:dyDescent="0.35">
      <c r="X12303" s="8"/>
    </row>
    <row r="12304" spans="24:24" x14ac:dyDescent="0.35">
      <c r="X12304" s="8"/>
    </row>
    <row r="12305" spans="24:24" x14ac:dyDescent="0.35">
      <c r="X12305" s="8"/>
    </row>
    <row r="12306" spans="24:24" x14ac:dyDescent="0.35">
      <c r="X12306" s="8"/>
    </row>
    <row r="12307" spans="24:24" x14ac:dyDescent="0.35">
      <c r="X12307" s="8"/>
    </row>
    <row r="12308" spans="24:24" x14ac:dyDescent="0.35">
      <c r="X12308" s="8"/>
    </row>
    <row r="12309" spans="24:24" x14ac:dyDescent="0.35">
      <c r="X12309" s="8"/>
    </row>
    <row r="12310" spans="24:24" x14ac:dyDescent="0.35">
      <c r="X12310" s="8"/>
    </row>
    <row r="12311" spans="24:24" x14ac:dyDescent="0.35">
      <c r="X12311" s="8"/>
    </row>
    <row r="12312" spans="24:24" x14ac:dyDescent="0.35">
      <c r="X12312" s="8"/>
    </row>
    <row r="12313" spans="24:24" x14ac:dyDescent="0.35">
      <c r="X12313" s="8"/>
    </row>
    <row r="12314" spans="24:24" x14ac:dyDescent="0.35">
      <c r="X12314" s="8"/>
    </row>
    <row r="12315" spans="24:24" x14ac:dyDescent="0.35">
      <c r="X12315" s="8"/>
    </row>
    <row r="12316" spans="24:24" x14ac:dyDescent="0.35">
      <c r="X12316" s="8"/>
    </row>
    <row r="12317" spans="24:24" x14ac:dyDescent="0.35">
      <c r="X12317" s="8"/>
    </row>
    <row r="12318" spans="24:24" x14ac:dyDescent="0.35">
      <c r="X12318" s="8"/>
    </row>
    <row r="12319" spans="24:24" x14ac:dyDescent="0.35">
      <c r="X12319" s="8"/>
    </row>
    <row r="12320" spans="24:24" x14ac:dyDescent="0.35">
      <c r="X12320" s="8"/>
    </row>
    <row r="12321" spans="24:24" x14ac:dyDescent="0.35">
      <c r="X12321" s="8"/>
    </row>
    <row r="12322" spans="24:24" x14ac:dyDescent="0.35">
      <c r="X12322" s="8"/>
    </row>
    <row r="12323" spans="24:24" x14ac:dyDescent="0.35">
      <c r="X12323" s="8"/>
    </row>
    <row r="12324" spans="24:24" x14ac:dyDescent="0.35">
      <c r="X12324" s="8"/>
    </row>
    <row r="12325" spans="24:24" x14ac:dyDescent="0.35">
      <c r="X12325" s="8"/>
    </row>
    <row r="12326" spans="24:24" x14ac:dyDescent="0.35">
      <c r="X12326" s="8"/>
    </row>
    <row r="12327" spans="24:24" x14ac:dyDescent="0.35">
      <c r="X12327" s="8"/>
    </row>
    <row r="12328" spans="24:24" x14ac:dyDescent="0.35">
      <c r="X12328" s="8"/>
    </row>
    <row r="12329" spans="24:24" x14ac:dyDescent="0.35">
      <c r="X12329" s="8"/>
    </row>
    <row r="12330" spans="24:24" x14ac:dyDescent="0.35">
      <c r="X12330" s="8"/>
    </row>
    <row r="12331" spans="24:24" x14ac:dyDescent="0.35">
      <c r="X12331" s="8"/>
    </row>
    <row r="12332" spans="24:24" x14ac:dyDescent="0.35">
      <c r="X12332" s="8"/>
    </row>
    <row r="12333" spans="24:24" x14ac:dyDescent="0.35">
      <c r="X12333" s="8"/>
    </row>
    <row r="12334" spans="24:24" x14ac:dyDescent="0.35">
      <c r="X12334" s="8"/>
    </row>
    <row r="12335" spans="24:24" x14ac:dyDescent="0.35">
      <c r="X12335" s="8"/>
    </row>
    <row r="12336" spans="24:24" x14ac:dyDescent="0.35">
      <c r="X12336" s="8"/>
    </row>
    <row r="12337" spans="24:24" x14ac:dyDescent="0.35">
      <c r="X12337" s="8"/>
    </row>
    <row r="12338" spans="24:24" x14ac:dyDescent="0.35">
      <c r="X12338" s="8"/>
    </row>
    <row r="12339" spans="24:24" x14ac:dyDescent="0.35">
      <c r="X12339" s="8"/>
    </row>
    <row r="12340" spans="24:24" x14ac:dyDescent="0.35">
      <c r="X12340" s="8"/>
    </row>
    <row r="12341" spans="24:24" x14ac:dyDescent="0.35">
      <c r="X12341" s="8"/>
    </row>
    <row r="12342" spans="24:24" x14ac:dyDescent="0.35">
      <c r="X12342" s="8"/>
    </row>
    <row r="12343" spans="24:24" x14ac:dyDescent="0.35">
      <c r="X12343" s="8"/>
    </row>
    <row r="12344" spans="24:24" x14ac:dyDescent="0.35">
      <c r="X12344" s="8"/>
    </row>
    <row r="12345" spans="24:24" x14ac:dyDescent="0.35">
      <c r="X12345" s="8"/>
    </row>
    <row r="12346" spans="24:24" x14ac:dyDescent="0.35">
      <c r="X12346" s="8"/>
    </row>
    <row r="12347" spans="24:24" x14ac:dyDescent="0.35">
      <c r="X12347" s="8"/>
    </row>
    <row r="12348" spans="24:24" x14ac:dyDescent="0.35">
      <c r="X12348" s="8"/>
    </row>
    <row r="12349" spans="24:24" x14ac:dyDescent="0.35">
      <c r="X12349" s="8"/>
    </row>
    <row r="12350" spans="24:24" x14ac:dyDescent="0.35">
      <c r="X12350" s="8"/>
    </row>
    <row r="12351" spans="24:24" x14ac:dyDescent="0.35">
      <c r="X12351" s="8"/>
    </row>
    <row r="12352" spans="24:24" x14ac:dyDescent="0.35">
      <c r="X12352" s="8"/>
    </row>
    <row r="12353" spans="24:24" x14ac:dyDescent="0.35">
      <c r="X12353" s="8"/>
    </row>
    <row r="12354" spans="24:24" x14ac:dyDescent="0.35">
      <c r="X12354" s="8"/>
    </row>
    <row r="12355" spans="24:24" x14ac:dyDescent="0.35">
      <c r="X12355" s="8"/>
    </row>
    <row r="12356" spans="24:24" x14ac:dyDescent="0.35">
      <c r="X12356" s="8"/>
    </row>
    <row r="12357" spans="24:24" x14ac:dyDescent="0.35">
      <c r="X12357" s="8"/>
    </row>
    <row r="12358" spans="24:24" x14ac:dyDescent="0.35">
      <c r="X12358" s="8"/>
    </row>
    <row r="12359" spans="24:24" x14ac:dyDescent="0.35">
      <c r="X12359" s="8"/>
    </row>
    <row r="12360" spans="24:24" x14ac:dyDescent="0.35">
      <c r="X12360" s="8"/>
    </row>
    <row r="12361" spans="24:24" x14ac:dyDescent="0.35">
      <c r="X12361" s="8"/>
    </row>
    <row r="12362" spans="24:24" x14ac:dyDescent="0.35">
      <c r="X12362" s="8"/>
    </row>
    <row r="12363" spans="24:24" x14ac:dyDescent="0.35">
      <c r="X12363" s="8"/>
    </row>
    <row r="12364" spans="24:24" x14ac:dyDescent="0.35">
      <c r="X12364" s="8"/>
    </row>
    <row r="12365" spans="24:24" x14ac:dyDescent="0.35">
      <c r="X12365" s="8"/>
    </row>
    <row r="12366" spans="24:24" x14ac:dyDescent="0.35">
      <c r="X12366" s="8"/>
    </row>
    <row r="12367" spans="24:24" x14ac:dyDescent="0.35">
      <c r="X12367" s="8"/>
    </row>
    <row r="12368" spans="24:24" x14ac:dyDescent="0.35">
      <c r="X12368" s="8"/>
    </row>
    <row r="12369" spans="24:24" x14ac:dyDescent="0.35">
      <c r="X12369" s="8"/>
    </row>
    <row r="12370" spans="24:24" x14ac:dyDescent="0.35">
      <c r="X12370" s="8"/>
    </row>
    <row r="12371" spans="24:24" x14ac:dyDescent="0.35">
      <c r="X12371" s="8"/>
    </row>
    <row r="12372" spans="24:24" x14ac:dyDescent="0.35">
      <c r="X12372" s="8"/>
    </row>
    <row r="12373" spans="24:24" x14ac:dyDescent="0.35">
      <c r="X12373" s="8"/>
    </row>
    <row r="12374" spans="24:24" x14ac:dyDescent="0.35">
      <c r="X12374" s="8"/>
    </row>
    <row r="12375" spans="24:24" x14ac:dyDescent="0.35">
      <c r="X12375" s="8"/>
    </row>
    <row r="12376" spans="24:24" x14ac:dyDescent="0.35">
      <c r="X12376" s="8"/>
    </row>
    <row r="12377" spans="24:24" x14ac:dyDescent="0.35">
      <c r="X12377" s="8"/>
    </row>
    <row r="12378" spans="24:24" x14ac:dyDescent="0.35">
      <c r="X12378" s="8"/>
    </row>
    <row r="12379" spans="24:24" x14ac:dyDescent="0.35">
      <c r="X12379" s="8"/>
    </row>
    <row r="12380" spans="24:24" x14ac:dyDescent="0.35">
      <c r="X12380" s="8"/>
    </row>
    <row r="12381" spans="24:24" x14ac:dyDescent="0.35">
      <c r="X12381" s="8"/>
    </row>
    <row r="12382" spans="24:24" x14ac:dyDescent="0.35">
      <c r="X12382" s="8"/>
    </row>
    <row r="12383" spans="24:24" x14ac:dyDescent="0.35">
      <c r="X12383" s="8"/>
    </row>
    <row r="12384" spans="24:24" x14ac:dyDescent="0.35">
      <c r="X12384" s="8"/>
    </row>
    <row r="12385" spans="24:24" x14ac:dyDescent="0.35">
      <c r="X12385" s="8"/>
    </row>
    <row r="12386" spans="24:24" x14ac:dyDescent="0.35">
      <c r="X12386" s="8"/>
    </row>
    <row r="12387" spans="24:24" x14ac:dyDescent="0.35">
      <c r="X12387" s="8"/>
    </row>
    <row r="12388" spans="24:24" x14ac:dyDescent="0.35">
      <c r="X12388" s="8"/>
    </row>
    <row r="12389" spans="24:24" x14ac:dyDescent="0.35">
      <c r="X12389" s="8"/>
    </row>
    <row r="12390" spans="24:24" x14ac:dyDescent="0.35">
      <c r="X12390" s="8"/>
    </row>
    <row r="12391" spans="24:24" x14ac:dyDescent="0.35">
      <c r="X12391" s="8"/>
    </row>
    <row r="12392" spans="24:24" x14ac:dyDescent="0.35">
      <c r="X12392" s="8"/>
    </row>
    <row r="12393" spans="24:24" x14ac:dyDescent="0.35">
      <c r="X12393" s="8"/>
    </row>
    <row r="12394" spans="24:24" x14ac:dyDescent="0.35">
      <c r="X12394" s="8"/>
    </row>
    <row r="12395" spans="24:24" x14ac:dyDescent="0.35">
      <c r="X12395" s="8"/>
    </row>
    <row r="12396" spans="24:24" x14ac:dyDescent="0.35">
      <c r="X12396" s="8"/>
    </row>
    <row r="12397" spans="24:24" x14ac:dyDescent="0.35">
      <c r="X12397" s="8"/>
    </row>
    <row r="12398" spans="24:24" x14ac:dyDescent="0.35">
      <c r="X12398" s="8"/>
    </row>
    <row r="12399" spans="24:24" x14ac:dyDescent="0.35">
      <c r="X12399" s="8"/>
    </row>
    <row r="12400" spans="24:24" x14ac:dyDescent="0.35">
      <c r="X12400" s="8"/>
    </row>
    <row r="12401" spans="24:24" x14ac:dyDescent="0.35">
      <c r="X12401" s="8"/>
    </row>
    <row r="12402" spans="24:24" x14ac:dyDescent="0.35">
      <c r="X12402" s="8"/>
    </row>
    <row r="12403" spans="24:24" x14ac:dyDescent="0.35">
      <c r="X12403" s="8"/>
    </row>
    <row r="12404" spans="24:24" x14ac:dyDescent="0.35">
      <c r="X12404" s="8"/>
    </row>
    <row r="12405" spans="24:24" x14ac:dyDescent="0.35">
      <c r="X12405" s="8"/>
    </row>
    <row r="12406" spans="24:24" x14ac:dyDescent="0.35">
      <c r="X12406" s="8"/>
    </row>
    <row r="12407" spans="24:24" x14ac:dyDescent="0.35">
      <c r="X12407" s="8"/>
    </row>
    <row r="12408" spans="24:24" x14ac:dyDescent="0.35">
      <c r="X12408" s="8"/>
    </row>
    <row r="12409" spans="24:24" x14ac:dyDescent="0.35">
      <c r="X12409" s="8"/>
    </row>
    <row r="12410" spans="24:24" x14ac:dyDescent="0.35">
      <c r="X12410" s="8"/>
    </row>
    <row r="12411" spans="24:24" x14ac:dyDescent="0.35">
      <c r="X12411" s="8"/>
    </row>
    <row r="12412" spans="24:24" x14ac:dyDescent="0.35">
      <c r="X12412" s="8"/>
    </row>
    <row r="12413" spans="24:24" x14ac:dyDescent="0.35">
      <c r="X12413" s="8"/>
    </row>
    <row r="12414" spans="24:24" x14ac:dyDescent="0.35">
      <c r="X12414" s="8"/>
    </row>
    <row r="12415" spans="24:24" x14ac:dyDescent="0.35">
      <c r="X12415" s="8"/>
    </row>
    <row r="12416" spans="24:24" x14ac:dyDescent="0.35">
      <c r="X12416" s="8"/>
    </row>
    <row r="12417" spans="24:24" x14ac:dyDescent="0.35">
      <c r="X12417" s="8"/>
    </row>
    <row r="12418" spans="24:24" x14ac:dyDescent="0.35">
      <c r="X12418" s="8"/>
    </row>
    <row r="12419" spans="24:24" x14ac:dyDescent="0.35">
      <c r="X12419" s="8"/>
    </row>
    <row r="12420" spans="24:24" x14ac:dyDescent="0.35">
      <c r="X12420" s="8"/>
    </row>
    <row r="12421" spans="24:24" x14ac:dyDescent="0.35">
      <c r="X12421" s="8"/>
    </row>
    <row r="12422" spans="24:24" x14ac:dyDescent="0.35">
      <c r="X12422" s="8"/>
    </row>
    <row r="12423" spans="24:24" x14ac:dyDescent="0.35">
      <c r="X12423" s="8"/>
    </row>
    <row r="12424" spans="24:24" x14ac:dyDescent="0.35">
      <c r="X12424" s="8"/>
    </row>
    <row r="12425" spans="24:24" x14ac:dyDescent="0.35">
      <c r="X12425" s="8"/>
    </row>
    <row r="12426" spans="24:24" x14ac:dyDescent="0.35">
      <c r="X12426" s="8"/>
    </row>
    <row r="12427" spans="24:24" x14ac:dyDescent="0.35">
      <c r="X12427" s="8"/>
    </row>
    <row r="12428" spans="24:24" x14ac:dyDescent="0.35">
      <c r="X12428" s="8"/>
    </row>
    <row r="12429" spans="24:24" x14ac:dyDescent="0.35">
      <c r="X12429" s="8"/>
    </row>
    <row r="12430" spans="24:24" x14ac:dyDescent="0.35">
      <c r="X12430" s="8"/>
    </row>
    <row r="12431" spans="24:24" x14ac:dyDescent="0.35">
      <c r="X12431" s="8"/>
    </row>
    <row r="12432" spans="24:24" x14ac:dyDescent="0.35">
      <c r="X12432" s="8"/>
    </row>
    <row r="12433" spans="24:24" x14ac:dyDescent="0.35">
      <c r="X12433" s="8"/>
    </row>
    <row r="12434" spans="24:24" x14ac:dyDescent="0.35">
      <c r="X12434" s="8"/>
    </row>
    <row r="12435" spans="24:24" x14ac:dyDescent="0.35">
      <c r="X12435" s="8"/>
    </row>
    <row r="12436" spans="24:24" x14ac:dyDescent="0.35">
      <c r="X12436" s="8"/>
    </row>
    <row r="12437" spans="24:24" x14ac:dyDescent="0.35">
      <c r="X12437" s="8"/>
    </row>
    <row r="12438" spans="24:24" x14ac:dyDescent="0.35">
      <c r="X12438" s="8"/>
    </row>
    <row r="12439" spans="24:24" x14ac:dyDescent="0.35">
      <c r="X12439" s="8"/>
    </row>
    <row r="12440" spans="24:24" x14ac:dyDescent="0.35">
      <c r="X12440" s="8"/>
    </row>
    <row r="12441" spans="24:24" x14ac:dyDescent="0.35">
      <c r="X12441" s="8"/>
    </row>
    <row r="12442" spans="24:24" x14ac:dyDescent="0.35">
      <c r="X12442" s="8"/>
    </row>
    <row r="12443" spans="24:24" x14ac:dyDescent="0.35">
      <c r="X12443" s="8"/>
    </row>
    <row r="12444" spans="24:24" x14ac:dyDescent="0.35">
      <c r="X12444" s="8"/>
    </row>
    <row r="12445" spans="24:24" x14ac:dyDescent="0.35">
      <c r="X12445" s="8"/>
    </row>
    <row r="12446" spans="24:24" x14ac:dyDescent="0.35">
      <c r="X12446" s="8"/>
    </row>
    <row r="12447" spans="24:24" x14ac:dyDescent="0.35">
      <c r="X12447" s="8"/>
    </row>
    <row r="12448" spans="24:24" x14ac:dyDescent="0.35">
      <c r="X12448" s="8"/>
    </row>
    <row r="12449" spans="24:24" x14ac:dyDescent="0.35">
      <c r="X12449" s="8"/>
    </row>
    <row r="12450" spans="24:24" x14ac:dyDescent="0.35">
      <c r="X12450" s="8"/>
    </row>
    <row r="12451" spans="24:24" x14ac:dyDescent="0.35">
      <c r="X12451" s="8"/>
    </row>
    <row r="12452" spans="24:24" x14ac:dyDescent="0.35">
      <c r="X12452" s="8"/>
    </row>
    <row r="12453" spans="24:24" x14ac:dyDescent="0.35">
      <c r="X12453" s="8"/>
    </row>
    <row r="12454" spans="24:24" x14ac:dyDescent="0.35">
      <c r="X12454" s="8"/>
    </row>
    <row r="12455" spans="24:24" x14ac:dyDescent="0.35">
      <c r="X12455" s="8"/>
    </row>
    <row r="12456" spans="24:24" x14ac:dyDescent="0.35">
      <c r="X12456" s="8"/>
    </row>
    <row r="12457" spans="24:24" x14ac:dyDescent="0.35">
      <c r="X12457" s="8"/>
    </row>
    <row r="12458" spans="24:24" x14ac:dyDescent="0.35">
      <c r="X12458" s="8"/>
    </row>
    <row r="12459" spans="24:24" x14ac:dyDescent="0.35">
      <c r="X12459" s="8"/>
    </row>
    <row r="12460" spans="24:24" x14ac:dyDescent="0.35">
      <c r="X12460" s="8"/>
    </row>
    <row r="12461" spans="24:24" x14ac:dyDescent="0.35">
      <c r="X12461" s="8"/>
    </row>
    <row r="12462" spans="24:24" x14ac:dyDescent="0.35">
      <c r="X12462" s="8"/>
    </row>
    <row r="12463" spans="24:24" x14ac:dyDescent="0.35">
      <c r="X12463" s="8"/>
    </row>
    <row r="12464" spans="24:24" x14ac:dyDescent="0.35">
      <c r="X12464" s="8"/>
    </row>
    <row r="12465" spans="24:24" x14ac:dyDescent="0.35">
      <c r="X12465" s="8"/>
    </row>
    <row r="12466" spans="24:24" x14ac:dyDescent="0.35">
      <c r="X12466" s="8"/>
    </row>
    <row r="12467" spans="24:24" x14ac:dyDescent="0.35">
      <c r="X12467" s="8"/>
    </row>
    <row r="12468" spans="24:24" x14ac:dyDescent="0.35">
      <c r="X12468" s="8"/>
    </row>
    <row r="12469" spans="24:24" x14ac:dyDescent="0.35">
      <c r="X12469" s="8"/>
    </row>
    <row r="12470" spans="24:24" x14ac:dyDescent="0.35">
      <c r="X12470" s="8"/>
    </row>
    <row r="12471" spans="24:24" x14ac:dyDescent="0.35">
      <c r="X12471" s="8"/>
    </row>
    <row r="12472" spans="24:24" x14ac:dyDescent="0.35">
      <c r="X12472" s="8"/>
    </row>
    <row r="12473" spans="24:24" x14ac:dyDescent="0.35">
      <c r="X12473" s="8"/>
    </row>
    <row r="12474" spans="24:24" x14ac:dyDescent="0.35">
      <c r="X12474" s="8"/>
    </row>
    <row r="12475" spans="24:24" x14ac:dyDescent="0.35">
      <c r="X12475" s="8"/>
    </row>
    <row r="12476" spans="24:24" x14ac:dyDescent="0.35">
      <c r="X12476" s="8"/>
    </row>
    <row r="12477" spans="24:24" x14ac:dyDescent="0.35">
      <c r="X12477" s="8"/>
    </row>
    <row r="12478" spans="24:24" x14ac:dyDescent="0.35">
      <c r="X12478" s="8"/>
    </row>
    <row r="12479" spans="24:24" x14ac:dyDescent="0.35">
      <c r="X12479" s="8"/>
    </row>
    <row r="12480" spans="24:24" x14ac:dyDescent="0.35">
      <c r="X12480" s="8"/>
    </row>
    <row r="12481" spans="24:24" x14ac:dyDescent="0.35">
      <c r="X12481" s="8"/>
    </row>
    <row r="12482" spans="24:24" x14ac:dyDescent="0.35">
      <c r="X12482" s="8"/>
    </row>
    <row r="12483" spans="24:24" x14ac:dyDescent="0.35">
      <c r="X12483" s="8"/>
    </row>
    <row r="12484" spans="24:24" x14ac:dyDescent="0.35">
      <c r="X12484" s="8"/>
    </row>
    <row r="12485" spans="24:24" x14ac:dyDescent="0.35">
      <c r="X12485" s="8"/>
    </row>
    <row r="12486" spans="24:24" x14ac:dyDescent="0.35">
      <c r="X12486" s="8"/>
    </row>
    <row r="12487" spans="24:24" x14ac:dyDescent="0.35">
      <c r="X12487" s="8"/>
    </row>
    <row r="12488" spans="24:24" x14ac:dyDescent="0.35">
      <c r="X12488" s="8"/>
    </row>
    <row r="12489" spans="24:24" x14ac:dyDescent="0.35">
      <c r="X12489" s="8"/>
    </row>
    <row r="12490" spans="24:24" x14ac:dyDescent="0.35">
      <c r="X12490" s="8"/>
    </row>
    <row r="12491" spans="24:24" x14ac:dyDescent="0.35">
      <c r="X12491" s="8"/>
    </row>
    <row r="12492" spans="24:24" x14ac:dyDescent="0.35">
      <c r="X12492" s="8"/>
    </row>
    <row r="12493" spans="24:24" x14ac:dyDescent="0.35">
      <c r="X12493" s="8"/>
    </row>
    <row r="12494" spans="24:24" x14ac:dyDescent="0.35">
      <c r="X12494" s="8"/>
    </row>
    <row r="12495" spans="24:24" x14ac:dyDescent="0.35">
      <c r="X12495" s="8"/>
    </row>
    <row r="12496" spans="24:24" x14ac:dyDescent="0.35">
      <c r="X12496" s="8"/>
    </row>
    <row r="12497" spans="24:24" x14ac:dyDescent="0.35">
      <c r="X12497" s="8"/>
    </row>
    <row r="12498" spans="24:24" x14ac:dyDescent="0.35">
      <c r="X12498" s="8"/>
    </row>
    <row r="12499" spans="24:24" x14ac:dyDescent="0.35">
      <c r="X12499" s="8"/>
    </row>
    <row r="12500" spans="24:24" x14ac:dyDescent="0.35">
      <c r="X12500" s="8"/>
    </row>
    <row r="12501" spans="24:24" x14ac:dyDescent="0.35">
      <c r="X12501" s="8"/>
    </row>
    <row r="12502" spans="24:24" x14ac:dyDescent="0.35">
      <c r="X12502" s="8"/>
    </row>
    <row r="12503" spans="24:24" x14ac:dyDescent="0.35">
      <c r="X12503" s="8"/>
    </row>
    <row r="12504" spans="24:24" x14ac:dyDescent="0.35">
      <c r="X12504" s="8"/>
    </row>
    <row r="12505" spans="24:24" x14ac:dyDescent="0.35">
      <c r="X12505" s="8"/>
    </row>
    <row r="12506" spans="24:24" x14ac:dyDescent="0.35">
      <c r="X12506" s="8"/>
    </row>
    <row r="12507" spans="24:24" x14ac:dyDescent="0.35">
      <c r="X12507" s="8"/>
    </row>
    <row r="12508" spans="24:24" x14ac:dyDescent="0.35">
      <c r="X12508" s="8"/>
    </row>
    <row r="12509" spans="24:24" x14ac:dyDescent="0.35">
      <c r="X12509" s="8"/>
    </row>
    <row r="12510" spans="24:24" x14ac:dyDescent="0.35">
      <c r="X12510" s="8"/>
    </row>
    <row r="12511" spans="24:24" x14ac:dyDescent="0.35">
      <c r="X12511" s="8"/>
    </row>
    <row r="12512" spans="24:24" x14ac:dyDescent="0.35">
      <c r="X12512" s="8"/>
    </row>
    <row r="12513" spans="24:24" x14ac:dyDescent="0.35">
      <c r="X12513" s="8"/>
    </row>
    <row r="12514" spans="24:24" x14ac:dyDescent="0.35">
      <c r="X12514" s="8"/>
    </row>
    <row r="12515" spans="24:24" x14ac:dyDescent="0.35">
      <c r="X12515" s="8"/>
    </row>
    <row r="12516" spans="24:24" x14ac:dyDescent="0.35">
      <c r="X12516" s="8"/>
    </row>
    <row r="12517" spans="24:24" x14ac:dyDescent="0.35">
      <c r="X12517" s="8"/>
    </row>
    <row r="12518" spans="24:24" x14ac:dyDescent="0.35">
      <c r="X12518" s="8"/>
    </row>
    <row r="12519" spans="24:24" x14ac:dyDescent="0.35">
      <c r="X12519" s="8"/>
    </row>
    <row r="12520" spans="24:24" x14ac:dyDescent="0.35">
      <c r="X12520" s="8"/>
    </row>
    <row r="12521" spans="24:24" x14ac:dyDescent="0.35">
      <c r="X12521" s="8"/>
    </row>
    <row r="12522" spans="24:24" x14ac:dyDescent="0.35">
      <c r="X12522" s="8"/>
    </row>
    <row r="12523" spans="24:24" x14ac:dyDescent="0.35">
      <c r="X12523" s="8"/>
    </row>
    <row r="12524" spans="24:24" x14ac:dyDescent="0.35">
      <c r="X12524" s="8"/>
    </row>
    <row r="12525" spans="24:24" x14ac:dyDescent="0.35">
      <c r="X12525" s="8"/>
    </row>
    <row r="12526" spans="24:24" x14ac:dyDescent="0.35">
      <c r="X12526" s="8"/>
    </row>
    <row r="12527" spans="24:24" x14ac:dyDescent="0.35">
      <c r="X12527" s="8"/>
    </row>
    <row r="12528" spans="24:24" x14ac:dyDescent="0.35">
      <c r="X12528" s="8"/>
    </row>
    <row r="12529" spans="24:24" x14ac:dyDescent="0.35">
      <c r="X12529" s="8"/>
    </row>
    <row r="12530" spans="24:24" x14ac:dyDescent="0.35">
      <c r="X12530" s="8"/>
    </row>
    <row r="12531" spans="24:24" x14ac:dyDescent="0.35">
      <c r="X12531" s="8"/>
    </row>
    <row r="12532" spans="24:24" x14ac:dyDescent="0.35">
      <c r="X12532" s="8"/>
    </row>
    <row r="12533" spans="24:24" x14ac:dyDescent="0.35">
      <c r="X12533" s="8"/>
    </row>
    <row r="12534" spans="24:24" x14ac:dyDescent="0.35">
      <c r="X12534" s="8"/>
    </row>
    <row r="12535" spans="24:24" x14ac:dyDescent="0.35">
      <c r="X12535" s="8"/>
    </row>
    <row r="12536" spans="24:24" x14ac:dyDescent="0.35">
      <c r="X12536" s="8"/>
    </row>
    <row r="12537" spans="24:24" x14ac:dyDescent="0.35">
      <c r="X12537" s="8"/>
    </row>
    <row r="12538" spans="24:24" x14ac:dyDescent="0.35">
      <c r="X12538" s="8"/>
    </row>
    <row r="12539" spans="24:24" x14ac:dyDescent="0.35">
      <c r="X12539" s="8"/>
    </row>
    <row r="12540" spans="24:24" x14ac:dyDescent="0.35">
      <c r="X12540" s="8"/>
    </row>
    <row r="12541" spans="24:24" x14ac:dyDescent="0.35">
      <c r="X12541" s="8"/>
    </row>
    <row r="12542" spans="24:24" x14ac:dyDescent="0.35">
      <c r="X12542" s="8"/>
    </row>
    <row r="12543" spans="24:24" x14ac:dyDescent="0.35">
      <c r="X12543" s="8"/>
    </row>
    <row r="12544" spans="24:24" x14ac:dyDescent="0.35">
      <c r="X12544" s="8"/>
    </row>
    <row r="12545" spans="24:24" x14ac:dyDescent="0.35">
      <c r="X12545" s="8"/>
    </row>
    <row r="12546" spans="24:24" x14ac:dyDescent="0.35">
      <c r="X12546" s="8"/>
    </row>
    <row r="12547" spans="24:24" x14ac:dyDescent="0.35">
      <c r="X12547" s="8"/>
    </row>
    <row r="12548" spans="24:24" x14ac:dyDescent="0.35">
      <c r="X12548" s="8"/>
    </row>
    <row r="12549" spans="24:24" x14ac:dyDescent="0.35">
      <c r="X12549" s="8"/>
    </row>
    <row r="12550" spans="24:24" x14ac:dyDescent="0.35">
      <c r="X12550" s="8"/>
    </row>
    <row r="12551" spans="24:24" x14ac:dyDescent="0.35">
      <c r="X12551" s="8"/>
    </row>
    <row r="12552" spans="24:24" x14ac:dyDescent="0.35">
      <c r="X12552" s="8"/>
    </row>
    <row r="12553" spans="24:24" x14ac:dyDescent="0.35">
      <c r="X12553" s="8"/>
    </row>
    <row r="12554" spans="24:24" x14ac:dyDescent="0.35">
      <c r="X12554" s="8"/>
    </row>
    <row r="12555" spans="24:24" x14ac:dyDescent="0.35">
      <c r="X12555" s="8"/>
    </row>
    <row r="12556" spans="24:24" x14ac:dyDescent="0.35">
      <c r="X12556" s="8"/>
    </row>
    <row r="12557" spans="24:24" x14ac:dyDescent="0.35">
      <c r="X12557" s="8"/>
    </row>
    <row r="12558" spans="24:24" x14ac:dyDescent="0.35">
      <c r="X12558" s="8"/>
    </row>
    <row r="12559" spans="24:24" x14ac:dyDescent="0.35">
      <c r="X12559" s="8"/>
    </row>
    <row r="12560" spans="24:24" x14ac:dyDescent="0.35">
      <c r="X12560" s="8"/>
    </row>
    <row r="12561" spans="24:24" x14ac:dyDescent="0.35">
      <c r="X12561" s="8"/>
    </row>
    <row r="12562" spans="24:24" x14ac:dyDescent="0.35">
      <c r="X12562" s="8"/>
    </row>
    <row r="12563" spans="24:24" x14ac:dyDescent="0.35">
      <c r="X12563" s="8"/>
    </row>
    <row r="12564" spans="24:24" x14ac:dyDescent="0.35">
      <c r="X12564" s="8"/>
    </row>
    <row r="12565" spans="24:24" x14ac:dyDescent="0.35">
      <c r="X12565" s="8"/>
    </row>
    <row r="12566" spans="24:24" x14ac:dyDescent="0.35">
      <c r="X12566" s="8"/>
    </row>
    <row r="12567" spans="24:24" x14ac:dyDescent="0.35">
      <c r="X12567" s="8"/>
    </row>
    <row r="12568" spans="24:24" x14ac:dyDescent="0.35">
      <c r="X12568" s="8"/>
    </row>
    <row r="12569" spans="24:24" x14ac:dyDescent="0.35">
      <c r="X12569" s="8"/>
    </row>
    <row r="12570" spans="24:24" x14ac:dyDescent="0.35">
      <c r="X12570" s="8"/>
    </row>
    <row r="12571" spans="24:24" x14ac:dyDescent="0.35">
      <c r="X12571" s="8"/>
    </row>
    <row r="12572" spans="24:24" x14ac:dyDescent="0.35">
      <c r="X12572" s="8"/>
    </row>
    <row r="12573" spans="24:24" x14ac:dyDescent="0.35">
      <c r="X12573" s="8"/>
    </row>
    <row r="12574" spans="24:24" x14ac:dyDescent="0.35">
      <c r="X12574" s="8"/>
    </row>
    <row r="12575" spans="24:24" x14ac:dyDescent="0.35">
      <c r="X12575" s="8"/>
    </row>
    <row r="12576" spans="24:24" x14ac:dyDescent="0.35">
      <c r="X12576" s="8"/>
    </row>
    <row r="12577" spans="24:24" x14ac:dyDescent="0.35">
      <c r="X12577" s="8"/>
    </row>
    <row r="12578" spans="24:24" x14ac:dyDescent="0.35">
      <c r="X12578" s="8"/>
    </row>
    <row r="12579" spans="24:24" x14ac:dyDescent="0.35">
      <c r="X12579" s="8"/>
    </row>
    <row r="12580" spans="24:24" x14ac:dyDescent="0.35">
      <c r="X12580" s="8"/>
    </row>
    <row r="12581" spans="24:24" x14ac:dyDescent="0.35">
      <c r="X12581" s="8"/>
    </row>
    <row r="12582" spans="24:24" x14ac:dyDescent="0.35">
      <c r="X12582" s="8"/>
    </row>
    <row r="12583" spans="24:24" x14ac:dyDescent="0.35">
      <c r="X12583" s="8"/>
    </row>
    <row r="12584" spans="24:24" x14ac:dyDescent="0.35">
      <c r="X12584" s="8"/>
    </row>
    <row r="12585" spans="24:24" x14ac:dyDescent="0.35">
      <c r="X12585" s="8"/>
    </row>
    <row r="12586" spans="24:24" x14ac:dyDescent="0.35">
      <c r="X12586" s="8"/>
    </row>
    <row r="12587" spans="24:24" x14ac:dyDescent="0.35">
      <c r="X12587" s="8"/>
    </row>
    <row r="12588" spans="24:24" x14ac:dyDescent="0.35">
      <c r="X12588" s="8"/>
    </row>
    <row r="12589" spans="24:24" x14ac:dyDescent="0.35">
      <c r="X12589" s="8"/>
    </row>
    <row r="12590" spans="24:24" x14ac:dyDescent="0.35">
      <c r="X12590" s="8"/>
    </row>
    <row r="12591" spans="24:24" x14ac:dyDescent="0.35">
      <c r="X12591" s="8"/>
    </row>
    <row r="12592" spans="24:24" x14ac:dyDescent="0.35">
      <c r="X12592" s="8"/>
    </row>
    <row r="12593" spans="24:24" x14ac:dyDescent="0.35">
      <c r="X12593" s="8"/>
    </row>
    <row r="12594" spans="24:24" x14ac:dyDescent="0.35">
      <c r="X12594" s="8"/>
    </row>
    <row r="12595" spans="24:24" x14ac:dyDescent="0.35">
      <c r="X12595" s="8"/>
    </row>
    <row r="12596" spans="24:24" x14ac:dyDescent="0.35">
      <c r="X12596" s="8"/>
    </row>
    <row r="12597" spans="24:24" x14ac:dyDescent="0.35">
      <c r="X12597" s="8"/>
    </row>
    <row r="12598" spans="24:24" x14ac:dyDescent="0.35">
      <c r="X12598" s="8"/>
    </row>
    <row r="12599" spans="24:24" x14ac:dyDescent="0.35">
      <c r="X12599" s="8"/>
    </row>
    <row r="12600" spans="24:24" x14ac:dyDescent="0.35">
      <c r="X12600" s="8"/>
    </row>
    <row r="12601" spans="24:24" x14ac:dyDescent="0.35">
      <c r="X12601" s="8"/>
    </row>
    <row r="12602" spans="24:24" x14ac:dyDescent="0.35">
      <c r="X12602" s="8"/>
    </row>
    <row r="12603" spans="24:24" x14ac:dyDescent="0.35">
      <c r="X12603" s="8"/>
    </row>
    <row r="12604" spans="24:24" x14ac:dyDescent="0.35">
      <c r="X12604" s="8"/>
    </row>
    <row r="12605" spans="24:24" x14ac:dyDescent="0.35">
      <c r="X12605" s="8"/>
    </row>
    <row r="12606" spans="24:24" x14ac:dyDescent="0.35">
      <c r="X12606" s="8"/>
    </row>
    <row r="12607" spans="24:24" x14ac:dyDescent="0.35">
      <c r="X12607" s="8"/>
    </row>
    <row r="12608" spans="24:24" x14ac:dyDescent="0.35">
      <c r="X12608" s="8"/>
    </row>
    <row r="12609" spans="24:24" x14ac:dyDescent="0.35">
      <c r="X12609" s="8"/>
    </row>
    <row r="12610" spans="24:24" x14ac:dyDescent="0.35">
      <c r="X12610" s="8"/>
    </row>
    <row r="12611" spans="24:24" x14ac:dyDescent="0.35">
      <c r="X12611" s="8"/>
    </row>
    <row r="12612" spans="24:24" x14ac:dyDescent="0.35">
      <c r="X12612" s="8"/>
    </row>
    <row r="12613" spans="24:24" x14ac:dyDescent="0.35">
      <c r="X12613" s="8"/>
    </row>
    <row r="12614" spans="24:24" x14ac:dyDescent="0.35">
      <c r="X12614" s="8"/>
    </row>
    <row r="12615" spans="24:24" x14ac:dyDescent="0.35">
      <c r="X12615" s="8"/>
    </row>
    <row r="12616" spans="24:24" x14ac:dyDescent="0.35">
      <c r="X12616" s="8"/>
    </row>
    <row r="12617" spans="24:24" x14ac:dyDescent="0.35">
      <c r="X12617" s="8"/>
    </row>
    <row r="12618" spans="24:24" x14ac:dyDescent="0.35">
      <c r="X12618" s="8"/>
    </row>
    <row r="12619" spans="24:24" x14ac:dyDescent="0.35">
      <c r="X12619" s="8"/>
    </row>
    <row r="12620" spans="24:24" x14ac:dyDescent="0.35">
      <c r="X12620" s="8"/>
    </row>
    <row r="12621" spans="24:24" x14ac:dyDescent="0.35">
      <c r="X12621" s="8"/>
    </row>
    <row r="12622" spans="24:24" x14ac:dyDescent="0.35">
      <c r="X12622" s="8"/>
    </row>
    <row r="12623" spans="24:24" x14ac:dyDescent="0.35">
      <c r="X12623" s="8"/>
    </row>
    <row r="12624" spans="24:24" x14ac:dyDescent="0.35">
      <c r="X12624" s="8"/>
    </row>
    <row r="12625" spans="24:24" x14ac:dyDescent="0.35">
      <c r="X12625" s="8"/>
    </row>
    <row r="12626" spans="24:24" x14ac:dyDescent="0.35">
      <c r="X12626" s="8"/>
    </row>
    <row r="12627" spans="24:24" x14ac:dyDescent="0.35">
      <c r="X12627" s="8"/>
    </row>
    <row r="12628" spans="24:24" x14ac:dyDescent="0.35">
      <c r="X12628" s="8"/>
    </row>
    <row r="12629" spans="24:24" x14ac:dyDescent="0.35">
      <c r="X12629" s="8"/>
    </row>
    <row r="12630" spans="24:24" x14ac:dyDescent="0.35">
      <c r="X12630" s="8"/>
    </row>
    <row r="12631" spans="24:24" x14ac:dyDescent="0.35">
      <c r="X12631" s="8"/>
    </row>
    <row r="12632" spans="24:24" x14ac:dyDescent="0.35">
      <c r="X12632" s="8"/>
    </row>
    <row r="12633" spans="24:24" x14ac:dyDescent="0.35">
      <c r="X12633" s="8"/>
    </row>
    <row r="12634" spans="24:24" x14ac:dyDescent="0.35">
      <c r="X12634" s="8"/>
    </row>
    <row r="12635" spans="24:24" x14ac:dyDescent="0.35">
      <c r="X12635" s="8"/>
    </row>
    <row r="12636" spans="24:24" x14ac:dyDescent="0.35">
      <c r="X12636" s="8"/>
    </row>
    <row r="12637" spans="24:24" x14ac:dyDescent="0.35">
      <c r="X12637" s="8"/>
    </row>
    <row r="12638" spans="24:24" x14ac:dyDescent="0.35">
      <c r="X12638" s="8"/>
    </row>
    <row r="12639" spans="24:24" x14ac:dyDescent="0.35">
      <c r="X12639" s="8"/>
    </row>
    <row r="12640" spans="24:24" x14ac:dyDescent="0.35">
      <c r="X12640" s="8"/>
    </row>
    <row r="12641" spans="24:24" x14ac:dyDescent="0.35">
      <c r="X12641" s="8"/>
    </row>
    <row r="12642" spans="24:24" x14ac:dyDescent="0.35">
      <c r="X12642" s="8"/>
    </row>
    <row r="12643" spans="24:24" x14ac:dyDescent="0.35">
      <c r="X12643" s="8"/>
    </row>
    <row r="12644" spans="24:24" x14ac:dyDescent="0.35">
      <c r="X12644" s="8"/>
    </row>
    <row r="12645" spans="24:24" x14ac:dyDescent="0.35">
      <c r="X12645" s="8"/>
    </row>
    <row r="12646" spans="24:24" x14ac:dyDescent="0.35">
      <c r="X12646" s="8"/>
    </row>
    <row r="12647" spans="24:24" x14ac:dyDescent="0.35">
      <c r="X12647" s="8"/>
    </row>
    <row r="12648" spans="24:24" x14ac:dyDescent="0.35">
      <c r="X12648" s="8"/>
    </row>
    <row r="12649" spans="24:24" x14ac:dyDescent="0.35">
      <c r="X12649" s="8"/>
    </row>
    <row r="12650" spans="24:24" x14ac:dyDescent="0.35">
      <c r="X12650" s="8"/>
    </row>
    <row r="12651" spans="24:24" x14ac:dyDescent="0.35">
      <c r="X12651" s="8"/>
    </row>
    <row r="12652" spans="24:24" x14ac:dyDescent="0.35">
      <c r="X12652" s="8"/>
    </row>
    <row r="12653" spans="24:24" x14ac:dyDescent="0.35">
      <c r="X12653" s="8"/>
    </row>
    <row r="12654" spans="24:24" x14ac:dyDescent="0.35">
      <c r="X12654" s="8"/>
    </row>
    <row r="12655" spans="24:24" x14ac:dyDescent="0.35">
      <c r="X12655" s="8"/>
    </row>
    <row r="12656" spans="24:24" x14ac:dyDescent="0.35">
      <c r="X12656" s="8"/>
    </row>
    <row r="12657" spans="24:24" x14ac:dyDescent="0.35">
      <c r="X12657" s="8"/>
    </row>
    <row r="12658" spans="24:24" x14ac:dyDescent="0.35">
      <c r="X12658" s="8"/>
    </row>
    <row r="12659" spans="24:24" x14ac:dyDescent="0.35">
      <c r="X12659" s="8"/>
    </row>
    <row r="12660" spans="24:24" x14ac:dyDescent="0.35">
      <c r="X12660" s="8"/>
    </row>
    <row r="12661" spans="24:24" x14ac:dyDescent="0.35">
      <c r="X12661" s="8"/>
    </row>
    <row r="12662" spans="24:24" x14ac:dyDescent="0.35">
      <c r="X12662" s="8"/>
    </row>
    <row r="12663" spans="24:24" x14ac:dyDescent="0.35">
      <c r="X12663" s="8"/>
    </row>
    <row r="12664" spans="24:24" x14ac:dyDescent="0.35">
      <c r="X12664" s="8"/>
    </row>
    <row r="12665" spans="24:24" x14ac:dyDescent="0.35">
      <c r="X12665" s="8"/>
    </row>
    <row r="12666" spans="24:24" x14ac:dyDescent="0.35">
      <c r="X12666" s="8"/>
    </row>
    <row r="12667" spans="24:24" x14ac:dyDescent="0.35">
      <c r="X12667" s="8"/>
    </row>
    <row r="12668" spans="24:24" x14ac:dyDescent="0.35">
      <c r="X12668" s="8"/>
    </row>
    <row r="12669" spans="24:24" x14ac:dyDescent="0.35">
      <c r="X12669" s="8"/>
    </row>
    <row r="12670" spans="24:24" x14ac:dyDescent="0.35">
      <c r="X12670" s="8"/>
    </row>
    <row r="12671" spans="24:24" x14ac:dyDescent="0.35">
      <c r="X12671" s="8"/>
    </row>
    <row r="12672" spans="24:24" x14ac:dyDescent="0.35">
      <c r="X12672" s="8"/>
    </row>
    <row r="12673" spans="24:24" x14ac:dyDescent="0.35">
      <c r="X12673" s="8"/>
    </row>
    <row r="12674" spans="24:24" x14ac:dyDescent="0.35">
      <c r="X12674" s="8"/>
    </row>
    <row r="12675" spans="24:24" x14ac:dyDescent="0.35">
      <c r="X12675" s="8"/>
    </row>
    <row r="12676" spans="24:24" x14ac:dyDescent="0.35">
      <c r="X12676" s="8"/>
    </row>
    <row r="12677" spans="24:24" x14ac:dyDescent="0.35">
      <c r="X12677" s="8"/>
    </row>
    <row r="12678" spans="24:24" x14ac:dyDescent="0.35">
      <c r="X12678" s="8"/>
    </row>
    <row r="12679" spans="24:24" x14ac:dyDescent="0.35">
      <c r="X12679" s="8"/>
    </row>
    <row r="12680" spans="24:24" x14ac:dyDescent="0.35">
      <c r="X12680" s="8"/>
    </row>
    <row r="12681" spans="24:24" x14ac:dyDescent="0.35">
      <c r="X12681" s="8"/>
    </row>
    <row r="12682" spans="24:24" x14ac:dyDescent="0.35">
      <c r="X12682" s="8"/>
    </row>
    <row r="12683" spans="24:24" x14ac:dyDescent="0.35">
      <c r="X12683" s="8"/>
    </row>
    <row r="12684" spans="24:24" x14ac:dyDescent="0.35">
      <c r="X12684" s="8"/>
    </row>
    <row r="12685" spans="24:24" x14ac:dyDescent="0.35">
      <c r="X12685" s="8"/>
    </row>
    <row r="12686" spans="24:24" x14ac:dyDescent="0.35">
      <c r="X12686" s="8"/>
    </row>
    <row r="12687" spans="24:24" x14ac:dyDescent="0.35">
      <c r="X12687" s="8"/>
    </row>
    <row r="12688" spans="24:24" x14ac:dyDescent="0.35">
      <c r="X12688" s="8"/>
    </row>
    <row r="12689" spans="24:24" x14ac:dyDescent="0.35">
      <c r="X12689" s="8"/>
    </row>
    <row r="12690" spans="24:24" x14ac:dyDescent="0.35">
      <c r="X12690" s="8"/>
    </row>
    <row r="12691" spans="24:24" x14ac:dyDescent="0.35">
      <c r="X12691" s="8"/>
    </row>
    <row r="12692" spans="24:24" x14ac:dyDescent="0.35">
      <c r="X12692" s="8"/>
    </row>
    <row r="12693" spans="24:24" x14ac:dyDescent="0.35">
      <c r="X12693" s="8"/>
    </row>
    <row r="12694" spans="24:24" x14ac:dyDescent="0.35">
      <c r="X12694" s="8"/>
    </row>
    <row r="12695" spans="24:24" x14ac:dyDescent="0.35">
      <c r="X12695" s="8"/>
    </row>
    <row r="12696" spans="24:24" x14ac:dyDescent="0.35">
      <c r="X12696" s="8"/>
    </row>
    <row r="12697" spans="24:24" x14ac:dyDescent="0.35">
      <c r="X12697" s="8"/>
    </row>
    <row r="12698" spans="24:24" x14ac:dyDescent="0.35">
      <c r="X12698" s="8"/>
    </row>
    <row r="12699" spans="24:24" x14ac:dyDescent="0.35">
      <c r="X12699" s="8"/>
    </row>
    <row r="12700" spans="24:24" x14ac:dyDescent="0.35">
      <c r="X12700" s="8"/>
    </row>
    <row r="12701" spans="24:24" x14ac:dyDescent="0.35">
      <c r="X12701" s="8"/>
    </row>
    <row r="12702" spans="24:24" x14ac:dyDescent="0.35">
      <c r="X12702" s="8"/>
    </row>
    <row r="12703" spans="24:24" x14ac:dyDescent="0.35">
      <c r="X12703" s="8"/>
    </row>
    <row r="12704" spans="24:24" x14ac:dyDescent="0.35">
      <c r="X12704" s="8"/>
    </row>
    <row r="12705" spans="24:24" x14ac:dyDescent="0.35">
      <c r="X12705" s="8"/>
    </row>
    <row r="12706" spans="24:24" x14ac:dyDescent="0.35">
      <c r="X12706" s="8"/>
    </row>
    <row r="12707" spans="24:24" x14ac:dyDescent="0.35">
      <c r="X12707" s="8"/>
    </row>
    <row r="12708" spans="24:24" x14ac:dyDescent="0.35">
      <c r="X12708" s="8"/>
    </row>
    <row r="12709" spans="24:24" x14ac:dyDescent="0.35">
      <c r="X12709" s="8"/>
    </row>
    <row r="12710" spans="24:24" x14ac:dyDescent="0.35">
      <c r="X12710" s="8"/>
    </row>
    <row r="12711" spans="24:24" x14ac:dyDescent="0.35">
      <c r="X12711" s="8"/>
    </row>
    <row r="12712" spans="24:24" x14ac:dyDescent="0.35">
      <c r="X12712" s="8"/>
    </row>
    <row r="12713" spans="24:24" x14ac:dyDescent="0.35">
      <c r="X12713" s="8"/>
    </row>
    <row r="12714" spans="24:24" x14ac:dyDescent="0.35">
      <c r="X12714" s="8"/>
    </row>
    <row r="12715" spans="24:24" x14ac:dyDescent="0.35">
      <c r="X12715" s="8"/>
    </row>
    <row r="12716" spans="24:24" x14ac:dyDescent="0.35">
      <c r="X12716" s="8"/>
    </row>
    <row r="12717" spans="24:24" x14ac:dyDescent="0.35">
      <c r="X12717" s="8"/>
    </row>
    <row r="12718" spans="24:24" x14ac:dyDescent="0.35">
      <c r="X12718" s="8"/>
    </row>
    <row r="12719" spans="24:24" x14ac:dyDescent="0.35">
      <c r="X12719" s="8"/>
    </row>
    <row r="12720" spans="24:24" x14ac:dyDescent="0.35">
      <c r="X12720" s="8"/>
    </row>
    <row r="12721" spans="24:24" x14ac:dyDescent="0.35">
      <c r="X12721" s="8"/>
    </row>
    <row r="12722" spans="24:24" x14ac:dyDescent="0.35">
      <c r="X12722" s="8"/>
    </row>
    <row r="12723" spans="24:24" x14ac:dyDescent="0.35">
      <c r="X12723" s="8"/>
    </row>
    <row r="12724" spans="24:24" x14ac:dyDescent="0.35">
      <c r="X12724" s="8"/>
    </row>
    <row r="12725" spans="24:24" x14ac:dyDescent="0.35">
      <c r="X12725" s="8"/>
    </row>
    <row r="12726" spans="24:24" x14ac:dyDescent="0.35">
      <c r="X12726" s="8"/>
    </row>
    <row r="12727" spans="24:24" x14ac:dyDescent="0.35">
      <c r="X12727" s="8"/>
    </row>
    <row r="12728" spans="24:24" x14ac:dyDescent="0.35">
      <c r="X12728" s="8"/>
    </row>
    <row r="12729" spans="24:24" x14ac:dyDescent="0.35">
      <c r="X12729" s="8"/>
    </row>
    <row r="12730" spans="24:24" x14ac:dyDescent="0.35">
      <c r="X12730" s="8"/>
    </row>
    <row r="12731" spans="24:24" x14ac:dyDescent="0.35">
      <c r="X12731" s="8"/>
    </row>
    <row r="12732" spans="24:24" x14ac:dyDescent="0.35">
      <c r="X12732" s="8"/>
    </row>
    <row r="12733" spans="24:24" x14ac:dyDescent="0.35">
      <c r="X12733" s="8"/>
    </row>
    <row r="12734" spans="24:24" x14ac:dyDescent="0.35">
      <c r="X12734" s="8"/>
    </row>
    <row r="12735" spans="24:24" x14ac:dyDescent="0.35">
      <c r="X12735" s="8"/>
    </row>
    <row r="12736" spans="24:24" x14ac:dyDescent="0.35">
      <c r="X12736" s="8"/>
    </row>
    <row r="12737" spans="24:24" x14ac:dyDescent="0.35">
      <c r="X12737" s="8"/>
    </row>
    <row r="12738" spans="24:24" x14ac:dyDescent="0.35">
      <c r="X12738" s="8"/>
    </row>
    <row r="12739" spans="24:24" x14ac:dyDescent="0.35">
      <c r="X12739" s="8"/>
    </row>
    <row r="12740" spans="24:24" x14ac:dyDescent="0.35">
      <c r="X12740" s="8"/>
    </row>
    <row r="12741" spans="24:24" x14ac:dyDescent="0.35">
      <c r="X12741" s="8"/>
    </row>
    <row r="12742" spans="24:24" x14ac:dyDescent="0.35">
      <c r="X12742" s="8"/>
    </row>
    <row r="12743" spans="24:24" x14ac:dyDescent="0.35">
      <c r="X12743" s="8"/>
    </row>
    <row r="12744" spans="24:24" x14ac:dyDescent="0.35">
      <c r="X12744" s="8"/>
    </row>
    <row r="12745" spans="24:24" x14ac:dyDescent="0.35">
      <c r="X12745" s="8"/>
    </row>
    <row r="12746" spans="24:24" x14ac:dyDescent="0.35">
      <c r="X12746" s="8"/>
    </row>
    <row r="12747" spans="24:24" x14ac:dyDescent="0.35">
      <c r="X12747" s="8"/>
    </row>
    <row r="12748" spans="24:24" x14ac:dyDescent="0.35">
      <c r="X12748" s="8"/>
    </row>
    <row r="12749" spans="24:24" x14ac:dyDescent="0.35">
      <c r="X12749" s="8"/>
    </row>
    <row r="12750" spans="24:24" x14ac:dyDescent="0.35">
      <c r="X12750" s="8"/>
    </row>
    <row r="12751" spans="24:24" x14ac:dyDescent="0.35">
      <c r="X12751" s="8"/>
    </row>
    <row r="12752" spans="24:24" x14ac:dyDescent="0.35">
      <c r="X12752" s="8"/>
    </row>
    <row r="12753" spans="24:24" x14ac:dyDescent="0.35">
      <c r="X12753" s="8"/>
    </row>
    <row r="12754" spans="24:24" x14ac:dyDescent="0.35">
      <c r="X12754" s="8"/>
    </row>
    <row r="12755" spans="24:24" x14ac:dyDescent="0.35">
      <c r="X12755" s="8"/>
    </row>
    <row r="12756" spans="24:24" x14ac:dyDescent="0.35">
      <c r="X12756" s="8"/>
    </row>
    <row r="12757" spans="24:24" x14ac:dyDescent="0.35">
      <c r="X12757" s="8"/>
    </row>
    <row r="12758" spans="24:24" x14ac:dyDescent="0.35">
      <c r="X12758" s="8"/>
    </row>
    <row r="12759" spans="24:24" x14ac:dyDescent="0.35">
      <c r="X12759" s="8"/>
    </row>
    <row r="12760" spans="24:24" x14ac:dyDescent="0.35">
      <c r="X12760" s="8"/>
    </row>
    <row r="12761" spans="24:24" x14ac:dyDescent="0.35">
      <c r="X12761" s="8"/>
    </row>
    <row r="12762" spans="24:24" x14ac:dyDescent="0.35">
      <c r="X12762" s="8"/>
    </row>
    <row r="12763" spans="24:24" x14ac:dyDescent="0.35">
      <c r="X12763" s="8"/>
    </row>
    <row r="12764" spans="24:24" x14ac:dyDescent="0.35">
      <c r="X12764" s="8"/>
    </row>
    <row r="12765" spans="24:24" x14ac:dyDescent="0.35">
      <c r="X12765" s="8"/>
    </row>
    <row r="12766" spans="24:24" x14ac:dyDescent="0.35">
      <c r="X12766" s="8"/>
    </row>
    <row r="12767" spans="24:24" x14ac:dyDescent="0.35">
      <c r="X12767" s="8"/>
    </row>
    <row r="12768" spans="24:24" x14ac:dyDescent="0.35">
      <c r="X12768" s="8"/>
    </row>
    <row r="12769" spans="24:24" x14ac:dyDescent="0.35">
      <c r="X12769" s="8"/>
    </row>
    <row r="12770" spans="24:24" x14ac:dyDescent="0.35">
      <c r="X12770" s="8"/>
    </row>
    <row r="12771" spans="24:24" x14ac:dyDescent="0.35">
      <c r="X12771" s="8"/>
    </row>
    <row r="12772" spans="24:24" x14ac:dyDescent="0.35">
      <c r="X12772" s="8"/>
    </row>
    <row r="12773" spans="24:24" x14ac:dyDescent="0.35">
      <c r="X12773" s="8"/>
    </row>
    <row r="12774" spans="24:24" x14ac:dyDescent="0.35">
      <c r="X12774" s="8"/>
    </row>
    <row r="12775" spans="24:24" x14ac:dyDescent="0.35">
      <c r="X12775" s="8"/>
    </row>
    <row r="12776" spans="24:24" x14ac:dyDescent="0.35">
      <c r="X12776" s="8"/>
    </row>
    <row r="12777" spans="24:24" x14ac:dyDescent="0.35">
      <c r="X12777" s="8"/>
    </row>
    <row r="12778" spans="24:24" x14ac:dyDescent="0.35">
      <c r="X12778" s="8"/>
    </row>
    <row r="12779" spans="24:24" x14ac:dyDescent="0.35">
      <c r="X12779" s="8"/>
    </row>
    <row r="12780" spans="24:24" x14ac:dyDescent="0.35">
      <c r="X12780" s="8"/>
    </row>
    <row r="12781" spans="24:24" x14ac:dyDescent="0.35">
      <c r="X12781" s="8"/>
    </row>
    <row r="12782" spans="24:24" x14ac:dyDescent="0.35">
      <c r="X12782" s="8"/>
    </row>
    <row r="12783" spans="24:24" x14ac:dyDescent="0.35">
      <c r="X12783" s="8"/>
    </row>
    <row r="12784" spans="24:24" x14ac:dyDescent="0.35">
      <c r="X12784" s="8"/>
    </row>
    <row r="12785" spans="24:24" x14ac:dyDescent="0.35">
      <c r="X12785" s="8"/>
    </row>
    <row r="12786" spans="24:24" x14ac:dyDescent="0.35">
      <c r="X12786" s="8"/>
    </row>
    <row r="12787" spans="24:24" x14ac:dyDescent="0.35">
      <c r="X12787" s="8"/>
    </row>
    <row r="12788" spans="24:24" x14ac:dyDescent="0.35">
      <c r="X12788" s="8"/>
    </row>
    <row r="12789" spans="24:24" x14ac:dyDescent="0.35">
      <c r="X12789" s="8"/>
    </row>
    <row r="12790" spans="24:24" x14ac:dyDescent="0.35">
      <c r="X12790" s="8"/>
    </row>
    <row r="12791" spans="24:24" x14ac:dyDescent="0.35">
      <c r="X12791" s="8"/>
    </row>
    <row r="12792" spans="24:24" x14ac:dyDescent="0.35">
      <c r="X12792" s="8"/>
    </row>
    <row r="12793" spans="24:24" x14ac:dyDescent="0.35">
      <c r="X12793" s="8"/>
    </row>
    <row r="12794" spans="24:24" x14ac:dyDescent="0.35">
      <c r="X12794" s="8"/>
    </row>
    <row r="12795" spans="24:24" x14ac:dyDescent="0.35">
      <c r="X12795" s="8"/>
    </row>
    <row r="12796" spans="24:24" x14ac:dyDescent="0.35">
      <c r="X12796" s="8"/>
    </row>
    <row r="12797" spans="24:24" x14ac:dyDescent="0.35">
      <c r="X12797" s="8"/>
    </row>
    <row r="12798" spans="24:24" x14ac:dyDescent="0.35">
      <c r="X12798" s="8"/>
    </row>
    <row r="12799" spans="24:24" x14ac:dyDescent="0.35">
      <c r="X12799" s="8"/>
    </row>
    <row r="12800" spans="24:24" x14ac:dyDescent="0.35">
      <c r="X12800" s="8"/>
    </row>
    <row r="12801" spans="24:24" x14ac:dyDescent="0.35">
      <c r="X12801" s="8"/>
    </row>
    <row r="12802" spans="24:24" x14ac:dyDescent="0.35">
      <c r="X12802" s="8"/>
    </row>
    <row r="12803" spans="24:24" x14ac:dyDescent="0.35">
      <c r="X12803" s="8"/>
    </row>
    <row r="12804" spans="24:24" x14ac:dyDescent="0.35">
      <c r="X12804" s="8"/>
    </row>
    <row r="12805" spans="24:24" x14ac:dyDescent="0.35">
      <c r="X12805" s="8"/>
    </row>
    <row r="12806" spans="24:24" x14ac:dyDescent="0.35">
      <c r="X12806" s="8"/>
    </row>
    <row r="12807" spans="24:24" x14ac:dyDescent="0.35">
      <c r="X12807" s="8"/>
    </row>
    <row r="12808" spans="24:24" x14ac:dyDescent="0.35">
      <c r="X12808" s="8"/>
    </row>
    <row r="12809" spans="24:24" x14ac:dyDescent="0.35">
      <c r="X12809" s="8"/>
    </row>
    <row r="12810" spans="24:24" x14ac:dyDescent="0.35">
      <c r="X12810" s="8"/>
    </row>
    <row r="12811" spans="24:24" x14ac:dyDescent="0.35">
      <c r="X12811" s="8"/>
    </row>
    <row r="12812" spans="24:24" x14ac:dyDescent="0.35">
      <c r="X12812" s="8"/>
    </row>
    <row r="12813" spans="24:24" x14ac:dyDescent="0.35">
      <c r="X12813" s="8"/>
    </row>
    <row r="12814" spans="24:24" x14ac:dyDescent="0.35">
      <c r="X12814" s="8"/>
    </row>
    <row r="12815" spans="24:24" x14ac:dyDescent="0.35">
      <c r="X12815" s="8"/>
    </row>
    <row r="12816" spans="24:24" x14ac:dyDescent="0.35">
      <c r="X12816" s="8"/>
    </row>
    <row r="12817" spans="24:24" x14ac:dyDescent="0.35">
      <c r="X12817" s="8"/>
    </row>
    <row r="12818" spans="24:24" x14ac:dyDescent="0.35">
      <c r="X12818" s="8"/>
    </row>
    <row r="12819" spans="24:24" x14ac:dyDescent="0.35">
      <c r="X12819" s="8"/>
    </row>
    <row r="12820" spans="24:24" x14ac:dyDescent="0.35">
      <c r="X12820" s="8"/>
    </row>
    <row r="12821" spans="24:24" x14ac:dyDescent="0.35">
      <c r="X12821" s="8"/>
    </row>
    <row r="12822" spans="24:24" x14ac:dyDescent="0.35">
      <c r="X12822" s="8"/>
    </row>
    <row r="12823" spans="24:24" x14ac:dyDescent="0.35">
      <c r="X12823" s="8"/>
    </row>
    <row r="12824" spans="24:24" x14ac:dyDescent="0.35">
      <c r="X12824" s="8"/>
    </row>
    <row r="12825" spans="24:24" x14ac:dyDescent="0.35">
      <c r="X12825" s="8"/>
    </row>
    <row r="12826" spans="24:24" x14ac:dyDescent="0.35">
      <c r="X12826" s="8"/>
    </row>
    <row r="12827" spans="24:24" x14ac:dyDescent="0.35">
      <c r="X12827" s="8"/>
    </row>
    <row r="12828" spans="24:24" x14ac:dyDescent="0.35">
      <c r="X12828" s="8"/>
    </row>
    <row r="12829" spans="24:24" x14ac:dyDescent="0.35">
      <c r="X12829" s="8"/>
    </row>
    <row r="12830" spans="24:24" x14ac:dyDescent="0.35">
      <c r="X12830" s="8"/>
    </row>
    <row r="12831" spans="24:24" x14ac:dyDescent="0.35">
      <c r="X12831" s="8"/>
    </row>
    <row r="12832" spans="24:24" x14ac:dyDescent="0.35">
      <c r="X12832" s="8"/>
    </row>
    <row r="12833" spans="24:24" x14ac:dyDescent="0.35">
      <c r="X12833" s="8"/>
    </row>
    <row r="12834" spans="24:24" x14ac:dyDescent="0.35">
      <c r="X12834" s="8"/>
    </row>
    <row r="12835" spans="24:24" x14ac:dyDescent="0.35">
      <c r="X12835" s="8"/>
    </row>
    <row r="12836" spans="24:24" x14ac:dyDescent="0.35">
      <c r="X12836" s="8"/>
    </row>
    <row r="12837" spans="24:24" x14ac:dyDescent="0.35">
      <c r="X12837" s="8"/>
    </row>
    <row r="12838" spans="24:24" x14ac:dyDescent="0.35">
      <c r="X12838" s="8"/>
    </row>
    <row r="12839" spans="24:24" x14ac:dyDescent="0.35">
      <c r="X12839" s="8"/>
    </row>
    <row r="12840" spans="24:24" x14ac:dyDescent="0.35">
      <c r="X12840" s="8"/>
    </row>
    <row r="12841" spans="24:24" x14ac:dyDescent="0.35">
      <c r="X12841" s="8"/>
    </row>
    <row r="12842" spans="24:24" x14ac:dyDescent="0.35">
      <c r="X12842" s="8"/>
    </row>
    <row r="12843" spans="24:24" x14ac:dyDescent="0.35">
      <c r="X12843" s="8"/>
    </row>
    <row r="12844" spans="24:24" x14ac:dyDescent="0.35">
      <c r="X12844" s="8"/>
    </row>
    <row r="12845" spans="24:24" x14ac:dyDescent="0.35">
      <c r="X12845" s="8"/>
    </row>
    <row r="12846" spans="24:24" x14ac:dyDescent="0.35">
      <c r="X12846" s="8"/>
    </row>
    <row r="12847" spans="24:24" x14ac:dyDescent="0.35">
      <c r="X12847" s="8"/>
    </row>
    <row r="12848" spans="24:24" x14ac:dyDescent="0.35">
      <c r="X12848" s="8"/>
    </row>
    <row r="12849" spans="24:24" x14ac:dyDescent="0.35">
      <c r="X12849" s="8"/>
    </row>
    <row r="12850" spans="24:24" x14ac:dyDescent="0.35">
      <c r="X12850" s="8"/>
    </row>
    <row r="12851" spans="24:24" x14ac:dyDescent="0.35">
      <c r="X12851" s="8"/>
    </row>
    <row r="12852" spans="24:24" x14ac:dyDescent="0.35">
      <c r="X12852" s="8"/>
    </row>
    <row r="12853" spans="24:24" x14ac:dyDescent="0.35">
      <c r="X12853" s="8"/>
    </row>
    <row r="12854" spans="24:24" x14ac:dyDescent="0.35">
      <c r="X12854" s="8"/>
    </row>
    <row r="12855" spans="24:24" x14ac:dyDescent="0.35">
      <c r="X12855" s="8"/>
    </row>
    <row r="12856" spans="24:24" x14ac:dyDescent="0.35">
      <c r="X12856" s="8"/>
    </row>
    <row r="12857" spans="24:24" x14ac:dyDescent="0.35">
      <c r="X12857" s="8"/>
    </row>
    <row r="12858" spans="24:24" x14ac:dyDescent="0.35">
      <c r="X12858" s="8"/>
    </row>
    <row r="12859" spans="24:24" x14ac:dyDescent="0.35">
      <c r="X12859" s="8"/>
    </row>
    <row r="12860" spans="24:24" x14ac:dyDescent="0.35">
      <c r="X12860" s="8"/>
    </row>
    <row r="12861" spans="24:24" x14ac:dyDescent="0.35">
      <c r="X12861" s="8"/>
    </row>
    <row r="12862" spans="24:24" x14ac:dyDescent="0.35">
      <c r="X12862" s="8"/>
    </row>
    <row r="12863" spans="24:24" x14ac:dyDescent="0.35">
      <c r="X12863" s="8"/>
    </row>
    <row r="12864" spans="24:24" x14ac:dyDescent="0.35">
      <c r="X12864" s="8"/>
    </row>
    <row r="12865" spans="24:24" x14ac:dyDescent="0.35">
      <c r="X12865" s="8"/>
    </row>
    <row r="12866" spans="24:24" x14ac:dyDescent="0.35">
      <c r="X12866" s="8"/>
    </row>
    <row r="12867" spans="24:24" x14ac:dyDescent="0.35">
      <c r="X12867" s="8"/>
    </row>
    <row r="12868" spans="24:24" x14ac:dyDescent="0.35">
      <c r="X12868" s="8"/>
    </row>
    <row r="12869" spans="24:24" x14ac:dyDescent="0.35">
      <c r="X12869" s="8"/>
    </row>
    <row r="12870" spans="24:24" x14ac:dyDescent="0.35">
      <c r="X12870" s="8"/>
    </row>
    <row r="12871" spans="24:24" x14ac:dyDescent="0.35">
      <c r="X12871" s="8"/>
    </row>
    <row r="12872" spans="24:24" x14ac:dyDescent="0.35">
      <c r="X12872" s="8"/>
    </row>
    <row r="12873" spans="24:24" x14ac:dyDescent="0.35">
      <c r="X12873" s="8"/>
    </row>
    <row r="12874" spans="24:24" x14ac:dyDescent="0.35">
      <c r="X12874" s="8"/>
    </row>
    <row r="12875" spans="24:24" x14ac:dyDescent="0.35">
      <c r="X12875" s="8"/>
    </row>
    <row r="12876" spans="24:24" x14ac:dyDescent="0.35">
      <c r="X12876" s="8"/>
    </row>
    <row r="12877" spans="24:24" x14ac:dyDescent="0.35">
      <c r="X12877" s="8"/>
    </row>
    <row r="12878" spans="24:24" x14ac:dyDescent="0.35">
      <c r="X12878" s="8"/>
    </row>
    <row r="12879" spans="24:24" x14ac:dyDescent="0.35">
      <c r="X12879" s="8"/>
    </row>
    <row r="12880" spans="24:24" x14ac:dyDescent="0.35">
      <c r="X12880" s="8"/>
    </row>
    <row r="12881" spans="24:24" x14ac:dyDescent="0.35">
      <c r="X12881" s="8"/>
    </row>
    <row r="12882" spans="24:24" x14ac:dyDescent="0.35">
      <c r="X12882" s="8"/>
    </row>
    <row r="12883" spans="24:24" x14ac:dyDescent="0.35">
      <c r="X12883" s="8"/>
    </row>
    <row r="12884" spans="24:24" x14ac:dyDescent="0.35">
      <c r="X12884" s="8"/>
    </row>
    <row r="12885" spans="24:24" x14ac:dyDescent="0.35">
      <c r="X12885" s="8"/>
    </row>
    <row r="12886" spans="24:24" x14ac:dyDescent="0.35">
      <c r="X12886" s="8"/>
    </row>
    <row r="12887" spans="24:24" x14ac:dyDescent="0.35">
      <c r="X12887" s="8"/>
    </row>
    <row r="12888" spans="24:24" x14ac:dyDescent="0.35">
      <c r="X12888" s="8"/>
    </row>
    <row r="12889" spans="24:24" x14ac:dyDescent="0.35">
      <c r="X12889" s="8"/>
    </row>
    <row r="12890" spans="24:24" x14ac:dyDescent="0.35">
      <c r="X12890" s="8"/>
    </row>
    <row r="12891" spans="24:24" x14ac:dyDescent="0.35">
      <c r="X12891" s="8"/>
    </row>
    <row r="12892" spans="24:24" x14ac:dyDescent="0.35">
      <c r="X12892" s="8"/>
    </row>
    <row r="12893" spans="24:24" x14ac:dyDescent="0.35">
      <c r="X12893" s="8"/>
    </row>
    <row r="12894" spans="24:24" x14ac:dyDescent="0.35">
      <c r="X12894" s="8"/>
    </row>
    <row r="12895" spans="24:24" x14ac:dyDescent="0.35">
      <c r="X12895" s="8"/>
    </row>
    <row r="12896" spans="24:24" x14ac:dyDescent="0.35">
      <c r="X12896" s="8"/>
    </row>
    <row r="12897" spans="24:24" x14ac:dyDescent="0.35">
      <c r="X12897" s="8"/>
    </row>
    <row r="12898" spans="24:24" x14ac:dyDescent="0.35">
      <c r="X12898" s="8"/>
    </row>
    <row r="12899" spans="24:24" x14ac:dyDescent="0.35">
      <c r="X12899" s="8"/>
    </row>
    <row r="12900" spans="24:24" x14ac:dyDescent="0.35">
      <c r="X12900" s="8"/>
    </row>
    <row r="12901" spans="24:24" x14ac:dyDescent="0.35">
      <c r="X12901" s="8"/>
    </row>
    <row r="12902" spans="24:24" x14ac:dyDescent="0.35">
      <c r="X12902" s="8"/>
    </row>
    <row r="12903" spans="24:24" x14ac:dyDescent="0.35">
      <c r="X12903" s="8"/>
    </row>
    <row r="12904" spans="24:24" x14ac:dyDescent="0.35">
      <c r="X12904" s="8"/>
    </row>
    <row r="12905" spans="24:24" x14ac:dyDescent="0.35">
      <c r="X12905" s="8"/>
    </row>
    <row r="12906" spans="24:24" x14ac:dyDescent="0.35">
      <c r="X12906" s="8"/>
    </row>
    <row r="12907" spans="24:24" x14ac:dyDescent="0.35">
      <c r="X12907" s="8"/>
    </row>
    <row r="12908" spans="24:24" x14ac:dyDescent="0.35">
      <c r="X12908" s="8"/>
    </row>
    <row r="12909" spans="24:24" x14ac:dyDescent="0.35">
      <c r="X12909" s="8"/>
    </row>
    <row r="12910" spans="24:24" x14ac:dyDescent="0.35">
      <c r="X12910" s="8"/>
    </row>
    <row r="12911" spans="24:24" x14ac:dyDescent="0.35">
      <c r="X12911" s="8"/>
    </row>
    <row r="12912" spans="24:24" x14ac:dyDescent="0.35">
      <c r="X12912" s="8"/>
    </row>
    <row r="12913" spans="24:24" x14ac:dyDescent="0.35">
      <c r="X12913" s="8"/>
    </row>
    <row r="12914" spans="24:24" x14ac:dyDescent="0.35">
      <c r="X12914" s="8"/>
    </row>
    <row r="12915" spans="24:24" x14ac:dyDescent="0.35">
      <c r="X12915" s="8"/>
    </row>
    <row r="12916" spans="24:24" x14ac:dyDescent="0.35">
      <c r="X12916" s="8"/>
    </row>
    <row r="12917" spans="24:24" x14ac:dyDescent="0.35">
      <c r="X12917" s="8"/>
    </row>
    <row r="12918" spans="24:24" x14ac:dyDescent="0.35">
      <c r="X12918" s="8"/>
    </row>
    <row r="12919" spans="24:24" x14ac:dyDescent="0.35">
      <c r="X12919" s="8"/>
    </row>
    <row r="12920" spans="24:24" x14ac:dyDescent="0.35">
      <c r="X12920" s="8"/>
    </row>
    <row r="12921" spans="24:24" x14ac:dyDescent="0.35">
      <c r="X12921" s="8"/>
    </row>
    <row r="12922" spans="24:24" x14ac:dyDescent="0.35">
      <c r="X12922" s="8"/>
    </row>
    <row r="12923" spans="24:24" x14ac:dyDescent="0.35">
      <c r="X12923" s="8"/>
    </row>
    <row r="12924" spans="24:24" x14ac:dyDescent="0.35">
      <c r="X12924" s="8"/>
    </row>
    <row r="12925" spans="24:24" x14ac:dyDescent="0.35">
      <c r="X12925" s="8"/>
    </row>
    <row r="12926" spans="24:24" x14ac:dyDescent="0.35">
      <c r="X12926" s="8"/>
    </row>
    <row r="12927" spans="24:24" x14ac:dyDescent="0.35">
      <c r="X12927" s="8"/>
    </row>
    <row r="12928" spans="24:24" x14ac:dyDescent="0.35">
      <c r="X12928" s="8"/>
    </row>
    <row r="12929" spans="24:24" x14ac:dyDescent="0.35">
      <c r="X12929" s="8"/>
    </row>
    <row r="12930" spans="24:24" x14ac:dyDescent="0.35">
      <c r="X12930" s="8"/>
    </row>
    <row r="12931" spans="24:24" x14ac:dyDescent="0.35">
      <c r="X12931" s="8"/>
    </row>
    <row r="12932" spans="24:24" x14ac:dyDescent="0.35">
      <c r="X12932" s="8"/>
    </row>
    <row r="12933" spans="24:24" x14ac:dyDescent="0.35">
      <c r="X12933" s="8"/>
    </row>
    <row r="12934" spans="24:24" x14ac:dyDescent="0.35">
      <c r="X12934" s="8"/>
    </row>
    <row r="12935" spans="24:24" x14ac:dyDescent="0.35">
      <c r="X12935" s="8"/>
    </row>
    <row r="12936" spans="24:24" x14ac:dyDescent="0.35">
      <c r="X12936" s="8"/>
    </row>
    <row r="12937" spans="24:24" x14ac:dyDescent="0.35">
      <c r="X12937" s="8"/>
    </row>
    <row r="12938" spans="24:24" x14ac:dyDescent="0.35">
      <c r="X12938" s="8"/>
    </row>
    <row r="12939" spans="24:24" x14ac:dyDescent="0.35">
      <c r="X12939" s="8"/>
    </row>
    <row r="12940" spans="24:24" x14ac:dyDescent="0.35">
      <c r="X12940" s="8"/>
    </row>
    <row r="12941" spans="24:24" x14ac:dyDescent="0.35">
      <c r="X12941" s="8"/>
    </row>
    <row r="12942" spans="24:24" x14ac:dyDescent="0.35">
      <c r="X12942" s="8"/>
    </row>
    <row r="12943" spans="24:24" x14ac:dyDescent="0.35">
      <c r="X12943" s="8"/>
    </row>
    <row r="12944" spans="24:24" x14ac:dyDescent="0.35">
      <c r="X12944" s="8"/>
    </row>
    <row r="12945" spans="24:24" x14ac:dyDescent="0.35">
      <c r="X12945" s="8"/>
    </row>
    <row r="12946" spans="24:24" x14ac:dyDescent="0.35">
      <c r="X12946" s="8"/>
    </row>
    <row r="12947" spans="24:24" x14ac:dyDescent="0.35">
      <c r="X12947" s="8"/>
    </row>
    <row r="12948" spans="24:24" x14ac:dyDescent="0.35">
      <c r="X12948" s="8"/>
    </row>
    <row r="12949" spans="24:24" x14ac:dyDescent="0.35">
      <c r="X12949" s="8"/>
    </row>
    <row r="12950" spans="24:24" x14ac:dyDescent="0.35">
      <c r="X12950" s="8"/>
    </row>
    <row r="12951" spans="24:24" x14ac:dyDescent="0.35">
      <c r="X12951" s="8"/>
    </row>
    <row r="12952" spans="24:24" x14ac:dyDescent="0.35">
      <c r="X12952" s="8"/>
    </row>
    <row r="12953" spans="24:24" x14ac:dyDescent="0.35">
      <c r="X12953" s="8"/>
    </row>
    <row r="12954" spans="24:24" x14ac:dyDescent="0.35">
      <c r="X12954" s="8"/>
    </row>
    <row r="12955" spans="24:24" x14ac:dyDescent="0.35">
      <c r="X12955" s="8"/>
    </row>
    <row r="12956" spans="24:24" x14ac:dyDescent="0.35">
      <c r="X12956" s="8"/>
    </row>
    <row r="12957" spans="24:24" x14ac:dyDescent="0.35">
      <c r="X12957" s="8"/>
    </row>
    <row r="12958" spans="24:24" x14ac:dyDescent="0.35">
      <c r="X12958" s="8"/>
    </row>
    <row r="12959" spans="24:24" x14ac:dyDescent="0.35">
      <c r="X12959" s="8"/>
    </row>
    <row r="12960" spans="24:24" x14ac:dyDescent="0.35">
      <c r="X12960" s="8"/>
    </row>
    <row r="12961" spans="24:24" x14ac:dyDescent="0.35">
      <c r="X12961" s="8"/>
    </row>
    <row r="12962" spans="24:24" x14ac:dyDescent="0.35">
      <c r="X12962" s="8"/>
    </row>
    <row r="12963" spans="24:24" x14ac:dyDescent="0.35">
      <c r="X12963" s="8"/>
    </row>
    <row r="12964" spans="24:24" x14ac:dyDescent="0.35">
      <c r="X12964" s="8"/>
    </row>
    <row r="12965" spans="24:24" x14ac:dyDescent="0.35">
      <c r="X12965" s="8"/>
    </row>
    <row r="12966" spans="24:24" x14ac:dyDescent="0.35">
      <c r="X12966" s="8"/>
    </row>
    <row r="12967" spans="24:24" x14ac:dyDescent="0.35">
      <c r="X12967" s="8"/>
    </row>
    <row r="12968" spans="24:24" x14ac:dyDescent="0.35">
      <c r="X12968" s="8"/>
    </row>
    <row r="12969" spans="24:24" x14ac:dyDescent="0.35">
      <c r="X12969" s="8"/>
    </row>
    <row r="12970" spans="24:24" x14ac:dyDescent="0.35">
      <c r="X12970" s="8"/>
    </row>
    <row r="12971" spans="24:24" x14ac:dyDescent="0.35">
      <c r="X12971" s="8"/>
    </row>
    <row r="12972" spans="24:24" x14ac:dyDescent="0.35">
      <c r="X12972" s="8"/>
    </row>
    <row r="12973" spans="24:24" x14ac:dyDescent="0.35">
      <c r="X12973" s="8"/>
    </row>
    <row r="12974" spans="24:24" x14ac:dyDescent="0.35">
      <c r="X12974" s="8"/>
    </row>
    <row r="12975" spans="24:24" x14ac:dyDescent="0.35">
      <c r="X12975" s="8"/>
    </row>
    <row r="12976" spans="24:24" x14ac:dyDescent="0.35">
      <c r="X12976" s="8"/>
    </row>
    <row r="12977" spans="24:24" x14ac:dyDescent="0.35">
      <c r="X12977" s="8"/>
    </row>
    <row r="12978" spans="24:24" x14ac:dyDescent="0.35">
      <c r="X12978" s="8"/>
    </row>
    <row r="12979" spans="24:24" x14ac:dyDescent="0.35">
      <c r="X12979" s="8"/>
    </row>
    <row r="12980" spans="24:24" x14ac:dyDescent="0.35">
      <c r="X12980" s="8"/>
    </row>
    <row r="12981" spans="24:24" x14ac:dyDescent="0.35">
      <c r="X12981" s="8"/>
    </row>
    <row r="12982" spans="24:24" x14ac:dyDescent="0.35">
      <c r="X12982" s="8"/>
    </row>
    <row r="12983" spans="24:24" x14ac:dyDescent="0.35">
      <c r="X12983" s="8"/>
    </row>
    <row r="12984" spans="24:24" x14ac:dyDescent="0.35">
      <c r="X12984" s="8"/>
    </row>
    <row r="12985" spans="24:24" x14ac:dyDescent="0.35">
      <c r="X12985" s="8"/>
    </row>
    <row r="12986" spans="24:24" x14ac:dyDescent="0.35">
      <c r="X12986" s="8"/>
    </row>
    <row r="12987" spans="24:24" x14ac:dyDescent="0.35">
      <c r="X12987" s="8"/>
    </row>
    <row r="12988" spans="24:24" x14ac:dyDescent="0.35">
      <c r="X12988" s="8"/>
    </row>
    <row r="12989" spans="24:24" x14ac:dyDescent="0.35">
      <c r="X12989" s="8"/>
    </row>
    <row r="12990" spans="24:24" x14ac:dyDescent="0.35">
      <c r="X12990" s="8"/>
    </row>
    <row r="12991" spans="24:24" x14ac:dyDescent="0.35">
      <c r="X12991" s="8"/>
    </row>
    <row r="12992" spans="24:24" x14ac:dyDescent="0.35">
      <c r="X12992" s="8"/>
    </row>
    <row r="12993" spans="24:24" x14ac:dyDescent="0.35">
      <c r="X12993" s="8"/>
    </row>
    <row r="12994" spans="24:24" x14ac:dyDescent="0.35">
      <c r="X12994" s="8"/>
    </row>
    <row r="12995" spans="24:24" x14ac:dyDescent="0.35">
      <c r="X12995" s="8"/>
    </row>
    <row r="12996" spans="24:24" x14ac:dyDescent="0.35">
      <c r="X12996" s="8"/>
    </row>
    <row r="12997" spans="24:24" x14ac:dyDescent="0.35">
      <c r="X12997" s="8"/>
    </row>
    <row r="12998" spans="24:24" x14ac:dyDescent="0.35">
      <c r="X12998" s="8"/>
    </row>
    <row r="12999" spans="24:24" x14ac:dyDescent="0.35">
      <c r="X12999" s="8"/>
    </row>
    <row r="13000" spans="24:24" x14ac:dyDescent="0.35">
      <c r="X13000" s="8"/>
    </row>
    <row r="13001" spans="24:24" x14ac:dyDescent="0.35">
      <c r="X13001" s="8"/>
    </row>
    <row r="13002" spans="24:24" x14ac:dyDescent="0.35">
      <c r="X13002" s="8"/>
    </row>
    <row r="13003" spans="24:24" x14ac:dyDescent="0.35">
      <c r="X13003" s="8"/>
    </row>
    <row r="13004" spans="24:24" x14ac:dyDescent="0.35">
      <c r="X13004" s="8"/>
    </row>
    <row r="13005" spans="24:24" x14ac:dyDescent="0.35">
      <c r="X13005" s="8"/>
    </row>
    <row r="13006" spans="24:24" x14ac:dyDescent="0.35">
      <c r="X13006" s="8"/>
    </row>
    <row r="13007" spans="24:24" x14ac:dyDescent="0.35">
      <c r="X13007" s="8"/>
    </row>
    <row r="13008" spans="24:24" x14ac:dyDescent="0.35">
      <c r="X13008" s="8"/>
    </row>
    <row r="13009" spans="24:24" x14ac:dyDescent="0.35">
      <c r="X13009" s="8"/>
    </row>
    <row r="13010" spans="24:24" x14ac:dyDescent="0.35">
      <c r="X13010" s="8"/>
    </row>
    <row r="13011" spans="24:24" x14ac:dyDescent="0.35">
      <c r="X13011" s="8"/>
    </row>
    <row r="13012" spans="24:24" x14ac:dyDescent="0.35">
      <c r="X13012" s="8"/>
    </row>
    <row r="13013" spans="24:24" x14ac:dyDescent="0.35">
      <c r="X13013" s="8"/>
    </row>
    <row r="13014" spans="24:24" x14ac:dyDescent="0.35">
      <c r="X13014" s="8"/>
    </row>
    <row r="13015" spans="24:24" x14ac:dyDescent="0.35">
      <c r="X13015" s="8"/>
    </row>
    <row r="13016" spans="24:24" x14ac:dyDescent="0.35">
      <c r="X13016" s="8"/>
    </row>
    <row r="13017" spans="24:24" x14ac:dyDescent="0.35">
      <c r="X13017" s="8"/>
    </row>
    <row r="13018" spans="24:24" x14ac:dyDescent="0.35">
      <c r="X13018" s="8"/>
    </row>
    <row r="13019" spans="24:24" x14ac:dyDescent="0.35">
      <c r="X13019" s="8"/>
    </row>
    <row r="13020" spans="24:24" x14ac:dyDescent="0.35">
      <c r="X13020" s="8"/>
    </row>
    <row r="13021" spans="24:24" x14ac:dyDescent="0.35">
      <c r="X13021" s="8"/>
    </row>
    <row r="13022" spans="24:24" x14ac:dyDescent="0.35">
      <c r="X13022" s="8"/>
    </row>
    <row r="13023" spans="24:24" x14ac:dyDescent="0.35">
      <c r="X13023" s="8"/>
    </row>
    <row r="13024" spans="24:24" x14ac:dyDescent="0.35">
      <c r="X13024" s="8"/>
    </row>
    <row r="13025" spans="24:24" x14ac:dyDescent="0.35">
      <c r="X13025" s="8"/>
    </row>
    <row r="13026" spans="24:24" x14ac:dyDescent="0.35">
      <c r="X13026" s="8"/>
    </row>
    <row r="13027" spans="24:24" x14ac:dyDescent="0.35">
      <c r="X13027" s="8"/>
    </row>
    <row r="13028" spans="24:24" x14ac:dyDescent="0.35">
      <c r="X13028" s="8"/>
    </row>
    <row r="13029" spans="24:24" x14ac:dyDescent="0.35">
      <c r="X13029" s="8"/>
    </row>
    <row r="13030" spans="24:24" x14ac:dyDescent="0.35">
      <c r="X13030" s="8"/>
    </row>
    <row r="13031" spans="24:24" x14ac:dyDescent="0.35">
      <c r="X13031" s="8"/>
    </row>
    <row r="13032" spans="24:24" x14ac:dyDescent="0.35">
      <c r="X13032" s="8"/>
    </row>
    <row r="13033" spans="24:24" x14ac:dyDescent="0.35">
      <c r="X13033" s="8"/>
    </row>
    <row r="13034" spans="24:24" x14ac:dyDescent="0.35">
      <c r="X13034" s="8"/>
    </row>
    <row r="13035" spans="24:24" x14ac:dyDescent="0.35">
      <c r="X13035" s="8"/>
    </row>
    <row r="13036" spans="24:24" x14ac:dyDescent="0.35">
      <c r="X13036" s="8"/>
    </row>
    <row r="13037" spans="24:24" x14ac:dyDescent="0.35">
      <c r="X13037" s="8"/>
    </row>
    <row r="13038" spans="24:24" x14ac:dyDescent="0.35">
      <c r="X13038" s="8"/>
    </row>
    <row r="13039" spans="24:24" x14ac:dyDescent="0.35">
      <c r="X13039" s="8"/>
    </row>
    <row r="13040" spans="24:24" x14ac:dyDescent="0.35">
      <c r="X13040" s="8"/>
    </row>
    <row r="13041" spans="24:24" x14ac:dyDescent="0.35">
      <c r="X13041" s="8"/>
    </row>
    <row r="13042" spans="24:24" x14ac:dyDescent="0.35">
      <c r="X13042" s="8"/>
    </row>
    <row r="13043" spans="24:24" x14ac:dyDescent="0.35">
      <c r="X13043" s="8"/>
    </row>
    <row r="13044" spans="24:24" x14ac:dyDescent="0.35">
      <c r="X13044" s="8"/>
    </row>
    <row r="13045" spans="24:24" x14ac:dyDescent="0.35">
      <c r="X13045" s="8"/>
    </row>
    <row r="13046" spans="24:24" x14ac:dyDescent="0.35">
      <c r="X13046" s="8"/>
    </row>
    <row r="13047" spans="24:24" x14ac:dyDescent="0.35">
      <c r="X13047" s="8"/>
    </row>
    <row r="13048" spans="24:24" x14ac:dyDescent="0.35">
      <c r="X13048" s="8"/>
    </row>
    <row r="13049" spans="24:24" x14ac:dyDescent="0.35">
      <c r="X13049" s="8"/>
    </row>
    <row r="13050" spans="24:24" x14ac:dyDescent="0.35">
      <c r="X13050" s="8"/>
    </row>
    <row r="13051" spans="24:24" x14ac:dyDescent="0.35">
      <c r="X13051" s="8"/>
    </row>
    <row r="13052" spans="24:24" x14ac:dyDescent="0.35">
      <c r="X13052" s="8"/>
    </row>
    <row r="13053" spans="24:24" x14ac:dyDescent="0.35">
      <c r="X13053" s="8"/>
    </row>
    <row r="13054" spans="24:24" x14ac:dyDescent="0.35">
      <c r="X13054" s="8"/>
    </row>
    <row r="13055" spans="24:24" x14ac:dyDescent="0.35">
      <c r="X13055" s="8"/>
    </row>
    <row r="13056" spans="24:24" x14ac:dyDescent="0.35">
      <c r="X13056" s="8"/>
    </row>
    <row r="13057" spans="24:24" x14ac:dyDescent="0.35">
      <c r="X13057" s="8"/>
    </row>
    <row r="13058" spans="24:24" x14ac:dyDescent="0.35">
      <c r="X13058" s="8"/>
    </row>
    <row r="13059" spans="24:24" x14ac:dyDescent="0.35">
      <c r="X13059" s="8"/>
    </row>
    <row r="13060" spans="24:24" x14ac:dyDescent="0.35">
      <c r="X13060" s="8"/>
    </row>
    <row r="13061" spans="24:24" x14ac:dyDescent="0.35">
      <c r="X13061" s="8"/>
    </row>
    <row r="13062" spans="24:24" x14ac:dyDescent="0.35">
      <c r="X13062" s="8"/>
    </row>
    <row r="13063" spans="24:24" x14ac:dyDescent="0.35">
      <c r="X13063" s="8"/>
    </row>
    <row r="13064" spans="24:24" x14ac:dyDescent="0.35">
      <c r="X13064" s="8"/>
    </row>
    <row r="13065" spans="24:24" x14ac:dyDescent="0.35">
      <c r="X13065" s="8"/>
    </row>
    <row r="13066" spans="24:24" x14ac:dyDescent="0.35">
      <c r="X13066" s="8"/>
    </row>
    <row r="13067" spans="24:24" x14ac:dyDescent="0.35">
      <c r="X13067" s="8"/>
    </row>
    <row r="13068" spans="24:24" x14ac:dyDescent="0.35">
      <c r="X13068" s="8"/>
    </row>
    <row r="13069" spans="24:24" x14ac:dyDescent="0.35">
      <c r="X13069" s="8"/>
    </row>
    <row r="13070" spans="24:24" x14ac:dyDescent="0.35">
      <c r="X13070" s="8"/>
    </row>
    <row r="13071" spans="24:24" x14ac:dyDescent="0.35">
      <c r="X13071" s="8"/>
    </row>
    <row r="13072" spans="24:24" x14ac:dyDescent="0.35">
      <c r="X13072" s="8"/>
    </row>
    <row r="13073" spans="24:24" x14ac:dyDescent="0.35">
      <c r="X13073" s="8"/>
    </row>
    <row r="13074" spans="24:24" x14ac:dyDescent="0.35">
      <c r="X13074" s="8"/>
    </row>
    <row r="13075" spans="24:24" x14ac:dyDescent="0.35">
      <c r="X13075" s="8"/>
    </row>
    <row r="13076" spans="24:24" x14ac:dyDescent="0.35">
      <c r="X13076" s="8"/>
    </row>
    <row r="13077" spans="24:24" x14ac:dyDescent="0.35">
      <c r="X13077" s="8"/>
    </row>
    <row r="13078" spans="24:24" x14ac:dyDescent="0.35">
      <c r="X13078" s="8"/>
    </row>
    <row r="13079" spans="24:24" x14ac:dyDescent="0.35">
      <c r="X13079" s="8"/>
    </row>
    <row r="13080" spans="24:24" x14ac:dyDescent="0.35">
      <c r="X13080" s="8"/>
    </row>
    <row r="13081" spans="24:24" x14ac:dyDescent="0.35">
      <c r="X13081" s="8"/>
    </row>
    <row r="13082" spans="24:24" x14ac:dyDescent="0.35">
      <c r="X13082" s="8"/>
    </row>
    <row r="13083" spans="24:24" x14ac:dyDescent="0.35">
      <c r="X13083" s="8"/>
    </row>
    <row r="13084" spans="24:24" x14ac:dyDescent="0.35">
      <c r="X13084" s="8"/>
    </row>
    <row r="13085" spans="24:24" x14ac:dyDescent="0.35">
      <c r="X13085" s="8"/>
    </row>
    <row r="13086" spans="24:24" x14ac:dyDescent="0.35">
      <c r="X13086" s="8"/>
    </row>
    <row r="13087" spans="24:24" x14ac:dyDescent="0.35">
      <c r="X13087" s="8"/>
    </row>
    <row r="13088" spans="24:24" x14ac:dyDescent="0.35">
      <c r="X13088" s="8"/>
    </row>
    <row r="13089" spans="24:24" x14ac:dyDescent="0.35">
      <c r="X13089" s="8"/>
    </row>
    <row r="13090" spans="24:24" x14ac:dyDescent="0.35">
      <c r="X13090" s="8"/>
    </row>
    <row r="13091" spans="24:24" x14ac:dyDescent="0.35">
      <c r="X13091" s="8"/>
    </row>
    <row r="13092" spans="24:24" x14ac:dyDescent="0.35">
      <c r="X13092" s="8"/>
    </row>
    <row r="13093" spans="24:24" x14ac:dyDescent="0.35">
      <c r="X13093" s="8"/>
    </row>
    <row r="13094" spans="24:24" x14ac:dyDescent="0.35">
      <c r="X13094" s="8"/>
    </row>
    <row r="13095" spans="24:24" x14ac:dyDescent="0.35">
      <c r="X13095" s="8"/>
    </row>
    <row r="13096" spans="24:24" x14ac:dyDescent="0.35">
      <c r="X13096" s="8"/>
    </row>
    <row r="13097" spans="24:24" x14ac:dyDescent="0.35">
      <c r="X13097" s="8"/>
    </row>
    <row r="13098" spans="24:24" x14ac:dyDescent="0.35">
      <c r="X13098" s="8"/>
    </row>
    <row r="13099" spans="24:24" x14ac:dyDescent="0.35">
      <c r="X13099" s="8"/>
    </row>
    <row r="13100" spans="24:24" x14ac:dyDescent="0.35">
      <c r="X13100" s="8"/>
    </row>
    <row r="13101" spans="24:24" x14ac:dyDescent="0.35">
      <c r="X13101" s="8"/>
    </row>
    <row r="13102" spans="24:24" x14ac:dyDescent="0.35">
      <c r="X13102" s="8"/>
    </row>
    <row r="13103" spans="24:24" x14ac:dyDescent="0.35">
      <c r="X13103" s="8"/>
    </row>
    <row r="13104" spans="24:24" x14ac:dyDescent="0.35">
      <c r="X13104" s="8"/>
    </row>
    <row r="13105" spans="24:24" x14ac:dyDescent="0.35">
      <c r="X13105" s="8"/>
    </row>
    <row r="13106" spans="24:24" x14ac:dyDescent="0.35">
      <c r="X13106" s="8"/>
    </row>
    <row r="13107" spans="24:24" x14ac:dyDescent="0.35">
      <c r="X13107" s="8"/>
    </row>
    <row r="13108" spans="24:24" x14ac:dyDescent="0.35">
      <c r="X13108" s="8"/>
    </row>
    <row r="13109" spans="24:24" x14ac:dyDescent="0.35">
      <c r="X13109" s="8"/>
    </row>
    <row r="13110" spans="24:24" x14ac:dyDescent="0.35">
      <c r="X13110" s="8"/>
    </row>
    <row r="13111" spans="24:24" x14ac:dyDescent="0.35">
      <c r="X13111" s="8"/>
    </row>
    <row r="13112" spans="24:24" x14ac:dyDescent="0.35">
      <c r="X13112" s="8"/>
    </row>
    <row r="13113" spans="24:24" x14ac:dyDescent="0.35">
      <c r="X13113" s="8"/>
    </row>
    <row r="13114" spans="24:24" x14ac:dyDescent="0.35">
      <c r="X13114" s="8"/>
    </row>
    <row r="13115" spans="24:24" x14ac:dyDescent="0.35">
      <c r="X13115" s="8"/>
    </row>
    <row r="13116" spans="24:24" x14ac:dyDescent="0.35">
      <c r="X13116" s="8"/>
    </row>
    <row r="13117" spans="24:24" x14ac:dyDescent="0.35">
      <c r="X13117" s="8"/>
    </row>
    <row r="13118" spans="24:24" x14ac:dyDescent="0.35">
      <c r="X13118" s="8"/>
    </row>
    <row r="13119" spans="24:24" x14ac:dyDescent="0.35">
      <c r="X13119" s="8"/>
    </row>
    <row r="13120" spans="24:24" x14ac:dyDescent="0.35">
      <c r="X13120" s="8"/>
    </row>
    <row r="13121" spans="24:24" x14ac:dyDescent="0.35">
      <c r="X13121" s="8"/>
    </row>
    <row r="13122" spans="24:24" x14ac:dyDescent="0.35">
      <c r="X13122" s="8"/>
    </row>
    <row r="13123" spans="24:24" x14ac:dyDescent="0.35">
      <c r="X13123" s="8"/>
    </row>
    <row r="13124" spans="24:24" x14ac:dyDescent="0.35">
      <c r="X13124" s="8"/>
    </row>
    <row r="13125" spans="24:24" x14ac:dyDescent="0.35">
      <c r="X13125" s="8"/>
    </row>
    <row r="13126" spans="24:24" x14ac:dyDescent="0.35">
      <c r="X13126" s="8"/>
    </row>
    <row r="13127" spans="24:24" x14ac:dyDescent="0.35">
      <c r="X13127" s="8"/>
    </row>
    <row r="13128" spans="24:24" x14ac:dyDescent="0.35">
      <c r="X13128" s="8"/>
    </row>
    <row r="13129" spans="24:24" x14ac:dyDescent="0.35">
      <c r="X13129" s="8"/>
    </row>
    <row r="13130" spans="24:24" x14ac:dyDescent="0.35">
      <c r="X13130" s="8"/>
    </row>
    <row r="13131" spans="24:24" x14ac:dyDescent="0.35">
      <c r="X13131" s="8"/>
    </row>
    <row r="13132" spans="24:24" x14ac:dyDescent="0.35">
      <c r="X13132" s="8"/>
    </row>
    <row r="13133" spans="24:24" x14ac:dyDescent="0.35">
      <c r="X13133" s="8"/>
    </row>
    <row r="13134" spans="24:24" x14ac:dyDescent="0.35">
      <c r="X13134" s="8"/>
    </row>
    <row r="13135" spans="24:24" x14ac:dyDescent="0.35">
      <c r="X13135" s="8"/>
    </row>
    <row r="13136" spans="24:24" x14ac:dyDescent="0.35">
      <c r="X13136" s="8"/>
    </row>
    <row r="13137" spans="24:24" x14ac:dyDescent="0.35">
      <c r="X13137" s="8"/>
    </row>
    <row r="13138" spans="24:24" x14ac:dyDescent="0.35">
      <c r="X13138" s="8"/>
    </row>
    <row r="13139" spans="24:24" x14ac:dyDescent="0.35">
      <c r="X13139" s="8"/>
    </row>
    <row r="13140" spans="24:24" x14ac:dyDescent="0.35">
      <c r="X13140" s="8"/>
    </row>
    <row r="13141" spans="24:24" x14ac:dyDescent="0.35">
      <c r="X13141" s="8"/>
    </row>
    <row r="13142" spans="24:24" x14ac:dyDescent="0.35">
      <c r="X13142" s="8"/>
    </row>
    <row r="13143" spans="24:24" x14ac:dyDescent="0.35">
      <c r="X13143" s="8"/>
    </row>
    <row r="13144" spans="24:24" x14ac:dyDescent="0.35">
      <c r="X13144" s="8"/>
    </row>
    <row r="13145" spans="24:24" x14ac:dyDescent="0.35">
      <c r="X13145" s="8"/>
    </row>
    <row r="13146" spans="24:24" x14ac:dyDescent="0.35">
      <c r="X13146" s="8"/>
    </row>
    <row r="13147" spans="24:24" x14ac:dyDescent="0.35">
      <c r="X13147" s="8"/>
    </row>
    <row r="13148" spans="24:24" x14ac:dyDescent="0.35">
      <c r="X13148" s="8"/>
    </row>
    <row r="13149" spans="24:24" x14ac:dyDescent="0.35">
      <c r="X13149" s="8"/>
    </row>
    <row r="13150" spans="24:24" x14ac:dyDescent="0.35">
      <c r="X13150" s="8"/>
    </row>
    <row r="13151" spans="24:24" x14ac:dyDescent="0.35">
      <c r="X13151" s="8"/>
    </row>
    <row r="13152" spans="24:24" x14ac:dyDescent="0.35">
      <c r="X13152" s="8"/>
    </row>
    <row r="13153" spans="24:24" x14ac:dyDescent="0.35">
      <c r="X13153" s="8"/>
    </row>
    <row r="13154" spans="24:24" x14ac:dyDescent="0.35">
      <c r="X13154" s="8"/>
    </row>
    <row r="13155" spans="24:24" x14ac:dyDescent="0.35">
      <c r="X13155" s="8"/>
    </row>
    <row r="13156" spans="24:24" x14ac:dyDescent="0.35">
      <c r="X13156" s="8"/>
    </row>
    <row r="13157" spans="24:24" x14ac:dyDescent="0.35">
      <c r="X13157" s="8"/>
    </row>
    <row r="13158" spans="24:24" x14ac:dyDescent="0.35">
      <c r="X13158" s="8"/>
    </row>
    <row r="13159" spans="24:24" x14ac:dyDescent="0.35">
      <c r="X13159" s="8"/>
    </row>
    <row r="13160" spans="24:24" x14ac:dyDescent="0.35">
      <c r="X13160" s="8"/>
    </row>
    <row r="13161" spans="24:24" x14ac:dyDescent="0.35">
      <c r="X13161" s="8"/>
    </row>
    <row r="13162" spans="24:24" x14ac:dyDescent="0.35">
      <c r="X13162" s="8"/>
    </row>
    <row r="13163" spans="24:24" x14ac:dyDescent="0.35">
      <c r="X13163" s="8"/>
    </row>
    <row r="13164" spans="24:24" x14ac:dyDescent="0.35">
      <c r="X13164" s="8"/>
    </row>
    <row r="13165" spans="24:24" x14ac:dyDescent="0.35">
      <c r="X13165" s="8"/>
    </row>
    <row r="13166" spans="24:24" x14ac:dyDescent="0.35">
      <c r="X13166" s="8"/>
    </row>
    <row r="13167" spans="24:24" x14ac:dyDescent="0.35">
      <c r="X13167" s="8"/>
    </row>
    <row r="13168" spans="24:24" x14ac:dyDescent="0.35">
      <c r="X13168" s="8"/>
    </row>
    <row r="13169" spans="24:24" x14ac:dyDescent="0.35">
      <c r="X13169" s="8"/>
    </row>
    <row r="13170" spans="24:24" x14ac:dyDescent="0.35">
      <c r="X13170" s="8"/>
    </row>
    <row r="13171" spans="24:24" x14ac:dyDescent="0.35">
      <c r="X13171" s="8"/>
    </row>
    <row r="13172" spans="24:24" x14ac:dyDescent="0.35">
      <c r="X13172" s="8"/>
    </row>
    <row r="13173" spans="24:24" x14ac:dyDescent="0.35">
      <c r="X13173" s="8"/>
    </row>
    <row r="13174" spans="24:24" x14ac:dyDescent="0.35">
      <c r="X13174" s="8"/>
    </row>
    <row r="13175" spans="24:24" x14ac:dyDescent="0.35">
      <c r="X13175" s="8"/>
    </row>
    <row r="13176" spans="24:24" x14ac:dyDescent="0.35">
      <c r="X13176" s="8"/>
    </row>
    <row r="13177" spans="24:24" x14ac:dyDescent="0.35">
      <c r="X13177" s="8"/>
    </row>
    <row r="13178" spans="24:24" x14ac:dyDescent="0.35">
      <c r="X13178" s="8"/>
    </row>
    <row r="13179" spans="24:24" x14ac:dyDescent="0.35">
      <c r="X13179" s="8"/>
    </row>
    <row r="13180" spans="24:24" x14ac:dyDescent="0.35">
      <c r="X13180" s="8"/>
    </row>
    <row r="13181" spans="24:24" x14ac:dyDescent="0.35">
      <c r="X13181" s="8"/>
    </row>
    <row r="13182" spans="24:24" x14ac:dyDescent="0.35">
      <c r="X13182" s="8"/>
    </row>
    <row r="13183" spans="24:24" x14ac:dyDescent="0.35">
      <c r="X13183" s="8"/>
    </row>
    <row r="13184" spans="24:24" x14ac:dyDescent="0.35">
      <c r="X13184" s="8"/>
    </row>
    <row r="13185" spans="24:24" x14ac:dyDescent="0.35">
      <c r="X13185" s="8"/>
    </row>
    <row r="13186" spans="24:24" x14ac:dyDescent="0.35">
      <c r="X13186" s="8"/>
    </row>
    <row r="13187" spans="24:24" x14ac:dyDescent="0.35">
      <c r="X13187" s="8"/>
    </row>
    <row r="13188" spans="24:24" x14ac:dyDescent="0.35">
      <c r="X13188" s="8"/>
    </row>
    <row r="13189" spans="24:24" x14ac:dyDescent="0.35">
      <c r="X13189" s="8"/>
    </row>
    <row r="13190" spans="24:24" x14ac:dyDescent="0.35">
      <c r="X13190" s="8"/>
    </row>
    <row r="13191" spans="24:24" x14ac:dyDescent="0.35">
      <c r="X13191" s="8"/>
    </row>
    <row r="13192" spans="24:24" x14ac:dyDescent="0.35">
      <c r="X13192" s="8"/>
    </row>
    <row r="13193" spans="24:24" x14ac:dyDescent="0.35">
      <c r="X13193" s="8"/>
    </row>
    <row r="13194" spans="24:24" x14ac:dyDescent="0.35">
      <c r="X13194" s="8"/>
    </row>
    <row r="13195" spans="24:24" x14ac:dyDescent="0.35">
      <c r="X13195" s="8"/>
    </row>
    <row r="13196" spans="24:24" x14ac:dyDescent="0.35">
      <c r="X13196" s="8"/>
    </row>
    <row r="13197" spans="24:24" x14ac:dyDescent="0.35">
      <c r="X13197" s="8"/>
    </row>
    <row r="13198" spans="24:24" x14ac:dyDescent="0.35">
      <c r="X13198" s="8"/>
    </row>
    <row r="13199" spans="24:24" x14ac:dyDescent="0.35">
      <c r="X13199" s="8"/>
    </row>
    <row r="13200" spans="24:24" x14ac:dyDescent="0.35">
      <c r="X13200" s="8"/>
    </row>
    <row r="13201" spans="24:24" x14ac:dyDescent="0.35">
      <c r="X13201" s="8"/>
    </row>
    <row r="13202" spans="24:24" x14ac:dyDescent="0.35">
      <c r="X13202" s="8"/>
    </row>
    <row r="13203" spans="24:24" x14ac:dyDescent="0.35">
      <c r="X13203" s="8"/>
    </row>
    <row r="13204" spans="24:24" x14ac:dyDescent="0.35">
      <c r="X13204" s="8"/>
    </row>
    <row r="13205" spans="24:24" x14ac:dyDescent="0.35">
      <c r="X13205" s="8"/>
    </row>
    <row r="13206" spans="24:24" x14ac:dyDescent="0.35">
      <c r="X13206" s="8"/>
    </row>
    <row r="13207" spans="24:24" x14ac:dyDescent="0.35">
      <c r="X13207" s="8"/>
    </row>
    <row r="13208" spans="24:24" x14ac:dyDescent="0.35">
      <c r="X13208" s="8"/>
    </row>
    <row r="13209" spans="24:24" x14ac:dyDescent="0.35">
      <c r="X13209" s="8"/>
    </row>
    <row r="13210" spans="24:24" x14ac:dyDescent="0.35">
      <c r="X13210" s="8"/>
    </row>
    <row r="13211" spans="24:24" x14ac:dyDescent="0.35">
      <c r="X13211" s="8"/>
    </row>
    <row r="13212" spans="24:24" x14ac:dyDescent="0.35">
      <c r="X13212" s="8"/>
    </row>
    <row r="13213" spans="24:24" x14ac:dyDescent="0.35">
      <c r="X13213" s="8"/>
    </row>
    <row r="13214" spans="24:24" x14ac:dyDescent="0.35">
      <c r="X13214" s="8"/>
    </row>
    <row r="13215" spans="24:24" x14ac:dyDescent="0.35">
      <c r="X13215" s="8"/>
    </row>
    <row r="13216" spans="24:24" x14ac:dyDescent="0.35">
      <c r="X13216" s="8"/>
    </row>
    <row r="13217" spans="24:24" x14ac:dyDescent="0.35">
      <c r="X13217" s="8"/>
    </row>
    <row r="13218" spans="24:24" x14ac:dyDescent="0.35">
      <c r="X13218" s="8"/>
    </row>
    <row r="13219" spans="24:24" x14ac:dyDescent="0.35">
      <c r="X13219" s="8"/>
    </row>
    <row r="13220" spans="24:24" x14ac:dyDescent="0.35">
      <c r="X13220" s="8"/>
    </row>
    <row r="13221" spans="24:24" x14ac:dyDescent="0.35">
      <c r="X13221" s="8"/>
    </row>
    <row r="13222" spans="24:24" x14ac:dyDescent="0.35">
      <c r="X13222" s="8"/>
    </row>
    <row r="13223" spans="24:24" x14ac:dyDescent="0.35">
      <c r="X13223" s="8"/>
    </row>
    <row r="13224" spans="24:24" x14ac:dyDescent="0.35">
      <c r="X13224" s="8"/>
    </row>
    <row r="13225" spans="24:24" x14ac:dyDescent="0.35">
      <c r="X13225" s="8"/>
    </row>
    <row r="13226" spans="24:24" x14ac:dyDescent="0.35">
      <c r="X13226" s="8"/>
    </row>
    <row r="13227" spans="24:24" x14ac:dyDescent="0.35">
      <c r="X13227" s="8"/>
    </row>
    <row r="13228" spans="24:24" x14ac:dyDescent="0.35">
      <c r="X13228" s="8"/>
    </row>
    <row r="13229" spans="24:24" x14ac:dyDescent="0.35">
      <c r="X13229" s="8"/>
    </row>
    <row r="13230" spans="24:24" x14ac:dyDescent="0.35">
      <c r="X13230" s="8"/>
    </row>
    <row r="13231" spans="24:24" x14ac:dyDescent="0.35">
      <c r="X13231" s="8"/>
    </row>
    <row r="13232" spans="24:24" x14ac:dyDescent="0.35">
      <c r="X13232" s="8"/>
    </row>
    <row r="13233" spans="24:24" x14ac:dyDescent="0.35">
      <c r="X13233" s="8"/>
    </row>
    <row r="13234" spans="24:24" x14ac:dyDescent="0.35">
      <c r="X13234" s="8"/>
    </row>
    <row r="13235" spans="24:24" x14ac:dyDescent="0.35">
      <c r="X13235" s="8"/>
    </row>
    <row r="13236" spans="24:24" x14ac:dyDescent="0.35">
      <c r="X13236" s="8"/>
    </row>
    <row r="13237" spans="24:24" x14ac:dyDescent="0.35">
      <c r="X13237" s="8"/>
    </row>
    <row r="13238" spans="24:24" x14ac:dyDescent="0.35">
      <c r="X13238" s="8"/>
    </row>
    <row r="13239" spans="24:24" x14ac:dyDescent="0.35">
      <c r="X13239" s="8"/>
    </row>
    <row r="13240" spans="24:24" x14ac:dyDescent="0.35">
      <c r="X13240" s="8"/>
    </row>
    <row r="13241" spans="24:24" x14ac:dyDescent="0.35">
      <c r="X13241" s="8"/>
    </row>
    <row r="13242" spans="24:24" x14ac:dyDescent="0.35">
      <c r="X13242" s="8"/>
    </row>
    <row r="13243" spans="24:24" x14ac:dyDescent="0.35">
      <c r="X13243" s="8"/>
    </row>
    <row r="13244" spans="24:24" x14ac:dyDescent="0.35">
      <c r="X13244" s="8"/>
    </row>
    <row r="13245" spans="24:24" x14ac:dyDescent="0.35">
      <c r="X13245" s="8"/>
    </row>
    <row r="13246" spans="24:24" x14ac:dyDescent="0.35">
      <c r="X13246" s="8"/>
    </row>
    <row r="13247" spans="24:24" x14ac:dyDescent="0.35">
      <c r="X13247" s="8"/>
    </row>
    <row r="13248" spans="24:24" x14ac:dyDescent="0.35">
      <c r="X13248" s="8"/>
    </row>
    <row r="13249" spans="24:24" x14ac:dyDescent="0.35">
      <c r="X13249" s="8"/>
    </row>
    <row r="13250" spans="24:24" x14ac:dyDescent="0.35">
      <c r="X13250" s="8"/>
    </row>
    <row r="13251" spans="24:24" x14ac:dyDescent="0.35">
      <c r="X13251" s="8"/>
    </row>
    <row r="13252" spans="24:24" x14ac:dyDescent="0.35">
      <c r="X13252" s="8"/>
    </row>
    <row r="13253" spans="24:24" x14ac:dyDescent="0.35">
      <c r="X13253" s="8"/>
    </row>
    <row r="13254" spans="24:24" x14ac:dyDescent="0.35">
      <c r="X13254" s="8"/>
    </row>
    <row r="13255" spans="24:24" x14ac:dyDescent="0.35">
      <c r="X13255" s="8"/>
    </row>
    <row r="13256" spans="24:24" x14ac:dyDescent="0.35">
      <c r="X13256" s="8"/>
    </row>
    <row r="13257" spans="24:24" x14ac:dyDescent="0.35">
      <c r="X13257" s="8"/>
    </row>
    <row r="13258" spans="24:24" x14ac:dyDescent="0.35">
      <c r="X13258" s="8"/>
    </row>
    <row r="13259" spans="24:24" x14ac:dyDescent="0.35">
      <c r="X13259" s="8"/>
    </row>
    <row r="13260" spans="24:24" x14ac:dyDescent="0.35">
      <c r="X13260" s="8"/>
    </row>
    <row r="13261" spans="24:24" x14ac:dyDescent="0.35">
      <c r="X13261" s="8"/>
    </row>
    <row r="13262" spans="24:24" x14ac:dyDescent="0.35">
      <c r="X13262" s="8"/>
    </row>
    <row r="13263" spans="24:24" x14ac:dyDescent="0.35">
      <c r="X13263" s="8"/>
    </row>
    <row r="13264" spans="24:24" x14ac:dyDescent="0.35">
      <c r="X13264" s="8"/>
    </row>
    <row r="13265" spans="24:24" x14ac:dyDescent="0.35">
      <c r="X13265" s="8"/>
    </row>
    <row r="13266" spans="24:24" x14ac:dyDescent="0.35">
      <c r="X13266" s="8"/>
    </row>
    <row r="13267" spans="24:24" x14ac:dyDescent="0.35">
      <c r="X13267" s="8"/>
    </row>
    <row r="13268" spans="24:24" x14ac:dyDescent="0.35">
      <c r="X13268" s="8"/>
    </row>
    <row r="13269" spans="24:24" x14ac:dyDescent="0.35">
      <c r="X13269" s="8"/>
    </row>
    <row r="13270" spans="24:24" x14ac:dyDescent="0.35">
      <c r="X13270" s="8"/>
    </row>
    <row r="13271" spans="24:24" x14ac:dyDescent="0.35">
      <c r="X13271" s="8"/>
    </row>
    <row r="13272" spans="24:24" x14ac:dyDescent="0.35">
      <c r="X13272" s="8"/>
    </row>
    <row r="13273" spans="24:24" x14ac:dyDescent="0.35">
      <c r="X13273" s="8"/>
    </row>
    <row r="13274" spans="24:24" x14ac:dyDescent="0.35">
      <c r="X13274" s="8"/>
    </row>
    <row r="13275" spans="24:24" x14ac:dyDescent="0.35">
      <c r="X13275" s="8"/>
    </row>
    <row r="13276" spans="24:24" x14ac:dyDescent="0.35">
      <c r="X13276" s="8"/>
    </row>
    <row r="13277" spans="24:24" x14ac:dyDescent="0.35">
      <c r="X13277" s="8"/>
    </row>
    <row r="13278" spans="24:24" x14ac:dyDescent="0.35">
      <c r="X13278" s="8"/>
    </row>
    <row r="13279" spans="24:24" x14ac:dyDescent="0.35">
      <c r="X13279" s="8"/>
    </row>
    <row r="13280" spans="24:24" x14ac:dyDescent="0.35">
      <c r="X13280" s="8"/>
    </row>
    <row r="13281" spans="24:24" x14ac:dyDescent="0.35">
      <c r="X13281" s="8"/>
    </row>
    <row r="13282" spans="24:24" x14ac:dyDescent="0.35">
      <c r="X13282" s="8"/>
    </row>
    <row r="13283" spans="24:24" x14ac:dyDescent="0.35">
      <c r="X13283" s="8"/>
    </row>
    <row r="13284" spans="24:24" x14ac:dyDescent="0.35">
      <c r="X13284" s="8"/>
    </row>
    <row r="13285" spans="24:24" x14ac:dyDescent="0.35">
      <c r="X13285" s="8"/>
    </row>
    <row r="13286" spans="24:24" x14ac:dyDescent="0.35">
      <c r="X13286" s="8"/>
    </row>
    <row r="13287" spans="24:24" x14ac:dyDescent="0.35">
      <c r="X13287" s="8"/>
    </row>
    <row r="13288" spans="24:24" x14ac:dyDescent="0.35">
      <c r="X13288" s="8"/>
    </row>
    <row r="13289" spans="24:24" x14ac:dyDescent="0.35">
      <c r="X13289" s="8"/>
    </row>
    <row r="13290" spans="24:24" x14ac:dyDescent="0.35">
      <c r="X13290" s="8"/>
    </row>
    <row r="13291" spans="24:24" x14ac:dyDescent="0.35">
      <c r="X13291" s="8"/>
    </row>
    <row r="13292" spans="24:24" x14ac:dyDescent="0.35">
      <c r="X13292" s="8"/>
    </row>
    <row r="13293" spans="24:24" x14ac:dyDescent="0.35">
      <c r="X13293" s="8"/>
    </row>
    <row r="13294" spans="24:24" x14ac:dyDescent="0.35">
      <c r="X13294" s="8"/>
    </row>
    <row r="13295" spans="24:24" x14ac:dyDescent="0.35">
      <c r="X13295" s="8"/>
    </row>
    <row r="13296" spans="24:24" x14ac:dyDescent="0.35">
      <c r="X13296" s="8"/>
    </row>
    <row r="13297" spans="24:24" x14ac:dyDescent="0.35">
      <c r="X13297" s="8"/>
    </row>
    <row r="13298" spans="24:24" x14ac:dyDescent="0.35">
      <c r="X13298" s="8"/>
    </row>
    <row r="13299" spans="24:24" x14ac:dyDescent="0.35">
      <c r="X13299" s="8"/>
    </row>
    <row r="13300" spans="24:24" x14ac:dyDescent="0.35">
      <c r="X13300" s="8"/>
    </row>
    <row r="13301" spans="24:24" x14ac:dyDescent="0.35">
      <c r="X13301" s="8"/>
    </row>
    <row r="13302" spans="24:24" x14ac:dyDescent="0.35">
      <c r="X13302" s="8"/>
    </row>
    <row r="13303" spans="24:24" x14ac:dyDescent="0.35">
      <c r="X13303" s="8"/>
    </row>
    <row r="13304" spans="24:24" x14ac:dyDescent="0.35">
      <c r="X13304" s="8"/>
    </row>
    <row r="13305" spans="24:24" x14ac:dyDescent="0.35">
      <c r="X13305" s="8"/>
    </row>
    <row r="13306" spans="24:24" x14ac:dyDescent="0.35">
      <c r="X13306" s="8"/>
    </row>
    <row r="13307" spans="24:24" x14ac:dyDescent="0.35">
      <c r="X13307" s="8"/>
    </row>
    <row r="13308" spans="24:24" x14ac:dyDescent="0.35">
      <c r="X13308" s="8"/>
    </row>
    <row r="13309" spans="24:24" x14ac:dyDescent="0.35">
      <c r="X13309" s="8"/>
    </row>
    <row r="13310" spans="24:24" x14ac:dyDescent="0.35">
      <c r="X13310" s="8"/>
    </row>
    <row r="13311" spans="24:24" x14ac:dyDescent="0.35">
      <c r="X13311" s="8"/>
    </row>
    <row r="13312" spans="24:24" x14ac:dyDescent="0.35">
      <c r="X13312" s="8"/>
    </row>
    <row r="13313" spans="24:24" x14ac:dyDescent="0.35">
      <c r="X13313" s="8"/>
    </row>
    <row r="13314" spans="24:24" x14ac:dyDescent="0.35">
      <c r="X13314" s="8"/>
    </row>
    <row r="13315" spans="24:24" x14ac:dyDescent="0.35">
      <c r="X13315" s="8"/>
    </row>
    <row r="13316" spans="24:24" x14ac:dyDescent="0.35">
      <c r="X13316" s="8"/>
    </row>
    <row r="13317" spans="24:24" x14ac:dyDescent="0.35">
      <c r="X13317" s="8"/>
    </row>
    <row r="13318" spans="24:24" x14ac:dyDescent="0.35">
      <c r="X13318" s="8"/>
    </row>
    <row r="13319" spans="24:24" x14ac:dyDescent="0.35">
      <c r="X13319" s="8"/>
    </row>
    <row r="13320" spans="24:24" x14ac:dyDescent="0.35">
      <c r="X13320" s="8"/>
    </row>
    <row r="13321" spans="24:24" x14ac:dyDescent="0.35">
      <c r="X13321" s="8"/>
    </row>
    <row r="13322" spans="24:24" x14ac:dyDescent="0.35">
      <c r="X13322" s="8"/>
    </row>
    <row r="13323" spans="24:24" x14ac:dyDescent="0.35">
      <c r="X13323" s="8"/>
    </row>
    <row r="13324" spans="24:24" x14ac:dyDescent="0.35">
      <c r="X13324" s="8"/>
    </row>
    <row r="13325" spans="24:24" x14ac:dyDescent="0.35">
      <c r="X13325" s="8"/>
    </row>
    <row r="13326" spans="24:24" x14ac:dyDescent="0.35">
      <c r="X13326" s="8"/>
    </row>
    <row r="13327" spans="24:24" x14ac:dyDescent="0.35">
      <c r="X13327" s="8"/>
    </row>
    <row r="13328" spans="24:24" x14ac:dyDescent="0.35">
      <c r="X13328" s="8"/>
    </row>
    <row r="13329" spans="24:24" x14ac:dyDescent="0.35">
      <c r="X13329" s="8"/>
    </row>
    <row r="13330" spans="24:24" x14ac:dyDescent="0.35">
      <c r="X13330" s="8"/>
    </row>
    <row r="13331" spans="24:24" x14ac:dyDescent="0.35">
      <c r="X13331" s="8"/>
    </row>
    <row r="13332" spans="24:24" x14ac:dyDescent="0.35">
      <c r="X13332" s="8"/>
    </row>
    <row r="13333" spans="24:24" x14ac:dyDescent="0.35">
      <c r="X13333" s="8"/>
    </row>
    <row r="13334" spans="24:24" x14ac:dyDescent="0.35">
      <c r="X13334" s="8"/>
    </row>
    <row r="13335" spans="24:24" x14ac:dyDescent="0.35">
      <c r="X13335" s="8"/>
    </row>
    <row r="13336" spans="24:24" x14ac:dyDescent="0.35">
      <c r="X13336" s="8"/>
    </row>
    <row r="13337" spans="24:24" x14ac:dyDescent="0.35">
      <c r="X13337" s="8"/>
    </row>
    <row r="13338" spans="24:24" x14ac:dyDescent="0.35">
      <c r="X13338" s="8"/>
    </row>
    <row r="13339" spans="24:24" x14ac:dyDescent="0.35">
      <c r="X13339" s="8"/>
    </row>
    <row r="13340" spans="24:24" x14ac:dyDescent="0.35">
      <c r="X13340" s="8"/>
    </row>
    <row r="13341" spans="24:24" x14ac:dyDescent="0.35">
      <c r="X13341" s="8"/>
    </row>
    <row r="13342" spans="24:24" x14ac:dyDescent="0.35">
      <c r="X13342" s="8"/>
    </row>
    <row r="13343" spans="24:24" x14ac:dyDescent="0.35">
      <c r="X13343" s="8"/>
    </row>
    <row r="13344" spans="24:24" x14ac:dyDescent="0.35">
      <c r="X13344" s="8"/>
    </row>
    <row r="13345" spans="24:24" x14ac:dyDescent="0.35">
      <c r="X13345" s="8"/>
    </row>
    <row r="13346" spans="24:24" x14ac:dyDescent="0.35">
      <c r="X13346" s="8"/>
    </row>
    <row r="13347" spans="24:24" x14ac:dyDescent="0.35">
      <c r="X13347" s="8"/>
    </row>
    <row r="13348" spans="24:24" x14ac:dyDescent="0.35">
      <c r="X13348" s="8"/>
    </row>
    <row r="13349" spans="24:24" x14ac:dyDescent="0.35">
      <c r="X13349" s="8"/>
    </row>
    <row r="13350" spans="24:24" x14ac:dyDescent="0.35">
      <c r="X13350" s="8"/>
    </row>
    <row r="13351" spans="24:24" x14ac:dyDescent="0.35">
      <c r="X13351" s="8"/>
    </row>
    <row r="13352" spans="24:24" x14ac:dyDescent="0.35">
      <c r="X13352" s="8"/>
    </row>
    <row r="13353" spans="24:24" x14ac:dyDescent="0.35">
      <c r="X13353" s="8"/>
    </row>
    <row r="13354" spans="24:24" x14ac:dyDescent="0.35">
      <c r="X13354" s="8"/>
    </row>
    <row r="13355" spans="24:24" x14ac:dyDescent="0.35">
      <c r="X13355" s="8"/>
    </row>
    <row r="13356" spans="24:24" x14ac:dyDescent="0.35">
      <c r="X13356" s="8"/>
    </row>
    <row r="13357" spans="24:24" x14ac:dyDescent="0.35">
      <c r="X13357" s="8"/>
    </row>
    <row r="13358" spans="24:24" x14ac:dyDescent="0.35">
      <c r="X13358" s="8"/>
    </row>
    <row r="13359" spans="24:24" x14ac:dyDescent="0.35">
      <c r="X13359" s="8"/>
    </row>
    <row r="13360" spans="24:24" x14ac:dyDescent="0.35">
      <c r="X13360" s="8"/>
    </row>
    <row r="13361" spans="24:24" x14ac:dyDescent="0.35">
      <c r="X13361" s="8"/>
    </row>
    <row r="13362" spans="24:24" x14ac:dyDescent="0.35">
      <c r="X13362" s="8"/>
    </row>
    <row r="13363" spans="24:24" x14ac:dyDescent="0.35">
      <c r="X13363" s="8"/>
    </row>
    <row r="13364" spans="24:24" x14ac:dyDescent="0.35">
      <c r="X13364" s="8"/>
    </row>
    <row r="13365" spans="24:24" x14ac:dyDescent="0.35">
      <c r="X13365" s="8"/>
    </row>
    <row r="13366" spans="24:24" x14ac:dyDescent="0.35">
      <c r="X13366" s="8"/>
    </row>
    <row r="13367" spans="24:24" x14ac:dyDescent="0.35">
      <c r="X13367" s="8"/>
    </row>
    <row r="13368" spans="24:24" x14ac:dyDescent="0.35">
      <c r="X13368" s="8"/>
    </row>
    <row r="13369" spans="24:24" x14ac:dyDescent="0.35">
      <c r="X13369" s="8"/>
    </row>
    <row r="13370" spans="24:24" x14ac:dyDescent="0.35">
      <c r="X13370" s="8"/>
    </row>
    <row r="13371" spans="24:24" x14ac:dyDescent="0.35">
      <c r="X13371" s="8"/>
    </row>
    <row r="13372" spans="24:24" x14ac:dyDescent="0.35">
      <c r="X13372" s="8"/>
    </row>
    <row r="13373" spans="24:24" x14ac:dyDescent="0.35">
      <c r="X13373" s="8"/>
    </row>
    <row r="13374" spans="24:24" x14ac:dyDescent="0.35">
      <c r="X13374" s="8"/>
    </row>
    <row r="13375" spans="24:24" x14ac:dyDescent="0.35">
      <c r="X13375" s="8"/>
    </row>
    <row r="13376" spans="24:24" x14ac:dyDescent="0.35">
      <c r="X13376" s="8"/>
    </row>
    <row r="13377" spans="24:24" x14ac:dyDescent="0.35">
      <c r="X13377" s="8"/>
    </row>
    <row r="13378" spans="24:24" x14ac:dyDescent="0.35">
      <c r="X13378" s="8"/>
    </row>
    <row r="13379" spans="24:24" x14ac:dyDescent="0.35">
      <c r="X13379" s="8"/>
    </row>
    <row r="13380" spans="24:24" x14ac:dyDescent="0.35">
      <c r="X13380" s="8"/>
    </row>
    <row r="13381" spans="24:24" x14ac:dyDescent="0.35">
      <c r="X13381" s="8"/>
    </row>
    <row r="13382" spans="24:24" x14ac:dyDescent="0.35">
      <c r="X13382" s="8"/>
    </row>
    <row r="13383" spans="24:24" x14ac:dyDescent="0.35">
      <c r="X13383" s="8"/>
    </row>
    <row r="13384" spans="24:24" x14ac:dyDescent="0.35">
      <c r="X13384" s="8"/>
    </row>
    <row r="13385" spans="24:24" x14ac:dyDescent="0.35">
      <c r="X13385" s="8"/>
    </row>
    <row r="13386" spans="24:24" x14ac:dyDescent="0.35">
      <c r="X13386" s="8"/>
    </row>
    <row r="13387" spans="24:24" x14ac:dyDescent="0.35">
      <c r="X13387" s="8"/>
    </row>
    <row r="13388" spans="24:24" x14ac:dyDescent="0.35">
      <c r="X13388" s="8"/>
    </row>
    <row r="13389" spans="24:24" x14ac:dyDescent="0.35">
      <c r="X13389" s="8"/>
    </row>
    <row r="13390" spans="24:24" x14ac:dyDescent="0.35">
      <c r="X13390" s="8"/>
    </row>
    <row r="13391" spans="24:24" x14ac:dyDescent="0.35">
      <c r="X13391" s="8"/>
    </row>
    <row r="13392" spans="24:24" x14ac:dyDescent="0.35">
      <c r="X13392" s="8"/>
    </row>
    <row r="13393" spans="24:24" x14ac:dyDescent="0.35">
      <c r="X13393" s="8"/>
    </row>
    <row r="13394" spans="24:24" x14ac:dyDescent="0.35">
      <c r="X13394" s="8"/>
    </row>
    <row r="13395" spans="24:24" x14ac:dyDescent="0.35">
      <c r="X13395" s="8"/>
    </row>
    <row r="13396" spans="24:24" x14ac:dyDescent="0.35">
      <c r="X13396" s="8"/>
    </row>
    <row r="13397" spans="24:24" x14ac:dyDescent="0.35">
      <c r="X13397" s="8"/>
    </row>
    <row r="13398" spans="24:24" x14ac:dyDescent="0.35">
      <c r="X13398" s="8"/>
    </row>
    <row r="13399" spans="24:24" x14ac:dyDescent="0.35">
      <c r="X13399" s="8"/>
    </row>
    <row r="13400" spans="24:24" x14ac:dyDescent="0.35">
      <c r="X13400" s="8"/>
    </row>
    <row r="13401" spans="24:24" x14ac:dyDescent="0.35">
      <c r="X13401" s="8"/>
    </row>
    <row r="13402" spans="24:24" x14ac:dyDescent="0.35">
      <c r="X13402" s="8"/>
    </row>
    <row r="13403" spans="24:24" x14ac:dyDescent="0.35">
      <c r="X13403" s="8"/>
    </row>
    <row r="13404" spans="24:24" x14ac:dyDescent="0.35">
      <c r="X13404" s="8"/>
    </row>
    <row r="13405" spans="24:24" x14ac:dyDescent="0.35">
      <c r="X13405" s="8"/>
    </row>
    <row r="13406" spans="24:24" x14ac:dyDescent="0.35">
      <c r="X13406" s="8"/>
    </row>
    <row r="13407" spans="24:24" x14ac:dyDescent="0.35">
      <c r="X13407" s="8"/>
    </row>
    <row r="13408" spans="24:24" x14ac:dyDescent="0.35">
      <c r="X13408" s="8"/>
    </row>
    <row r="13409" spans="24:24" x14ac:dyDescent="0.35">
      <c r="X13409" s="8"/>
    </row>
    <row r="13410" spans="24:24" x14ac:dyDescent="0.35">
      <c r="X13410" s="8"/>
    </row>
    <row r="13411" spans="24:24" x14ac:dyDescent="0.35">
      <c r="X13411" s="8"/>
    </row>
    <row r="13412" spans="24:24" x14ac:dyDescent="0.35">
      <c r="X13412" s="8"/>
    </row>
    <row r="13413" spans="24:24" x14ac:dyDescent="0.35">
      <c r="X13413" s="8"/>
    </row>
    <row r="13414" spans="24:24" x14ac:dyDescent="0.35">
      <c r="X13414" s="8"/>
    </row>
    <row r="13415" spans="24:24" x14ac:dyDescent="0.35">
      <c r="X13415" s="8"/>
    </row>
    <row r="13416" spans="24:24" x14ac:dyDescent="0.35">
      <c r="X13416" s="8"/>
    </row>
    <row r="13417" spans="24:24" x14ac:dyDescent="0.35">
      <c r="X13417" s="8"/>
    </row>
    <row r="13418" spans="24:24" x14ac:dyDescent="0.35">
      <c r="X13418" s="8"/>
    </row>
    <row r="13419" spans="24:24" x14ac:dyDescent="0.35">
      <c r="X13419" s="8"/>
    </row>
    <row r="13420" spans="24:24" x14ac:dyDescent="0.35">
      <c r="X13420" s="8"/>
    </row>
    <row r="13421" spans="24:24" x14ac:dyDescent="0.35">
      <c r="X13421" s="8"/>
    </row>
    <row r="13422" spans="24:24" x14ac:dyDescent="0.35">
      <c r="X13422" s="8"/>
    </row>
    <row r="13423" spans="24:24" x14ac:dyDescent="0.35">
      <c r="X13423" s="8"/>
    </row>
    <row r="13424" spans="24:24" x14ac:dyDescent="0.35">
      <c r="X13424" s="8"/>
    </row>
    <row r="13425" spans="24:24" x14ac:dyDescent="0.35">
      <c r="X13425" s="8"/>
    </row>
    <row r="13426" spans="24:24" x14ac:dyDescent="0.35">
      <c r="X13426" s="8"/>
    </row>
    <row r="13427" spans="24:24" x14ac:dyDescent="0.35">
      <c r="X13427" s="8"/>
    </row>
    <row r="13428" spans="24:24" x14ac:dyDescent="0.35">
      <c r="X13428" s="8"/>
    </row>
    <row r="13429" spans="24:24" x14ac:dyDescent="0.35">
      <c r="X13429" s="8"/>
    </row>
    <row r="13430" spans="24:24" x14ac:dyDescent="0.35">
      <c r="X13430" s="8"/>
    </row>
    <row r="13431" spans="24:24" x14ac:dyDescent="0.35">
      <c r="X13431" s="8"/>
    </row>
    <row r="13432" spans="24:24" x14ac:dyDescent="0.35">
      <c r="X13432" s="8"/>
    </row>
    <row r="13433" spans="24:24" x14ac:dyDescent="0.35">
      <c r="X13433" s="8"/>
    </row>
    <row r="13434" spans="24:24" x14ac:dyDescent="0.35">
      <c r="X13434" s="8"/>
    </row>
    <row r="13435" spans="24:24" x14ac:dyDescent="0.35">
      <c r="X13435" s="8"/>
    </row>
    <row r="13436" spans="24:24" x14ac:dyDescent="0.35">
      <c r="X13436" s="8"/>
    </row>
    <row r="13437" spans="24:24" x14ac:dyDescent="0.35">
      <c r="X13437" s="8"/>
    </row>
    <row r="13438" spans="24:24" x14ac:dyDescent="0.35">
      <c r="X13438" s="8"/>
    </row>
    <row r="13439" spans="24:24" x14ac:dyDescent="0.35">
      <c r="X13439" s="8"/>
    </row>
    <row r="13440" spans="24:24" x14ac:dyDescent="0.35">
      <c r="X13440" s="8"/>
    </row>
    <row r="13441" spans="24:24" x14ac:dyDescent="0.35">
      <c r="X13441" s="8"/>
    </row>
    <row r="13442" spans="24:24" x14ac:dyDescent="0.35">
      <c r="X13442" s="8"/>
    </row>
    <row r="13443" spans="24:24" x14ac:dyDescent="0.35">
      <c r="X13443" s="8"/>
    </row>
    <row r="13444" spans="24:24" x14ac:dyDescent="0.35">
      <c r="X13444" s="8"/>
    </row>
    <row r="13445" spans="24:24" x14ac:dyDescent="0.35">
      <c r="X13445" s="8"/>
    </row>
    <row r="13446" spans="24:24" x14ac:dyDescent="0.35">
      <c r="X13446" s="8"/>
    </row>
    <row r="13447" spans="24:24" x14ac:dyDescent="0.35">
      <c r="X13447" s="8"/>
    </row>
    <row r="13448" spans="24:24" x14ac:dyDescent="0.35">
      <c r="X13448" s="8"/>
    </row>
    <row r="13449" spans="24:24" x14ac:dyDescent="0.35">
      <c r="X13449" s="8"/>
    </row>
    <row r="13450" spans="24:24" x14ac:dyDescent="0.35">
      <c r="X13450" s="8"/>
    </row>
    <row r="13451" spans="24:24" x14ac:dyDescent="0.35">
      <c r="X13451" s="8"/>
    </row>
    <row r="13452" spans="24:24" x14ac:dyDescent="0.35">
      <c r="X13452" s="8"/>
    </row>
    <row r="13453" spans="24:24" x14ac:dyDescent="0.35">
      <c r="X13453" s="8"/>
    </row>
    <row r="13454" spans="24:24" x14ac:dyDescent="0.35">
      <c r="X13454" s="8"/>
    </row>
    <row r="13455" spans="24:24" x14ac:dyDescent="0.35">
      <c r="X13455" s="8"/>
    </row>
    <row r="13456" spans="24:24" x14ac:dyDescent="0.35">
      <c r="X13456" s="8"/>
    </row>
    <row r="13457" spans="24:24" x14ac:dyDescent="0.35">
      <c r="X13457" s="8"/>
    </row>
    <row r="13458" spans="24:24" x14ac:dyDescent="0.35">
      <c r="X13458" s="8"/>
    </row>
    <row r="13459" spans="24:24" x14ac:dyDescent="0.35">
      <c r="X13459" s="8"/>
    </row>
    <row r="13460" spans="24:24" x14ac:dyDescent="0.35">
      <c r="X13460" s="8"/>
    </row>
    <row r="13461" spans="24:24" x14ac:dyDescent="0.35">
      <c r="X13461" s="8"/>
    </row>
    <row r="13462" spans="24:24" x14ac:dyDescent="0.35">
      <c r="X13462" s="8"/>
    </row>
    <row r="13463" spans="24:24" x14ac:dyDescent="0.35">
      <c r="X13463" s="8"/>
    </row>
    <row r="13464" spans="24:24" x14ac:dyDescent="0.35">
      <c r="X13464" s="8"/>
    </row>
    <row r="13465" spans="24:24" x14ac:dyDescent="0.35">
      <c r="X13465" s="8"/>
    </row>
    <row r="13466" spans="24:24" x14ac:dyDescent="0.35">
      <c r="X13466" s="8"/>
    </row>
    <row r="13467" spans="24:24" x14ac:dyDescent="0.35">
      <c r="X13467" s="8"/>
    </row>
    <row r="13468" spans="24:24" x14ac:dyDescent="0.35">
      <c r="X13468" s="8"/>
    </row>
    <row r="13469" spans="24:24" x14ac:dyDescent="0.35">
      <c r="X13469" s="8"/>
    </row>
    <row r="13470" spans="24:24" x14ac:dyDescent="0.35">
      <c r="X13470" s="8"/>
    </row>
    <row r="13471" spans="24:24" x14ac:dyDescent="0.35">
      <c r="X13471" s="8"/>
    </row>
    <row r="13472" spans="24:24" x14ac:dyDescent="0.35">
      <c r="X13472" s="8"/>
    </row>
    <row r="13473" spans="24:24" x14ac:dyDescent="0.35">
      <c r="X13473" s="8"/>
    </row>
    <row r="13474" spans="24:24" x14ac:dyDescent="0.35">
      <c r="X13474" s="8"/>
    </row>
    <row r="13475" spans="24:24" x14ac:dyDescent="0.35">
      <c r="X13475" s="8"/>
    </row>
    <row r="13476" spans="24:24" x14ac:dyDescent="0.35">
      <c r="X13476" s="8"/>
    </row>
    <row r="13477" spans="24:24" x14ac:dyDescent="0.35">
      <c r="X13477" s="8"/>
    </row>
    <row r="13478" spans="24:24" x14ac:dyDescent="0.35">
      <c r="X13478" s="8"/>
    </row>
    <row r="13479" spans="24:24" x14ac:dyDescent="0.35">
      <c r="X13479" s="8"/>
    </row>
    <row r="13480" spans="24:24" x14ac:dyDescent="0.35">
      <c r="X13480" s="8"/>
    </row>
    <row r="13481" spans="24:24" x14ac:dyDescent="0.35">
      <c r="X13481" s="8"/>
    </row>
    <row r="13482" spans="24:24" x14ac:dyDescent="0.35">
      <c r="X13482" s="8"/>
    </row>
    <row r="13483" spans="24:24" x14ac:dyDescent="0.35">
      <c r="X13483" s="8"/>
    </row>
    <row r="13484" spans="24:24" x14ac:dyDescent="0.35">
      <c r="X13484" s="8"/>
    </row>
    <row r="13485" spans="24:24" x14ac:dyDescent="0.35">
      <c r="X13485" s="8"/>
    </row>
    <row r="13486" spans="24:24" x14ac:dyDescent="0.35">
      <c r="X13486" s="8"/>
    </row>
    <row r="13487" spans="24:24" x14ac:dyDescent="0.35">
      <c r="X13487" s="8"/>
    </row>
    <row r="13488" spans="24:24" x14ac:dyDescent="0.35">
      <c r="X13488" s="8"/>
    </row>
    <row r="13489" spans="24:24" x14ac:dyDescent="0.35">
      <c r="X13489" s="8"/>
    </row>
    <row r="13490" spans="24:24" x14ac:dyDescent="0.35">
      <c r="X13490" s="8"/>
    </row>
    <row r="13491" spans="24:24" x14ac:dyDescent="0.35">
      <c r="X13491" s="8"/>
    </row>
    <row r="13492" spans="24:24" x14ac:dyDescent="0.35">
      <c r="X13492" s="8"/>
    </row>
    <row r="13493" spans="24:24" x14ac:dyDescent="0.35">
      <c r="X13493" s="8"/>
    </row>
    <row r="13494" spans="24:24" x14ac:dyDescent="0.35">
      <c r="X13494" s="8"/>
    </row>
    <row r="13495" spans="24:24" x14ac:dyDescent="0.35">
      <c r="X13495" s="8"/>
    </row>
    <row r="13496" spans="24:24" x14ac:dyDescent="0.35">
      <c r="X13496" s="8"/>
    </row>
    <row r="13497" spans="24:24" x14ac:dyDescent="0.35">
      <c r="X13497" s="8"/>
    </row>
    <row r="13498" spans="24:24" x14ac:dyDescent="0.35">
      <c r="X13498" s="8"/>
    </row>
    <row r="13499" spans="24:24" x14ac:dyDescent="0.35">
      <c r="X13499" s="8"/>
    </row>
    <row r="13500" spans="24:24" x14ac:dyDescent="0.35">
      <c r="X13500" s="8"/>
    </row>
    <row r="13501" spans="24:24" x14ac:dyDescent="0.35">
      <c r="X13501" s="8"/>
    </row>
    <row r="13502" spans="24:24" x14ac:dyDescent="0.35">
      <c r="X13502" s="8"/>
    </row>
    <row r="13503" spans="24:24" x14ac:dyDescent="0.35">
      <c r="X13503" s="8"/>
    </row>
    <row r="13504" spans="24:24" x14ac:dyDescent="0.35">
      <c r="X13504" s="8"/>
    </row>
    <row r="13505" spans="24:24" x14ac:dyDescent="0.35">
      <c r="X13505" s="8"/>
    </row>
    <row r="13506" spans="24:24" x14ac:dyDescent="0.35">
      <c r="X13506" s="8"/>
    </row>
    <row r="13507" spans="24:24" x14ac:dyDescent="0.35">
      <c r="X13507" s="8"/>
    </row>
    <row r="13508" spans="24:24" x14ac:dyDescent="0.35">
      <c r="X13508" s="8"/>
    </row>
    <row r="13509" spans="24:24" x14ac:dyDescent="0.35">
      <c r="X13509" s="8"/>
    </row>
    <row r="13510" spans="24:24" x14ac:dyDescent="0.35">
      <c r="X13510" s="8"/>
    </row>
    <row r="13511" spans="24:24" x14ac:dyDescent="0.35">
      <c r="X13511" s="8"/>
    </row>
    <row r="13512" spans="24:24" x14ac:dyDescent="0.35">
      <c r="X13512" s="8"/>
    </row>
    <row r="13513" spans="24:24" x14ac:dyDescent="0.35">
      <c r="X13513" s="8"/>
    </row>
    <row r="13514" spans="24:24" x14ac:dyDescent="0.35">
      <c r="X13514" s="8"/>
    </row>
    <row r="13515" spans="24:24" x14ac:dyDescent="0.35">
      <c r="X13515" s="8"/>
    </row>
    <row r="13516" spans="24:24" x14ac:dyDescent="0.35">
      <c r="X13516" s="8"/>
    </row>
    <row r="13517" spans="24:24" x14ac:dyDescent="0.35">
      <c r="X13517" s="8"/>
    </row>
    <row r="13518" spans="24:24" x14ac:dyDescent="0.35">
      <c r="X13518" s="8"/>
    </row>
    <row r="13519" spans="24:24" x14ac:dyDescent="0.35">
      <c r="X13519" s="8"/>
    </row>
    <row r="13520" spans="24:24" x14ac:dyDescent="0.35">
      <c r="X13520" s="8"/>
    </row>
    <row r="13521" spans="24:24" x14ac:dyDescent="0.35">
      <c r="X13521" s="8"/>
    </row>
    <row r="13522" spans="24:24" x14ac:dyDescent="0.35">
      <c r="X13522" s="8"/>
    </row>
    <row r="13523" spans="24:24" x14ac:dyDescent="0.35">
      <c r="X13523" s="8"/>
    </row>
    <row r="13524" spans="24:24" x14ac:dyDescent="0.35">
      <c r="X13524" s="8"/>
    </row>
    <row r="13525" spans="24:24" x14ac:dyDescent="0.35">
      <c r="X13525" s="8"/>
    </row>
    <row r="13526" spans="24:24" x14ac:dyDescent="0.35">
      <c r="X13526" s="8"/>
    </row>
    <row r="13527" spans="24:24" x14ac:dyDescent="0.35">
      <c r="X13527" s="8"/>
    </row>
    <row r="13528" spans="24:24" x14ac:dyDescent="0.35">
      <c r="X13528" s="8"/>
    </row>
    <row r="13529" spans="24:24" x14ac:dyDescent="0.35">
      <c r="X13529" s="8"/>
    </row>
    <row r="13530" spans="24:24" x14ac:dyDescent="0.35">
      <c r="X13530" s="8"/>
    </row>
    <row r="13531" spans="24:24" x14ac:dyDescent="0.35">
      <c r="X13531" s="8"/>
    </row>
    <row r="13532" spans="24:24" x14ac:dyDescent="0.35">
      <c r="X13532" s="8"/>
    </row>
    <row r="13533" spans="24:24" x14ac:dyDescent="0.35">
      <c r="X13533" s="8"/>
    </row>
    <row r="13534" spans="24:24" x14ac:dyDescent="0.35">
      <c r="X13534" s="8"/>
    </row>
    <row r="13535" spans="24:24" x14ac:dyDescent="0.35">
      <c r="X13535" s="8"/>
    </row>
    <row r="13536" spans="24:24" x14ac:dyDescent="0.35">
      <c r="X13536" s="8"/>
    </row>
    <row r="13537" spans="24:24" x14ac:dyDescent="0.35">
      <c r="X13537" s="8"/>
    </row>
    <row r="13538" spans="24:24" x14ac:dyDescent="0.35">
      <c r="X13538" s="8"/>
    </row>
    <row r="13539" spans="24:24" x14ac:dyDescent="0.35">
      <c r="X13539" s="8"/>
    </row>
    <row r="13540" spans="24:24" x14ac:dyDescent="0.35">
      <c r="X13540" s="8"/>
    </row>
    <row r="13541" spans="24:24" x14ac:dyDescent="0.35">
      <c r="X13541" s="8"/>
    </row>
    <row r="13542" spans="24:24" x14ac:dyDescent="0.35">
      <c r="X13542" s="8"/>
    </row>
    <row r="13543" spans="24:24" x14ac:dyDescent="0.35">
      <c r="X13543" s="8"/>
    </row>
    <row r="13544" spans="24:24" x14ac:dyDescent="0.35">
      <c r="X13544" s="8"/>
    </row>
    <row r="13545" spans="24:24" x14ac:dyDescent="0.35">
      <c r="X13545" s="8"/>
    </row>
    <row r="13546" spans="24:24" x14ac:dyDescent="0.35">
      <c r="X13546" s="8"/>
    </row>
    <row r="13547" spans="24:24" x14ac:dyDescent="0.35">
      <c r="X13547" s="8"/>
    </row>
    <row r="13548" spans="24:24" x14ac:dyDescent="0.35">
      <c r="X13548" s="8"/>
    </row>
    <row r="13549" spans="24:24" x14ac:dyDescent="0.35">
      <c r="X13549" s="8"/>
    </row>
    <row r="13550" spans="24:24" x14ac:dyDescent="0.35">
      <c r="X13550" s="8"/>
    </row>
    <row r="13551" spans="24:24" x14ac:dyDescent="0.35">
      <c r="X13551" s="8"/>
    </row>
    <row r="13552" spans="24:24" x14ac:dyDescent="0.35">
      <c r="X13552" s="8"/>
    </row>
    <row r="13553" spans="24:24" x14ac:dyDescent="0.35">
      <c r="X13553" s="8"/>
    </row>
    <row r="13554" spans="24:24" x14ac:dyDescent="0.35">
      <c r="X13554" s="8"/>
    </row>
    <row r="13555" spans="24:24" x14ac:dyDescent="0.35">
      <c r="X13555" s="8"/>
    </row>
    <row r="13556" spans="24:24" x14ac:dyDescent="0.35">
      <c r="X13556" s="8"/>
    </row>
    <row r="13557" spans="24:24" x14ac:dyDescent="0.35">
      <c r="X13557" s="8"/>
    </row>
    <row r="13558" spans="24:24" x14ac:dyDescent="0.35">
      <c r="X13558" s="8"/>
    </row>
    <row r="13559" spans="24:24" x14ac:dyDescent="0.35">
      <c r="X13559" s="8"/>
    </row>
    <row r="13560" spans="24:24" x14ac:dyDescent="0.35">
      <c r="X13560" s="8"/>
    </row>
    <row r="13561" spans="24:24" x14ac:dyDescent="0.35">
      <c r="X13561" s="8"/>
    </row>
    <row r="13562" spans="24:24" x14ac:dyDescent="0.35">
      <c r="X13562" s="8"/>
    </row>
    <row r="13563" spans="24:24" x14ac:dyDescent="0.35">
      <c r="X13563" s="8"/>
    </row>
    <row r="13564" spans="24:24" x14ac:dyDescent="0.35">
      <c r="X13564" s="8"/>
    </row>
    <row r="13565" spans="24:24" x14ac:dyDescent="0.35">
      <c r="X13565" s="8"/>
    </row>
    <row r="13566" spans="24:24" x14ac:dyDescent="0.35">
      <c r="X13566" s="8"/>
    </row>
    <row r="13567" spans="24:24" x14ac:dyDescent="0.35">
      <c r="X13567" s="8"/>
    </row>
    <row r="13568" spans="24:24" x14ac:dyDescent="0.35">
      <c r="X13568" s="8"/>
    </row>
    <row r="13569" spans="24:24" x14ac:dyDescent="0.35">
      <c r="X13569" s="8"/>
    </row>
    <row r="13570" spans="24:24" x14ac:dyDescent="0.35">
      <c r="X13570" s="8"/>
    </row>
    <row r="13571" spans="24:24" x14ac:dyDescent="0.35">
      <c r="X13571" s="8"/>
    </row>
    <row r="13572" spans="24:24" x14ac:dyDescent="0.35">
      <c r="X13572" s="8"/>
    </row>
    <row r="13573" spans="24:24" x14ac:dyDescent="0.35">
      <c r="X13573" s="8"/>
    </row>
    <row r="13574" spans="24:24" x14ac:dyDescent="0.35">
      <c r="X13574" s="8"/>
    </row>
    <row r="13575" spans="24:24" x14ac:dyDescent="0.35">
      <c r="X13575" s="8"/>
    </row>
    <row r="13576" spans="24:24" x14ac:dyDescent="0.35">
      <c r="X13576" s="8"/>
    </row>
    <row r="13577" spans="24:24" x14ac:dyDescent="0.35">
      <c r="X13577" s="8"/>
    </row>
    <row r="13578" spans="24:24" x14ac:dyDescent="0.35">
      <c r="X13578" s="8"/>
    </row>
    <row r="13579" spans="24:24" x14ac:dyDescent="0.35">
      <c r="X13579" s="8"/>
    </row>
    <row r="13580" spans="24:24" x14ac:dyDescent="0.35">
      <c r="X13580" s="8"/>
    </row>
    <row r="13581" spans="24:24" x14ac:dyDescent="0.35">
      <c r="X13581" s="8"/>
    </row>
    <row r="13582" spans="24:24" x14ac:dyDescent="0.35">
      <c r="X13582" s="8"/>
    </row>
    <row r="13583" spans="24:24" x14ac:dyDescent="0.35">
      <c r="X13583" s="8"/>
    </row>
    <row r="13584" spans="24:24" x14ac:dyDescent="0.35">
      <c r="X13584" s="8"/>
    </row>
    <row r="13585" spans="24:24" x14ac:dyDescent="0.35">
      <c r="X13585" s="8"/>
    </row>
    <row r="13586" spans="24:24" x14ac:dyDescent="0.35">
      <c r="X13586" s="8"/>
    </row>
    <row r="13587" spans="24:24" x14ac:dyDescent="0.35">
      <c r="X13587" s="8"/>
    </row>
    <row r="13588" spans="24:24" x14ac:dyDescent="0.35">
      <c r="X13588" s="8"/>
    </row>
    <row r="13589" spans="24:24" x14ac:dyDescent="0.35">
      <c r="X13589" s="8"/>
    </row>
    <row r="13590" spans="24:24" x14ac:dyDescent="0.35">
      <c r="X13590" s="8"/>
    </row>
    <row r="13591" spans="24:24" x14ac:dyDescent="0.35">
      <c r="X13591" s="8"/>
    </row>
    <row r="13592" spans="24:24" x14ac:dyDescent="0.35">
      <c r="X13592" s="8"/>
    </row>
    <row r="13593" spans="24:24" x14ac:dyDescent="0.35">
      <c r="X13593" s="8"/>
    </row>
    <row r="13594" spans="24:24" x14ac:dyDescent="0.35">
      <c r="X13594" s="8"/>
    </row>
    <row r="13595" spans="24:24" x14ac:dyDescent="0.35">
      <c r="X13595" s="8"/>
    </row>
    <row r="13596" spans="24:24" x14ac:dyDescent="0.35">
      <c r="X13596" s="8"/>
    </row>
    <row r="13597" spans="24:24" x14ac:dyDescent="0.35">
      <c r="X13597" s="8"/>
    </row>
    <row r="13598" spans="24:24" x14ac:dyDescent="0.35">
      <c r="X13598" s="8"/>
    </row>
    <row r="13599" spans="24:24" x14ac:dyDescent="0.35">
      <c r="X13599" s="8"/>
    </row>
    <row r="13600" spans="24:24" x14ac:dyDescent="0.35">
      <c r="X13600" s="8"/>
    </row>
    <row r="13601" spans="24:24" x14ac:dyDescent="0.35">
      <c r="X13601" s="8"/>
    </row>
    <row r="13602" spans="24:24" x14ac:dyDescent="0.35">
      <c r="X13602" s="8"/>
    </row>
    <row r="13603" spans="24:24" x14ac:dyDescent="0.35">
      <c r="X13603" s="8"/>
    </row>
    <row r="13604" spans="24:24" x14ac:dyDescent="0.35">
      <c r="X13604" s="8"/>
    </row>
    <row r="13605" spans="24:24" x14ac:dyDescent="0.35">
      <c r="X13605" s="8"/>
    </row>
    <row r="13606" spans="24:24" x14ac:dyDescent="0.35">
      <c r="X13606" s="8"/>
    </row>
    <row r="13607" spans="24:24" x14ac:dyDescent="0.35">
      <c r="X13607" s="8"/>
    </row>
    <row r="13608" spans="24:24" x14ac:dyDescent="0.35">
      <c r="X13608" s="8"/>
    </row>
    <row r="13609" spans="24:24" x14ac:dyDescent="0.35">
      <c r="X13609" s="8"/>
    </row>
    <row r="13610" spans="24:24" x14ac:dyDescent="0.35">
      <c r="X13610" s="8"/>
    </row>
    <row r="13611" spans="24:24" x14ac:dyDescent="0.35">
      <c r="X13611" s="8"/>
    </row>
    <row r="13612" spans="24:24" x14ac:dyDescent="0.35">
      <c r="X13612" s="8"/>
    </row>
    <row r="13613" spans="24:24" x14ac:dyDescent="0.35">
      <c r="X13613" s="8"/>
    </row>
    <row r="13614" spans="24:24" x14ac:dyDescent="0.35">
      <c r="X13614" s="8"/>
    </row>
    <row r="13615" spans="24:24" x14ac:dyDescent="0.35">
      <c r="X13615" s="8"/>
    </row>
    <row r="13616" spans="24:24" x14ac:dyDescent="0.35">
      <c r="X13616" s="8"/>
    </row>
    <row r="13617" spans="24:24" x14ac:dyDescent="0.35">
      <c r="X13617" s="8"/>
    </row>
    <row r="13618" spans="24:24" x14ac:dyDescent="0.35">
      <c r="X13618" s="8"/>
    </row>
    <row r="13619" spans="24:24" x14ac:dyDescent="0.35">
      <c r="X13619" s="8"/>
    </row>
    <row r="13620" spans="24:24" x14ac:dyDescent="0.35">
      <c r="X13620" s="8"/>
    </row>
    <row r="13621" spans="24:24" x14ac:dyDescent="0.35">
      <c r="X13621" s="8"/>
    </row>
    <row r="13622" spans="24:24" x14ac:dyDescent="0.35">
      <c r="X13622" s="8"/>
    </row>
    <row r="13623" spans="24:24" x14ac:dyDescent="0.35">
      <c r="X13623" s="8"/>
    </row>
    <row r="13624" spans="24:24" x14ac:dyDescent="0.35">
      <c r="X13624" s="8"/>
    </row>
    <row r="13625" spans="24:24" x14ac:dyDescent="0.35">
      <c r="X13625" s="8"/>
    </row>
    <row r="13626" spans="24:24" x14ac:dyDescent="0.35">
      <c r="X13626" s="8"/>
    </row>
    <row r="13627" spans="24:24" x14ac:dyDescent="0.35">
      <c r="X13627" s="8"/>
    </row>
    <row r="13628" spans="24:24" x14ac:dyDescent="0.35">
      <c r="X13628" s="8"/>
    </row>
    <row r="13629" spans="24:24" x14ac:dyDescent="0.35">
      <c r="X13629" s="8"/>
    </row>
    <row r="13630" spans="24:24" x14ac:dyDescent="0.35">
      <c r="X13630" s="8"/>
    </row>
    <row r="13631" spans="24:24" x14ac:dyDescent="0.35">
      <c r="X13631" s="8"/>
    </row>
    <row r="13632" spans="24:24" x14ac:dyDescent="0.35">
      <c r="X13632" s="8"/>
    </row>
    <row r="13633" spans="24:24" x14ac:dyDescent="0.35">
      <c r="X13633" s="8"/>
    </row>
    <row r="13634" spans="24:24" x14ac:dyDescent="0.35">
      <c r="X13634" s="8"/>
    </row>
    <row r="13635" spans="24:24" x14ac:dyDescent="0.35">
      <c r="X13635" s="8"/>
    </row>
    <row r="13636" spans="24:24" x14ac:dyDescent="0.35">
      <c r="X13636" s="8"/>
    </row>
    <row r="13637" spans="24:24" x14ac:dyDescent="0.35">
      <c r="X13637" s="8"/>
    </row>
    <row r="13638" spans="24:24" x14ac:dyDescent="0.35">
      <c r="X13638" s="8"/>
    </row>
    <row r="13639" spans="24:24" x14ac:dyDescent="0.35">
      <c r="X13639" s="8"/>
    </row>
    <row r="13640" spans="24:24" x14ac:dyDescent="0.35">
      <c r="X13640" s="8"/>
    </row>
    <row r="13641" spans="24:24" x14ac:dyDescent="0.35">
      <c r="X13641" s="8"/>
    </row>
    <row r="13642" spans="24:24" x14ac:dyDescent="0.35">
      <c r="X13642" s="8"/>
    </row>
    <row r="13643" spans="24:24" x14ac:dyDescent="0.35">
      <c r="X13643" s="8"/>
    </row>
    <row r="13644" spans="24:24" x14ac:dyDescent="0.35">
      <c r="X13644" s="8"/>
    </row>
    <row r="13645" spans="24:24" x14ac:dyDescent="0.35">
      <c r="X13645" s="8"/>
    </row>
    <row r="13646" spans="24:24" x14ac:dyDescent="0.35">
      <c r="X13646" s="8"/>
    </row>
    <row r="13647" spans="24:24" x14ac:dyDescent="0.35">
      <c r="X13647" s="8"/>
    </row>
    <row r="13648" spans="24:24" x14ac:dyDescent="0.35">
      <c r="X13648" s="8"/>
    </row>
    <row r="13649" spans="24:24" x14ac:dyDescent="0.35">
      <c r="X13649" s="8"/>
    </row>
    <row r="13650" spans="24:24" x14ac:dyDescent="0.35">
      <c r="X13650" s="8"/>
    </row>
    <row r="13651" spans="24:24" x14ac:dyDescent="0.35">
      <c r="X13651" s="8"/>
    </row>
    <row r="13652" spans="24:24" x14ac:dyDescent="0.35">
      <c r="X13652" s="8"/>
    </row>
    <row r="13653" spans="24:24" x14ac:dyDescent="0.35">
      <c r="X13653" s="8"/>
    </row>
    <row r="13654" spans="24:24" x14ac:dyDescent="0.35">
      <c r="X13654" s="8"/>
    </row>
    <row r="13655" spans="24:24" x14ac:dyDescent="0.35">
      <c r="X13655" s="8"/>
    </row>
    <row r="13656" spans="24:24" x14ac:dyDescent="0.35">
      <c r="X13656" s="8"/>
    </row>
    <row r="13657" spans="24:24" x14ac:dyDescent="0.35">
      <c r="X13657" s="8"/>
    </row>
    <row r="13658" spans="24:24" x14ac:dyDescent="0.35">
      <c r="X13658" s="8"/>
    </row>
    <row r="13659" spans="24:24" x14ac:dyDescent="0.35">
      <c r="X13659" s="8"/>
    </row>
    <row r="13660" spans="24:24" x14ac:dyDescent="0.35">
      <c r="X13660" s="8"/>
    </row>
    <row r="13661" spans="24:24" x14ac:dyDescent="0.35">
      <c r="X13661" s="8"/>
    </row>
    <row r="13662" spans="24:24" x14ac:dyDescent="0.35">
      <c r="X13662" s="8"/>
    </row>
    <row r="13663" spans="24:24" x14ac:dyDescent="0.35">
      <c r="X13663" s="8"/>
    </row>
    <row r="13664" spans="24:24" x14ac:dyDescent="0.35">
      <c r="X13664" s="8"/>
    </row>
    <row r="13665" spans="24:24" x14ac:dyDescent="0.35">
      <c r="X13665" s="8"/>
    </row>
    <row r="13666" spans="24:24" x14ac:dyDescent="0.35">
      <c r="X13666" s="8"/>
    </row>
    <row r="13667" spans="24:24" x14ac:dyDescent="0.35">
      <c r="X13667" s="8"/>
    </row>
    <row r="13668" spans="24:24" x14ac:dyDescent="0.35">
      <c r="X13668" s="8"/>
    </row>
    <row r="13669" spans="24:24" x14ac:dyDescent="0.35">
      <c r="X13669" s="8"/>
    </row>
    <row r="13670" spans="24:24" x14ac:dyDescent="0.35">
      <c r="X13670" s="8"/>
    </row>
    <row r="13671" spans="24:24" x14ac:dyDescent="0.35">
      <c r="X13671" s="8"/>
    </row>
    <row r="13672" spans="24:24" x14ac:dyDescent="0.35">
      <c r="X13672" s="8"/>
    </row>
    <row r="13673" spans="24:24" x14ac:dyDescent="0.35">
      <c r="X13673" s="8"/>
    </row>
    <row r="13674" spans="24:24" x14ac:dyDescent="0.35">
      <c r="X13674" s="8"/>
    </row>
    <row r="13675" spans="24:24" x14ac:dyDescent="0.35">
      <c r="X13675" s="8"/>
    </row>
    <row r="13676" spans="24:24" x14ac:dyDescent="0.35">
      <c r="X13676" s="8"/>
    </row>
    <row r="13677" spans="24:24" x14ac:dyDescent="0.35">
      <c r="X13677" s="8"/>
    </row>
    <row r="13678" spans="24:24" x14ac:dyDescent="0.35">
      <c r="X13678" s="8"/>
    </row>
    <row r="13679" spans="24:24" x14ac:dyDescent="0.35">
      <c r="X13679" s="8"/>
    </row>
    <row r="13680" spans="24:24" x14ac:dyDescent="0.35">
      <c r="X13680" s="8"/>
    </row>
    <row r="13681" spans="24:24" x14ac:dyDescent="0.35">
      <c r="X13681" s="8"/>
    </row>
    <row r="13682" spans="24:24" x14ac:dyDescent="0.35">
      <c r="X13682" s="8"/>
    </row>
    <row r="13683" spans="24:24" x14ac:dyDescent="0.35">
      <c r="X13683" s="8"/>
    </row>
    <row r="13684" spans="24:24" x14ac:dyDescent="0.35">
      <c r="X13684" s="8"/>
    </row>
    <row r="13685" spans="24:24" x14ac:dyDescent="0.35">
      <c r="X13685" s="8"/>
    </row>
    <row r="13686" spans="24:24" x14ac:dyDescent="0.35">
      <c r="X13686" s="8"/>
    </row>
    <row r="13687" spans="24:24" x14ac:dyDescent="0.35">
      <c r="X13687" s="8"/>
    </row>
    <row r="13688" spans="24:24" x14ac:dyDescent="0.35">
      <c r="X13688" s="8"/>
    </row>
    <row r="13689" spans="24:24" x14ac:dyDescent="0.35">
      <c r="X13689" s="8"/>
    </row>
    <row r="13690" spans="24:24" x14ac:dyDescent="0.35">
      <c r="X13690" s="8"/>
    </row>
    <row r="13691" spans="24:24" x14ac:dyDescent="0.35">
      <c r="X13691" s="8"/>
    </row>
    <row r="13692" spans="24:24" x14ac:dyDescent="0.35">
      <c r="X13692" s="8"/>
    </row>
    <row r="13693" spans="24:24" x14ac:dyDescent="0.35">
      <c r="X13693" s="8"/>
    </row>
    <row r="13694" spans="24:24" x14ac:dyDescent="0.35">
      <c r="X13694" s="8"/>
    </row>
    <row r="13695" spans="24:24" x14ac:dyDescent="0.35">
      <c r="X13695" s="8"/>
    </row>
    <row r="13696" spans="24:24" x14ac:dyDescent="0.35">
      <c r="X13696" s="8"/>
    </row>
    <row r="13697" spans="24:24" x14ac:dyDescent="0.35">
      <c r="X13697" s="8"/>
    </row>
    <row r="13698" spans="24:24" x14ac:dyDescent="0.35">
      <c r="X13698" s="8"/>
    </row>
    <row r="13699" spans="24:24" x14ac:dyDescent="0.35">
      <c r="X13699" s="8"/>
    </row>
    <row r="13700" spans="24:24" x14ac:dyDescent="0.35">
      <c r="X13700" s="8"/>
    </row>
    <row r="13701" spans="24:24" x14ac:dyDescent="0.35">
      <c r="X13701" s="8"/>
    </row>
    <row r="13702" spans="24:24" x14ac:dyDescent="0.35">
      <c r="X13702" s="8"/>
    </row>
    <row r="13703" spans="24:24" x14ac:dyDescent="0.35">
      <c r="X13703" s="8"/>
    </row>
    <row r="13704" spans="24:24" x14ac:dyDescent="0.35">
      <c r="X13704" s="8"/>
    </row>
    <row r="13705" spans="24:24" x14ac:dyDescent="0.35">
      <c r="X13705" s="8"/>
    </row>
    <row r="13706" spans="24:24" x14ac:dyDescent="0.35">
      <c r="X13706" s="8"/>
    </row>
    <row r="13707" spans="24:24" x14ac:dyDescent="0.35">
      <c r="X13707" s="8"/>
    </row>
    <row r="13708" spans="24:24" x14ac:dyDescent="0.35">
      <c r="X13708" s="8"/>
    </row>
    <row r="13709" spans="24:24" x14ac:dyDescent="0.35">
      <c r="X13709" s="8"/>
    </row>
    <row r="13710" spans="24:24" x14ac:dyDescent="0.35">
      <c r="X13710" s="8"/>
    </row>
    <row r="13711" spans="24:24" x14ac:dyDescent="0.35">
      <c r="X13711" s="8"/>
    </row>
    <row r="13712" spans="24:24" x14ac:dyDescent="0.35">
      <c r="X13712" s="8"/>
    </row>
    <row r="13713" spans="24:24" x14ac:dyDescent="0.35">
      <c r="X13713" s="8"/>
    </row>
    <row r="13714" spans="24:24" x14ac:dyDescent="0.35">
      <c r="X13714" s="8"/>
    </row>
    <row r="13715" spans="24:24" x14ac:dyDescent="0.35">
      <c r="X13715" s="8"/>
    </row>
    <row r="13716" spans="24:24" x14ac:dyDescent="0.35">
      <c r="X13716" s="8"/>
    </row>
    <row r="13717" spans="24:24" x14ac:dyDescent="0.35">
      <c r="X13717" s="8"/>
    </row>
    <row r="13718" spans="24:24" x14ac:dyDescent="0.35">
      <c r="X13718" s="8"/>
    </row>
    <row r="13719" spans="24:24" x14ac:dyDescent="0.35">
      <c r="X13719" s="8"/>
    </row>
    <row r="13720" spans="24:24" x14ac:dyDescent="0.35">
      <c r="X13720" s="8"/>
    </row>
    <row r="13721" spans="24:24" x14ac:dyDescent="0.35">
      <c r="X13721" s="8"/>
    </row>
    <row r="13722" spans="24:24" x14ac:dyDescent="0.35">
      <c r="X13722" s="8"/>
    </row>
    <row r="13723" spans="24:24" x14ac:dyDescent="0.35">
      <c r="X13723" s="8"/>
    </row>
    <row r="13724" spans="24:24" x14ac:dyDescent="0.35">
      <c r="X13724" s="8"/>
    </row>
    <row r="13725" spans="24:24" x14ac:dyDescent="0.35">
      <c r="X13725" s="8"/>
    </row>
    <row r="13726" spans="24:24" x14ac:dyDescent="0.35">
      <c r="X13726" s="8"/>
    </row>
    <row r="13727" spans="24:24" x14ac:dyDescent="0.35">
      <c r="X13727" s="8"/>
    </row>
    <row r="13728" spans="24:24" x14ac:dyDescent="0.35">
      <c r="X13728" s="8"/>
    </row>
    <row r="13729" spans="24:24" x14ac:dyDescent="0.35">
      <c r="X13729" s="8"/>
    </row>
    <row r="13730" spans="24:24" x14ac:dyDescent="0.35">
      <c r="X13730" s="8"/>
    </row>
    <row r="13731" spans="24:24" x14ac:dyDescent="0.35">
      <c r="X13731" s="8"/>
    </row>
    <row r="13732" spans="24:24" x14ac:dyDescent="0.35">
      <c r="X13732" s="8"/>
    </row>
    <row r="13733" spans="24:24" x14ac:dyDescent="0.35">
      <c r="X13733" s="8"/>
    </row>
    <row r="13734" spans="24:24" x14ac:dyDescent="0.35">
      <c r="X13734" s="8"/>
    </row>
    <row r="13735" spans="24:24" x14ac:dyDescent="0.35">
      <c r="X13735" s="8"/>
    </row>
    <row r="13736" spans="24:24" x14ac:dyDescent="0.35">
      <c r="X13736" s="8"/>
    </row>
    <row r="13737" spans="24:24" x14ac:dyDescent="0.35">
      <c r="X13737" s="8"/>
    </row>
    <row r="13738" spans="24:24" x14ac:dyDescent="0.35">
      <c r="X13738" s="8"/>
    </row>
    <row r="13739" spans="24:24" x14ac:dyDescent="0.35">
      <c r="X13739" s="8"/>
    </row>
    <row r="13740" spans="24:24" x14ac:dyDescent="0.35">
      <c r="X13740" s="8"/>
    </row>
    <row r="13741" spans="24:24" x14ac:dyDescent="0.35">
      <c r="X13741" s="8"/>
    </row>
    <row r="13742" spans="24:24" x14ac:dyDescent="0.35">
      <c r="X13742" s="8"/>
    </row>
    <row r="13743" spans="24:24" x14ac:dyDescent="0.35">
      <c r="X13743" s="8"/>
    </row>
    <row r="13744" spans="24:24" x14ac:dyDescent="0.35">
      <c r="X13744" s="8"/>
    </row>
    <row r="13745" spans="24:24" x14ac:dyDescent="0.35">
      <c r="X13745" s="8"/>
    </row>
    <row r="13746" spans="24:24" x14ac:dyDescent="0.35">
      <c r="X13746" s="8"/>
    </row>
    <row r="13747" spans="24:24" x14ac:dyDescent="0.35">
      <c r="X13747" s="8"/>
    </row>
    <row r="13748" spans="24:24" x14ac:dyDescent="0.35">
      <c r="X13748" s="8"/>
    </row>
    <row r="13749" spans="24:24" x14ac:dyDescent="0.35">
      <c r="X13749" s="8"/>
    </row>
    <row r="13750" spans="24:24" x14ac:dyDescent="0.35">
      <c r="X13750" s="8"/>
    </row>
    <row r="13751" spans="24:24" x14ac:dyDescent="0.35">
      <c r="X13751" s="8"/>
    </row>
    <row r="13752" spans="24:24" x14ac:dyDescent="0.35">
      <c r="X13752" s="8"/>
    </row>
    <row r="13753" spans="24:24" x14ac:dyDescent="0.35">
      <c r="X13753" s="8"/>
    </row>
    <row r="13754" spans="24:24" x14ac:dyDescent="0.35">
      <c r="X13754" s="8"/>
    </row>
    <row r="13755" spans="24:24" x14ac:dyDescent="0.35">
      <c r="X13755" s="8"/>
    </row>
    <row r="13756" spans="24:24" x14ac:dyDescent="0.35">
      <c r="X13756" s="8"/>
    </row>
    <row r="13757" spans="24:24" x14ac:dyDescent="0.35">
      <c r="X13757" s="8"/>
    </row>
    <row r="13758" spans="24:24" x14ac:dyDescent="0.35">
      <c r="X13758" s="8"/>
    </row>
    <row r="13759" spans="24:24" x14ac:dyDescent="0.35">
      <c r="X13759" s="8"/>
    </row>
    <row r="13760" spans="24:24" x14ac:dyDescent="0.35">
      <c r="X13760" s="8"/>
    </row>
    <row r="13761" spans="24:24" x14ac:dyDescent="0.35">
      <c r="X13761" s="8"/>
    </row>
    <row r="13762" spans="24:24" x14ac:dyDescent="0.35">
      <c r="X13762" s="8"/>
    </row>
    <row r="13763" spans="24:24" x14ac:dyDescent="0.35">
      <c r="X13763" s="8"/>
    </row>
    <row r="13764" spans="24:24" x14ac:dyDescent="0.35">
      <c r="X13764" s="8"/>
    </row>
    <row r="13765" spans="24:24" x14ac:dyDescent="0.35">
      <c r="X13765" s="8"/>
    </row>
    <row r="13766" spans="24:24" x14ac:dyDescent="0.35">
      <c r="X13766" s="8"/>
    </row>
    <row r="13767" spans="24:24" x14ac:dyDescent="0.35">
      <c r="X13767" s="8"/>
    </row>
    <row r="13768" spans="24:24" x14ac:dyDescent="0.35">
      <c r="X13768" s="8"/>
    </row>
    <row r="13769" spans="24:24" x14ac:dyDescent="0.35">
      <c r="X13769" s="8"/>
    </row>
    <row r="13770" spans="24:24" x14ac:dyDescent="0.35">
      <c r="X13770" s="8"/>
    </row>
    <row r="13771" spans="24:24" x14ac:dyDescent="0.35">
      <c r="X13771" s="8"/>
    </row>
    <row r="13772" spans="24:24" x14ac:dyDescent="0.35">
      <c r="X13772" s="8"/>
    </row>
    <row r="13773" spans="24:24" x14ac:dyDescent="0.35">
      <c r="X13773" s="8"/>
    </row>
    <row r="13774" spans="24:24" x14ac:dyDescent="0.35">
      <c r="X13774" s="8"/>
    </row>
    <row r="13775" spans="24:24" x14ac:dyDescent="0.35">
      <c r="X13775" s="8"/>
    </row>
    <row r="13776" spans="24:24" x14ac:dyDescent="0.35">
      <c r="X13776" s="8"/>
    </row>
    <row r="13777" spans="24:24" x14ac:dyDescent="0.35">
      <c r="X13777" s="8"/>
    </row>
    <row r="13778" spans="24:24" x14ac:dyDescent="0.35">
      <c r="X13778" s="8"/>
    </row>
    <row r="13779" spans="24:24" x14ac:dyDescent="0.35">
      <c r="X13779" s="8"/>
    </row>
    <row r="13780" spans="24:24" x14ac:dyDescent="0.35">
      <c r="X13780" s="8"/>
    </row>
    <row r="13781" spans="24:24" x14ac:dyDescent="0.35">
      <c r="X13781" s="8"/>
    </row>
    <row r="13782" spans="24:24" x14ac:dyDescent="0.35">
      <c r="X13782" s="8"/>
    </row>
    <row r="13783" spans="24:24" x14ac:dyDescent="0.35">
      <c r="X13783" s="8"/>
    </row>
    <row r="13784" spans="24:24" x14ac:dyDescent="0.35">
      <c r="X13784" s="8"/>
    </row>
    <row r="13785" spans="24:24" x14ac:dyDescent="0.35">
      <c r="X13785" s="8"/>
    </row>
    <row r="13786" spans="24:24" x14ac:dyDescent="0.35">
      <c r="X13786" s="8"/>
    </row>
    <row r="13787" spans="24:24" x14ac:dyDescent="0.35">
      <c r="X13787" s="8"/>
    </row>
    <row r="13788" spans="24:24" x14ac:dyDescent="0.35">
      <c r="X13788" s="8"/>
    </row>
    <row r="13789" spans="24:24" x14ac:dyDescent="0.35">
      <c r="X13789" s="8"/>
    </row>
    <row r="13790" spans="24:24" x14ac:dyDescent="0.35">
      <c r="X13790" s="8"/>
    </row>
    <row r="13791" spans="24:24" x14ac:dyDescent="0.35">
      <c r="X13791" s="8"/>
    </row>
    <row r="13792" spans="24:24" x14ac:dyDescent="0.35">
      <c r="X13792" s="8"/>
    </row>
    <row r="13793" spans="24:24" x14ac:dyDescent="0.35">
      <c r="X13793" s="8"/>
    </row>
    <row r="13794" spans="24:24" x14ac:dyDescent="0.35">
      <c r="X13794" s="8"/>
    </row>
    <row r="13795" spans="24:24" x14ac:dyDescent="0.35">
      <c r="X13795" s="8"/>
    </row>
    <row r="13796" spans="24:24" x14ac:dyDescent="0.35">
      <c r="X13796" s="8"/>
    </row>
    <row r="13797" spans="24:24" x14ac:dyDescent="0.35">
      <c r="X13797" s="8"/>
    </row>
    <row r="13798" spans="24:24" x14ac:dyDescent="0.35">
      <c r="X13798" s="8"/>
    </row>
    <row r="13799" spans="24:24" x14ac:dyDescent="0.35">
      <c r="X13799" s="8"/>
    </row>
    <row r="13800" spans="24:24" x14ac:dyDescent="0.35">
      <c r="X13800" s="8"/>
    </row>
    <row r="13801" spans="24:24" x14ac:dyDescent="0.35">
      <c r="X13801" s="8"/>
    </row>
    <row r="13802" spans="24:24" x14ac:dyDescent="0.35">
      <c r="X13802" s="8"/>
    </row>
    <row r="13803" spans="24:24" x14ac:dyDescent="0.35">
      <c r="X13803" s="8"/>
    </row>
    <row r="13804" spans="24:24" x14ac:dyDescent="0.35">
      <c r="X13804" s="8"/>
    </row>
    <row r="13805" spans="24:24" x14ac:dyDescent="0.35">
      <c r="X13805" s="8"/>
    </row>
    <row r="13806" spans="24:24" x14ac:dyDescent="0.35">
      <c r="X13806" s="8"/>
    </row>
    <row r="13807" spans="24:24" x14ac:dyDescent="0.35">
      <c r="X13807" s="8"/>
    </row>
    <row r="13808" spans="24:24" x14ac:dyDescent="0.35">
      <c r="X13808" s="8"/>
    </row>
    <row r="13809" spans="24:24" x14ac:dyDescent="0.35">
      <c r="X13809" s="8"/>
    </row>
    <row r="13810" spans="24:24" x14ac:dyDescent="0.35">
      <c r="X13810" s="8"/>
    </row>
    <row r="13811" spans="24:24" x14ac:dyDescent="0.35">
      <c r="X13811" s="8"/>
    </row>
    <row r="13812" spans="24:24" x14ac:dyDescent="0.35">
      <c r="X13812" s="8"/>
    </row>
    <row r="13813" spans="24:24" x14ac:dyDescent="0.35">
      <c r="X13813" s="8"/>
    </row>
    <row r="13814" spans="24:24" x14ac:dyDescent="0.35">
      <c r="X13814" s="8"/>
    </row>
    <row r="13815" spans="24:24" x14ac:dyDescent="0.35">
      <c r="X13815" s="8"/>
    </row>
    <row r="13816" spans="24:24" x14ac:dyDescent="0.35">
      <c r="X13816" s="8"/>
    </row>
    <row r="13817" spans="24:24" x14ac:dyDescent="0.35">
      <c r="X13817" s="8"/>
    </row>
    <row r="13818" spans="24:24" x14ac:dyDescent="0.35">
      <c r="X13818" s="8"/>
    </row>
    <row r="13819" spans="24:24" x14ac:dyDescent="0.35">
      <c r="X13819" s="8"/>
    </row>
    <row r="13820" spans="24:24" x14ac:dyDescent="0.35">
      <c r="X13820" s="8"/>
    </row>
    <row r="13821" spans="24:24" x14ac:dyDescent="0.35">
      <c r="X13821" s="8"/>
    </row>
    <row r="13822" spans="24:24" x14ac:dyDescent="0.35">
      <c r="X13822" s="8"/>
    </row>
    <row r="13823" spans="24:24" x14ac:dyDescent="0.35">
      <c r="X13823" s="8"/>
    </row>
    <row r="13824" spans="24:24" x14ac:dyDescent="0.35">
      <c r="X13824" s="8"/>
    </row>
    <row r="13825" spans="24:24" x14ac:dyDescent="0.35">
      <c r="X13825" s="8"/>
    </row>
    <row r="13826" spans="24:24" x14ac:dyDescent="0.35">
      <c r="X13826" s="8"/>
    </row>
    <row r="13827" spans="24:24" x14ac:dyDescent="0.35">
      <c r="X13827" s="8"/>
    </row>
    <row r="13828" spans="24:24" x14ac:dyDescent="0.35">
      <c r="X13828" s="8"/>
    </row>
    <row r="13829" spans="24:24" x14ac:dyDescent="0.35">
      <c r="X13829" s="8"/>
    </row>
    <row r="13830" spans="24:24" x14ac:dyDescent="0.35">
      <c r="X13830" s="8"/>
    </row>
    <row r="13831" spans="24:24" x14ac:dyDescent="0.35">
      <c r="X13831" s="8"/>
    </row>
    <row r="13832" spans="24:24" x14ac:dyDescent="0.35">
      <c r="X13832" s="8"/>
    </row>
    <row r="13833" spans="24:24" x14ac:dyDescent="0.35">
      <c r="X13833" s="8"/>
    </row>
    <row r="13834" spans="24:24" x14ac:dyDescent="0.35">
      <c r="X13834" s="8"/>
    </row>
    <row r="13835" spans="24:24" x14ac:dyDescent="0.35">
      <c r="X13835" s="8"/>
    </row>
    <row r="13836" spans="24:24" x14ac:dyDescent="0.35">
      <c r="X13836" s="8"/>
    </row>
    <row r="13837" spans="24:24" x14ac:dyDescent="0.35">
      <c r="X13837" s="8"/>
    </row>
    <row r="13838" spans="24:24" x14ac:dyDescent="0.35">
      <c r="X13838" s="8"/>
    </row>
    <row r="13839" spans="24:24" x14ac:dyDescent="0.35">
      <c r="X13839" s="8"/>
    </row>
    <row r="13840" spans="24:24" x14ac:dyDescent="0.35">
      <c r="X13840" s="8"/>
    </row>
    <row r="13841" spans="24:24" x14ac:dyDescent="0.35">
      <c r="X13841" s="8"/>
    </row>
    <row r="13842" spans="24:24" x14ac:dyDescent="0.35">
      <c r="X13842" s="8"/>
    </row>
    <row r="13843" spans="24:24" x14ac:dyDescent="0.35">
      <c r="X13843" s="8"/>
    </row>
    <row r="13844" spans="24:24" x14ac:dyDescent="0.35">
      <c r="X13844" s="8"/>
    </row>
    <row r="13845" spans="24:24" x14ac:dyDescent="0.35">
      <c r="X13845" s="8"/>
    </row>
    <row r="13846" spans="24:24" x14ac:dyDescent="0.35">
      <c r="X13846" s="8"/>
    </row>
    <row r="13847" spans="24:24" x14ac:dyDescent="0.35">
      <c r="X13847" s="8"/>
    </row>
    <row r="13848" spans="24:24" x14ac:dyDescent="0.35">
      <c r="X13848" s="8"/>
    </row>
    <row r="13849" spans="24:24" x14ac:dyDescent="0.35">
      <c r="X13849" s="8"/>
    </row>
    <row r="13850" spans="24:24" x14ac:dyDescent="0.35">
      <c r="X13850" s="8"/>
    </row>
    <row r="13851" spans="24:24" x14ac:dyDescent="0.35">
      <c r="X13851" s="8"/>
    </row>
    <row r="13852" spans="24:24" x14ac:dyDescent="0.35">
      <c r="X13852" s="8"/>
    </row>
    <row r="13853" spans="24:24" x14ac:dyDescent="0.35">
      <c r="X13853" s="8"/>
    </row>
    <row r="13854" spans="24:24" x14ac:dyDescent="0.35">
      <c r="X13854" s="8"/>
    </row>
    <row r="13855" spans="24:24" x14ac:dyDescent="0.35">
      <c r="X13855" s="8"/>
    </row>
    <row r="13856" spans="24:24" x14ac:dyDescent="0.35">
      <c r="X13856" s="8"/>
    </row>
    <row r="13857" spans="24:24" x14ac:dyDescent="0.35">
      <c r="X13857" s="8"/>
    </row>
    <row r="13858" spans="24:24" x14ac:dyDescent="0.35">
      <c r="X13858" s="8"/>
    </row>
    <row r="13859" spans="24:24" x14ac:dyDescent="0.35">
      <c r="X13859" s="8"/>
    </row>
    <row r="13860" spans="24:24" x14ac:dyDescent="0.35">
      <c r="X13860" s="8"/>
    </row>
    <row r="13861" spans="24:24" x14ac:dyDescent="0.35">
      <c r="X13861" s="8"/>
    </row>
    <row r="13862" spans="24:24" x14ac:dyDescent="0.35">
      <c r="X13862" s="8"/>
    </row>
    <row r="13863" spans="24:24" x14ac:dyDescent="0.35">
      <c r="X13863" s="8"/>
    </row>
    <row r="13864" spans="24:24" x14ac:dyDescent="0.35">
      <c r="X13864" s="8"/>
    </row>
    <row r="13865" spans="24:24" x14ac:dyDescent="0.35">
      <c r="X13865" s="8"/>
    </row>
    <row r="13866" spans="24:24" x14ac:dyDescent="0.35">
      <c r="X13866" s="8"/>
    </row>
    <row r="13867" spans="24:24" x14ac:dyDescent="0.35">
      <c r="X13867" s="8"/>
    </row>
    <row r="13868" spans="24:24" x14ac:dyDescent="0.35">
      <c r="X13868" s="8"/>
    </row>
    <row r="13869" spans="24:24" x14ac:dyDescent="0.35">
      <c r="X13869" s="8"/>
    </row>
    <row r="13870" spans="24:24" x14ac:dyDescent="0.35">
      <c r="X13870" s="8"/>
    </row>
    <row r="13871" spans="24:24" x14ac:dyDescent="0.35">
      <c r="X13871" s="8"/>
    </row>
    <row r="13872" spans="24:24" x14ac:dyDescent="0.35">
      <c r="X13872" s="8"/>
    </row>
    <row r="13873" spans="24:24" x14ac:dyDescent="0.35">
      <c r="X13873" s="8"/>
    </row>
    <row r="13874" spans="24:24" x14ac:dyDescent="0.35">
      <c r="X13874" s="8"/>
    </row>
    <row r="13875" spans="24:24" x14ac:dyDescent="0.35">
      <c r="X13875" s="8"/>
    </row>
    <row r="13876" spans="24:24" x14ac:dyDescent="0.35">
      <c r="X13876" s="8"/>
    </row>
    <row r="13877" spans="24:24" x14ac:dyDescent="0.35">
      <c r="X13877" s="8"/>
    </row>
    <row r="13878" spans="24:24" x14ac:dyDescent="0.35">
      <c r="X13878" s="8"/>
    </row>
    <row r="13879" spans="24:24" x14ac:dyDescent="0.35">
      <c r="X13879" s="8"/>
    </row>
    <row r="13880" spans="24:24" x14ac:dyDescent="0.35">
      <c r="X13880" s="8"/>
    </row>
    <row r="13881" spans="24:24" x14ac:dyDescent="0.35">
      <c r="X13881" s="8"/>
    </row>
    <row r="13882" spans="24:24" x14ac:dyDescent="0.35">
      <c r="X13882" s="8"/>
    </row>
    <row r="13883" spans="24:24" x14ac:dyDescent="0.35">
      <c r="X13883" s="8"/>
    </row>
    <row r="13884" spans="24:24" x14ac:dyDescent="0.35">
      <c r="X13884" s="8"/>
    </row>
    <row r="13885" spans="24:24" x14ac:dyDescent="0.35">
      <c r="X13885" s="8"/>
    </row>
    <row r="13886" spans="24:24" x14ac:dyDescent="0.35">
      <c r="X13886" s="8"/>
    </row>
    <row r="13887" spans="24:24" x14ac:dyDescent="0.35">
      <c r="X13887" s="8"/>
    </row>
    <row r="13888" spans="24:24" x14ac:dyDescent="0.35">
      <c r="X13888" s="8"/>
    </row>
    <row r="13889" spans="24:24" x14ac:dyDescent="0.35">
      <c r="X13889" s="8"/>
    </row>
    <row r="13890" spans="24:24" x14ac:dyDescent="0.35">
      <c r="X13890" s="8"/>
    </row>
    <row r="13891" spans="24:24" x14ac:dyDescent="0.35">
      <c r="X13891" s="8"/>
    </row>
    <row r="13892" spans="24:24" x14ac:dyDescent="0.35">
      <c r="X13892" s="8"/>
    </row>
    <row r="13893" spans="24:24" x14ac:dyDescent="0.35">
      <c r="X13893" s="8"/>
    </row>
    <row r="13894" spans="24:24" x14ac:dyDescent="0.35">
      <c r="X13894" s="8"/>
    </row>
    <row r="13895" spans="24:24" x14ac:dyDescent="0.35">
      <c r="X13895" s="8"/>
    </row>
    <row r="13896" spans="24:24" x14ac:dyDescent="0.35">
      <c r="X13896" s="8"/>
    </row>
    <row r="13897" spans="24:24" x14ac:dyDescent="0.35">
      <c r="X13897" s="8"/>
    </row>
    <row r="13898" spans="24:24" x14ac:dyDescent="0.35">
      <c r="X13898" s="8"/>
    </row>
    <row r="13899" spans="24:24" x14ac:dyDescent="0.35">
      <c r="X13899" s="8"/>
    </row>
    <row r="13900" spans="24:24" x14ac:dyDescent="0.35">
      <c r="X13900" s="8"/>
    </row>
    <row r="13901" spans="24:24" x14ac:dyDescent="0.35">
      <c r="X13901" s="8"/>
    </row>
    <row r="13902" spans="24:24" x14ac:dyDescent="0.35">
      <c r="X13902" s="8"/>
    </row>
    <row r="13903" spans="24:24" x14ac:dyDescent="0.35">
      <c r="X13903" s="8"/>
    </row>
    <row r="13904" spans="24:24" x14ac:dyDescent="0.35">
      <c r="X13904" s="8"/>
    </row>
    <row r="13905" spans="24:24" x14ac:dyDescent="0.35">
      <c r="X13905" s="8"/>
    </row>
    <row r="13906" spans="24:24" x14ac:dyDescent="0.35">
      <c r="X13906" s="8"/>
    </row>
    <row r="13907" spans="24:24" x14ac:dyDescent="0.35">
      <c r="X13907" s="8"/>
    </row>
    <row r="13908" spans="24:24" x14ac:dyDescent="0.35">
      <c r="X13908" s="8"/>
    </row>
    <row r="13909" spans="24:24" x14ac:dyDescent="0.35">
      <c r="X13909" s="8"/>
    </row>
    <row r="13910" spans="24:24" x14ac:dyDescent="0.35">
      <c r="X13910" s="8"/>
    </row>
    <row r="13911" spans="24:24" x14ac:dyDescent="0.35">
      <c r="X13911" s="8"/>
    </row>
    <row r="13912" spans="24:24" x14ac:dyDescent="0.35">
      <c r="X13912" s="8"/>
    </row>
    <row r="13913" spans="24:24" x14ac:dyDescent="0.35">
      <c r="X13913" s="8"/>
    </row>
    <row r="13914" spans="24:24" x14ac:dyDescent="0.35">
      <c r="X13914" s="8"/>
    </row>
    <row r="13915" spans="24:24" x14ac:dyDescent="0.35">
      <c r="X13915" s="8"/>
    </row>
    <row r="13916" spans="24:24" x14ac:dyDescent="0.35">
      <c r="X13916" s="8"/>
    </row>
    <row r="13917" spans="24:24" x14ac:dyDescent="0.35">
      <c r="X13917" s="8"/>
    </row>
    <row r="13918" spans="24:24" x14ac:dyDescent="0.35">
      <c r="X13918" s="8"/>
    </row>
    <row r="13919" spans="24:24" x14ac:dyDescent="0.35">
      <c r="X13919" s="8"/>
    </row>
    <row r="13920" spans="24:24" x14ac:dyDescent="0.35">
      <c r="X13920" s="8"/>
    </row>
    <row r="13921" spans="24:24" x14ac:dyDescent="0.35">
      <c r="X13921" s="8"/>
    </row>
    <row r="13922" spans="24:24" x14ac:dyDescent="0.35">
      <c r="X13922" s="8"/>
    </row>
    <row r="13923" spans="24:24" x14ac:dyDescent="0.35">
      <c r="X13923" s="8"/>
    </row>
    <row r="13924" spans="24:24" x14ac:dyDescent="0.35">
      <c r="X13924" s="8"/>
    </row>
    <row r="13925" spans="24:24" x14ac:dyDescent="0.35">
      <c r="X13925" s="8"/>
    </row>
    <row r="13926" spans="24:24" x14ac:dyDescent="0.35">
      <c r="X13926" s="8"/>
    </row>
    <row r="13927" spans="24:24" x14ac:dyDescent="0.35">
      <c r="X13927" s="8"/>
    </row>
    <row r="13928" spans="24:24" x14ac:dyDescent="0.35">
      <c r="X13928" s="8"/>
    </row>
    <row r="13929" spans="24:24" x14ac:dyDescent="0.35">
      <c r="X13929" s="8"/>
    </row>
    <row r="13930" spans="24:24" x14ac:dyDescent="0.35">
      <c r="X13930" s="8"/>
    </row>
    <row r="13931" spans="24:24" x14ac:dyDescent="0.35">
      <c r="X13931" s="8"/>
    </row>
    <row r="13932" spans="24:24" x14ac:dyDescent="0.35">
      <c r="X13932" s="8"/>
    </row>
    <row r="13933" spans="24:24" x14ac:dyDescent="0.35">
      <c r="X13933" s="8"/>
    </row>
    <row r="13934" spans="24:24" x14ac:dyDescent="0.35">
      <c r="X13934" s="8"/>
    </row>
    <row r="13935" spans="24:24" x14ac:dyDescent="0.35">
      <c r="X13935" s="8"/>
    </row>
    <row r="13936" spans="24:24" x14ac:dyDescent="0.35">
      <c r="X13936" s="8"/>
    </row>
    <row r="13937" spans="24:24" x14ac:dyDescent="0.35">
      <c r="X13937" s="8"/>
    </row>
    <row r="13938" spans="24:24" x14ac:dyDescent="0.35">
      <c r="X13938" s="8"/>
    </row>
    <row r="13939" spans="24:24" x14ac:dyDescent="0.35">
      <c r="X13939" s="8"/>
    </row>
    <row r="13940" spans="24:24" x14ac:dyDescent="0.35">
      <c r="X13940" s="8"/>
    </row>
    <row r="13941" spans="24:24" x14ac:dyDescent="0.35">
      <c r="X13941" s="8"/>
    </row>
    <row r="13942" spans="24:24" x14ac:dyDescent="0.35">
      <c r="X13942" s="8"/>
    </row>
    <row r="13943" spans="24:24" x14ac:dyDescent="0.35">
      <c r="X13943" s="8"/>
    </row>
    <row r="13944" spans="24:24" x14ac:dyDescent="0.35">
      <c r="X13944" s="8"/>
    </row>
    <row r="13945" spans="24:24" x14ac:dyDescent="0.35">
      <c r="X13945" s="8"/>
    </row>
    <row r="13946" spans="24:24" x14ac:dyDescent="0.35">
      <c r="X13946" s="8"/>
    </row>
    <row r="13947" spans="24:24" x14ac:dyDescent="0.35">
      <c r="X13947" s="8"/>
    </row>
    <row r="13948" spans="24:24" x14ac:dyDescent="0.35">
      <c r="X13948" s="8"/>
    </row>
    <row r="13949" spans="24:24" x14ac:dyDescent="0.35">
      <c r="X13949" s="8"/>
    </row>
    <row r="13950" spans="24:24" x14ac:dyDescent="0.35">
      <c r="X13950" s="8"/>
    </row>
    <row r="13951" spans="24:24" x14ac:dyDescent="0.35">
      <c r="X13951" s="8"/>
    </row>
    <row r="13952" spans="24:24" x14ac:dyDescent="0.35">
      <c r="X13952" s="8"/>
    </row>
    <row r="13953" spans="24:24" x14ac:dyDescent="0.35">
      <c r="X13953" s="8"/>
    </row>
    <row r="13954" spans="24:24" x14ac:dyDescent="0.35">
      <c r="X13954" s="8"/>
    </row>
    <row r="13955" spans="24:24" x14ac:dyDescent="0.35">
      <c r="X13955" s="8"/>
    </row>
    <row r="13956" spans="24:24" x14ac:dyDescent="0.35">
      <c r="X13956" s="8"/>
    </row>
    <row r="13957" spans="24:24" x14ac:dyDescent="0.35">
      <c r="X13957" s="8"/>
    </row>
    <row r="13958" spans="24:24" x14ac:dyDescent="0.35">
      <c r="X13958" s="8"/>
    </row>
    <row r="13959" spans="24:24" x14ac:dyDescent="0.35">
      <c r="X13959" s="8"/>
    </row>
    <row r="13960" spans="24:24" x14ac:dyDescent="0.35">
      <c r="X13960" s="8"/>
    </row>
    <row r="13961" spans="24:24" x14ac:dyDescent="0.35">
      <c r="X13961" s="8"/>
    </row>
    <row r="13962" spans="24:24" x14ac:dyDescent="0.35">
      <c r="X13962" s="8"/>
    </row>
    <row r="13963" spans="24:24" x14ac:dyDescent="0.35">
      <c r="X13963" s="8"/>
    </row>
    <row r="13964" spans="24:24" x14ac:dyDescent="0.35">
      <c r="X13964" s="8"/>
    </row>
    <row r="13965" spans="24:24" x14ac:dyDescent="0.35">
      <c r="X13965" s="8"/>
    </row>
    <row r="13966" spans="24:24" x14ac:dyDescent="0.35">
      <c r="X13966" s="8"/>
    </row>
    <row r="13967" spans="24:24" x14ac:dyDescent="0.35">
      <c r="X13967" s="8"/>
    </row>
    <row r="13968" spans="24:24" x14ac:dyDescent="0.35">
      <c r="X13968" s="8"/>
    </row>
    <row r="13969" spans="24:24" x14ac:dyDescent="0.35">
      <c r="X13969" s="8"/>
    </row>
    <row r="13970" spans="24:24" x14ac:dyDescent="0.35">
      <c r="X13970" s="8"/>
    </row>
    <row r="13971" spans="24:24" x14ac:dyDescent="0.35">
      <c r="X13971" s="8"/>
    </row>
    <row r="13972" spans="24:24" x14ac:dyDescent="0.35">
      <c r="X13972" s="8"/>
    </row>
    <row r="13973" spans="24:24" x14ac:dyDescent="0.35">
      <c r="X13973" s="8"/>
    </row>
    <row r="13974" spans="24:24" x14ac:dyDescent="0.35">
      <c r="X13974" s="8"/>
    </row>
    <row r="13975" spans="24:24" x14ac:dyDescent="0.35">
      <c r="X13975" s="8"/>
    </row>
    <row r="13976" spans="24:24" x14ac:dyDescent="0.35">
      <c r="X13976" s="8"/>
    </row>
    <row r="13977" spans="24:24" x14ac:dyDescent="0.35">
      <c r="X13977" s="8"/>
    </row>
    <row r="13978" spans="24:24" x14ac:dyDescent="0.35">
      <c r="X13978" s="8"/>
    </row>
    <row r="13979" spans="24:24" x14ac:dyDescent="0.35">
      <c r="X13979" s="8"/>
    </row>
    <row r="13980" spans="24:24" x14ac:dyDescent="0.35">
      <c r="X13980" s="8"/>
    </row>
    <row r="13981" spans="24:24" x14ac:dyDescent="0.35">
      <c r="X13981" s="8"/>
    </row>
    <row r="13982" spans="24:24" x14ac:dyDescent="0.35">
      <c r="X13982" s="8"/>
    </row>
    <row r="13983" spans="24:24" x14ac:dyDescent="0.35">
      <c r="X13983" s="8"/>
    </row>
    <row r="13984" spans="24:24" x14ac:dyDescent="0.35">
      <c r="X13984" s="8"/>
    </row>
    <row r="13985" spans="24:24" x14ac:dyDescent="0.35">
      <c r="X13985" s="8"/>
    </row>
    <row r="13986" spans="24:24" x14ac:dyDescent="0.35">
      <c r="X13986" s="8"/>
    </row>
    <row r="13987" spans="24:24" x14ac:dyDescent="0.35">
      <c r="X13987" s="8"/>
    </row>
    <row r="13988" spans="24:24" x14ac:dyDescent="0.35">
      <c r="X13988" s="8"/>
    </row>
    <row r="13989" spans="24:24" x14ac:dyDescent="0.35">
      <c r="X13989" s="8"/>
    </row>
    <row r="13990" spans="24:24" x14ac:dyDescent="0.35">
      <c r="X13990" s="8"/>
    </row>
    <row r="13991" spans="24:24" x14ac:dyDescent="0.35">
      <c r="X13991" s="8"/>
    </row>
    <row r="13992" spans="24:24" x14ac:dyDescent="0.35">
      <c r="X13992" s="8"/>
    </row>
    <row r="13993" spans="24:24" x14ac:dyDescent="0.35">
      <c r="X13993" s="8"/>
    </row>
    <row r="13994" spans="24:24" x14ac:dyDescent="0.35">
      <c r="X13994" s="8"/>
    </row>
    <row r="13995" spans="24:24" x14ac:dyDescent="0.35">
      <c r="X13995" s="8"/>
    </row>
    <row r="13996" spans="24:24" x14ac:dyDescent="0.35">
      <c r="X13996" s="8"/>
    </row>
    <row r="13997" spans="24:24" x14ac:dyDescent="0.35">
      <c r="X13997" s="8"/>
    </row>
    <row r="13998" spans="24:24" x14ac:dyDescent="0.35">
      <c r="X13998" s="8"/>
    </row>
    <row r="13999" spans="24:24" x14ac:dyDescent="0.35">
      <c r="X13999" s="8"/>
    </row>
    <row r="14000" spans="24:24" x14ac:dyDescent="0.35">
      <c r="X14000" s="8"/>
    </row>
    <row r="14001" spans="24:24" x14ac:dyDescent="0.35">
      <c r="X14001" s="8"/>
    </row>
    <row r="14002" spans="24:24" x14ac:dyDescent="0.35">
      <c r="X14002" s="8"/>
    </row>
    <row r="14003" spans="24:24" x14ac:dyDescent="0.35">
      <c r="X14003" s="8"/>
    </row>
    <row r="14004" spans="24:24" x14ac:dyDescent="0.35">
      <c r="X14004" s="8"/>
    </row>
    <row r="14005" spans="24:24" x14ac:dyDescent="0.35">
      <c r="X14005" s="8"/>
    </row>
    <row r="14006" spans="24:24" x14ac:dyDescent="0.35">
      <c r="X14006" s="8"/>
    </row>
    <row r="14007" spans="24:24" x14ac:dyDescent="0.35">
      <c r="X14007" s="8"/>
    </row>
    <row r="14008" spans="24:24" x14ac:dyDescent="0.35">
      <c r="X14008" s="8"/>
    </row>
    <row r="14009" spans="24:24" x14ac:dyDescent="0.35">
      <c r="X14009" s="8"/>
    </row>
    <row r="14010" spans="24:24" x14ac:dyDescent="0.35">
      <c r="X14010" s="8"/>
    </row>
    <row r="14011" spans="24:24" x14ac:dyDescent="0.35">
      <c r="X14011" s="8"/>
    </row>
    <row r="14012" spans="24:24" x14ac:dyDescent="0.35">
      <c r="X14012" s="8"/>
    </row>
    <row r="14013" spans="24:24" x14ac:dyDescent="0.35">
      <c r="X14013" s="8"/>
    </row>
    <row r="14014" spans="24:24" x14ac:dyDescent="0.35">
      <c r="X14014" s="8"/>
    </row>
    <row r="14015" spans="24:24" x14ac:dyDescent="0.35">
      <c r="X14015" s="8"/>
    </row>
    <row r="14016" spans="24:24" x14ac:dyDescent="0.35">
      <c r="X14016" s="8"/>
    </row>
    <row r="14017" spans="24:24" x14ac:dyDescent="0.35">
      <c r="X14017" s="8"/>
    </row>
    <row r="14018" spans="24:24" x14ac:dyDescent="0.35">
      <c r="X14018" s="8"/>
    </row>
    <row r="14019" spans="24:24" x14ac:dyDescent="0.35">
      <c r="X14019" s="8"/>
    </row>
    <row r="14020" spans="24:24" x14ac:dyDescent="0.35">
      <c r="X14020" s="8"/>
    </row>
    <row r="14021" spans="24:24" x14ac:dyDescent="0.35">
      <c r="X14021" s="8"/>
    </row>
    <row r="14022" spans="24:24" x14ac:dyDescent="0.35">
      <c r="X14022" s="8"/>
    </row>
    <row r="14023" spans="24:24" x14ac:dyDescent="0.35">
      <c r="X14023" s="8"/>
    </row>
    <row r="14024" spans="24:24" x14ac:dyDescent="0.35">
      <c r="X14024" s="8"/>
    </row>
    <row r="14025" spans="24:24" x14ac:dyDescent="0.35">
      <c r="X14025" s="8"/>
    </row>
    <row r="14026" spans="24:24" x14ac:dyDescent="0.35">
      <c r="X14026" s="8"/>
    </row>
    <row r="14027" spans="24:24" x14ac:dyDescent="0.35">
      <c r="X14027" s="8"/>
    </row>
    <row r="14028" spans="24:24" x14ac:dyDescent="0.35">
      <c r="X14028" s="8"/>
    </row>
    <row r="14029" spans="24:24" x14ac:dyDescent="0.35">
      <c r="X14029" s="8"/>
    </row>
    <row r="14030" spans="24:24" x14ac:dyDescent="0.35">
      <c r="X14030" s="8"/>
    </row>
    <row r="14031" spans="24:24" x14ac:dyDescent="0.35">
      <c r="X14031" s="8"/>
    </row>
    <row r="14032" spans="24:24" x14ac:dyDescent="0.35">
      <c r="X14032" s="8"/>
    </row>
    <row r="14033" spans="24:24" x14ac:dyDescent="0.35">
      <c r="X14033" s="8"/>
    </row>
    <row r="14034" spans="24:24" x14ac:dyDescent="0.35">
      <c r="X14034" s="8"/>
    </row>
    <row r="14035" spans="24:24" x14ac:dyDescent="0.35">
      <c r="X14035" s="8"/>
    </row>
    <row r="14036" spans="24:24" x14ac:dyDescent="0.35">
      <c r="X14036" s="8"/>
    </row>
    <row r="14037" spans="24:24" x14ac:dyDescent="0.35">
      <c r="X14037" s="8"/>
    </row>
    <row r="14038" spans="24:24" x14ac:dyDescent="0.35">
      <c r="X14038" s="8"/>
    </row>
    <row r="14039" spans="24:24" x14ac:dyDescent="0.35">
      <c r="X14039" s="8"/>
    </row>
    <row r="14040" spans="24:24" x14ac:dyDescent="0.35">
      <c r="X14040" s="8"/>
    </row>
    <row r="14041" spans="24:24" x14ac:dyDescent="0.35">
      <c r="X14041" s="8"/>
    </row>
    <row r="14042" spans="24:24" x14ac:dyDescent="0.35">
      <c r="X14042" s="8"/>
    </row>
    <row r="14043" spans="24:24" x14ac:dyDescent="0.35">
      <c r="X14043" s="8"/>
    </row>
    <row r="14044" spans="24:24" x14ac:dyDescent="0.35">
      <c r="X14044" s="8"/>
    </row>
    <row r="14045" spans="24:24" x14ac:dyDescent="0.35">
      <c r="X14045" s="8"/>
    </row>
    <row r="14046" spans="24:24" x14ac:dyDescent="0.35">
      <c r="X14046" s="8"/>
    </row>
    <row r="14047" spans="24:24" x14ac:dyDescent="0.35">
      <c r="X14047" s="8"/>
    </row>
    <row r="14048" spans="24:24" x14ac:dyDescent="0.35">
      <c r="X14048" s="8"/>
    </row>
    <row r="14049" spans="24:24" x14ac:dyDescent="0.35">
      <c r="X14049" s="8"/>
    </row>
    <row r="14050" spans="24:24" x14ac:dyDescent="0.35">
      <c r="X14050" s="8"/>
    </row>
    <row r="14051" spans="24:24" x14ac:dyDescent="0.35">
      <c r="X14051" s="8"/>
    </row>
    <row r="14052" spans="24:24" x14ac:dyDescent="0.35">
      <c r="X14052" s="8"/>
    </row>
    <row r="14053" spans="24:24" x14ac:dyDescent="0.35">
      <c r="X14053" s="8"/>
    </row>
    <row r="14054" spans="24:24" x14ac:dyDescent="0.35">
      <c r="X14054" s="8"/>
    </row>
    <row r="14055" spans="24:24" x14ac:dyDescent="0.35">
      <c r="X14055" s="8"/>
    </row>
    <row r="14056" spans="24:24" x14ac:dyDescent="0.35">
      <c r="X14056" s="8"/>
    </row>
    <row r="14057" spans="24:24" x14ac:dyDescent="0.35">
      <c r="X14057" s="8"/>
    </row>
    <row r="14058" spans="24:24" x14ac:dyDescent="0.35">
      <c r="X14058" s="8"/>
    </row>
    <row r="14059" spans="24:24" x14ac:dyDescent="0.35">
      <c r="X14059" s="8"/>
    </row>
    <row r="14060" spans="24:24" x14ac:dyDescent="0.35">
      <c r="X14060" s="8"/>
    </row>
    <row r="14061" spans="24:24" x14ac:dyDescent="0.35">
      <c r="X14061" s="8"/>
    </row>
    <row r="14062" spans="24:24" x14ac:dyDescent="0.35">
      <c r="X14062" s="8"/>
    </row>
    <row r="14063" spans="24:24" x14ac:dyDescent="0.35">
      <c r="X14063" s="8"/>
    </row>
    <row r="14064" spans="24:24" x14ac:dyDescent="0.35">
      <c r="X14064" s="8"/>
    </row>
    <row r="14065" spans="24:24" x14ac:dyDescent="0.35">
      <c r="X14065" s="8"/>
    </row>
    <row r="14066" spans="24:24" x14ac:dyDescent="0.35">
      <c r="X14066" s="8"/>
    </row>
    <row r="14067" spans="24:24" x14ac:dyDescent="0.35">
      <c r="X14067" s="8"/>
    </row>
    <row r="14068" spans="24:24" x14ac:dyDescent="0.35">
      <c r="X14068" s="8"/>
    </row>
    <row r="14069" spans="24:24" x14ac:dyDescent="0.35">
      <c r="X14069" s="8"/>
    </row>
    <row r="14070" spans="24:24" x14ac:dyDescent="0.35">
      <c r="X14070" s="8"/>
    </row>
    <row r="14071" spans="24:24" x14ac:dyDescent="0.35">
      <c r="X14071" s="8"/>
    </row>
    <row r="14072" spans="24:24" x14ac:dyDescent="0.35">
      <c r="X14072" s="8"/>
    </row>
    <row r="14073" spans="24:24" x14ac:dyDescent="0.35">
      <c r="X14073" s="8"/>
    </row>
    <row r="14074" spans="24:24" x14ac:dyDescent="0.35">
      <c r="X14074" s="8"/>
    </row>
    <row r="14075" spans="24:24" x14ac:dyDescent="0.35">
      <c r="X14075" s="8"/>
    </row>
    <row r="14076" spans="24:24" x14ac:dyDescent="0.35">
      <c r="X14076" s="8"/>
    </row>
    <row r="14077" spans="24:24" x14ac:dyDescent="0.35">
      <c r="X14077" s="8"/>
    </row>
    <row r="14078" spans="24:24" x14ac:dyDescent="0.35">
      <c r="X14078" s="8"/>
    </row>
    <row r="14079" spans="24:24" x14ac:dyDescent="0.35">
      <c r="X14079" s="8"/>
    </row>
    <row r="14080" spans="24:24" x14ac:dyDescent="0.35">
      <c r="X14080" s="8"/>
    </row>
    <row r="14081" spans="24:24" x14ac:dyDescent="0.35">
      <c r="X14081" s="8"/>
    </row>
    <row r="14082" spans="24:24" x14ac:dyDescent="0.35">
      <c r="X14082" s="8"/>
    </row>
    <row r="14083" spans="24:24" x14ac:dyDescent="0.35">
      <c r="X14083" s="8"/>
    </row>
    <row r="14084" spans="24:24" x14ac:dyDescent="0.35">
      <c r="X14084" s="8"/>
    </row>
    <row r="14085" spans="24:24" x14ac:dyDescent="0.35">
      <c r="X14085" s="8"/>
    </row>
    <row r="14086" spans="24:24" x14ac:dyDescent="0.35">
      <c r="X14086" s="8"/>
    </row>
    <row r="14087" spans="24:24" x14ac:dyDescent="0.35">
      <c r="X14087" s="8"/>
    </row>
    <row r="14088" spans="24:24" x14ac:dyDescent="0.35">
      <c r="X14088" s="8"/>
    </row>
    <row r="14089" spans="24:24" x14ac:dyDescent="0.35">
      <c r="X14089" s="8"/>
    </row>
    <row r="14090" spans="24:24" x14ac:dyDescent="0.35">
      <c r="X14090" s="8"/>
    </row>
    <row r="14091" spans="24:24" x14ac:dyDescent="0.35">
      <c r="X14091" s="8"/>
    </row>
    <row r="14092" spans="24:24" x14ac:dyDescent="0.35">
      <c r="X14092" s="8"/>
    </row>
    <row r="14093" spans="24:24" x14ac:dyDescent="0.35">
      <c r="X14093" s="8"/>
    </row>
    <row r="14094" spans="24:24" x14ac:dyDescent="0.35">
      <c r="X14094" s="8"/>
    </row>
    <row r="14095" spans="24:24" x14ac:dyDescent="0.35">
      <c r="X14095" s="8"/>
    </row>
    <row r="14096" spans="24:24" x14ac:dyDescent="0.35">
      <c r="X14096" s="8"/>
    </row>
    <row r="14097" spans="24:24" x14ac:dyDescent="0.35">
      <c r="X14097" s="8"/>
    </row>
    <row r="14098" spans="24:24" x14ac:dyDescent="0.35">
      <c r="X14098" s="8"/>
    </row>
    <row r="14099" spans="24:24" x14ac:dyDescent="0.35">
      <c r="X14099" s="8"/>
    </row>
    <row r="14100" spans="24:24" x14ac:dyDescent="0.35">
      <c r="X14100" s="8"/>
    </row>
    <row r="14101" spans="24:24" x14ac:dyDescent="0.35">
      <c r="X14101" s="8"/>
    </row>
    <row r="14102" spans="24:24" x14ac:dyDescent="0.35">
      <c r="X14102" s="8"/>
    </row>
    <row r="14103" spans="24:24" x14ac:dyDescent="0.35">
      <c r="X14103" s="8"/>
    </row>
    <row r="14104" spans="24:24" x14ac:dyDescent="0.35">
      <c r="X14104" s="8"/>
    </row>
    <row r="14105" spans="24:24" x14ac:dyDescent="0.35">
      <c r="X14105" s="8"/>
    </row>
    <row r="14106" spans="24:24" x14ac:dyDescent="0.35">
      <c r="X14106" s="8"/>
    </row>
    <row r="14107" spans="24:24" x14ac:dyDescent="0.35">
      <c r="X14107" s="8"/>
    </row>
    <row r="14108" spans="24:24" x14ac:dyDescent="0.35">
      <c r="X14108" s="8"/>
    </row>
    <row r="14109" spans="24:24" x14ac:dyDescent="0.35">
      <c r="X14109" s="8"/>
    </row>
    <row r="14110" spans="24:24" x14ac:dyDescent="0.35">
      <c r="X14110" s="8"/>
    </row>
    <row r="14111" spans="24:24" x14ac:dyDescent="0.35">
      <c r="X14111" s="8"/>
    </row>
    <row r="14112" spans="24:24" x14ac:dyDescent="0.35">
      <c r="X14112" s="8"/>
    </row>
    <row r="14113" spans="24:24" x14ac:dyDescent="0.35">
      <c r="X14113" s="8"/>
    </row>
    <row r="14114" spans="24:24" x14ac:dyDescent="0.35">
      <c r="X14114" s="8"/>
    </row>
    <row r="14115" spans="24:24" x14ac:dyDescent="0.35">
      <c r="X14115" s="8"/>
    </row>
    <row r="14116" spans="24:24" x14ac:dyDescent="0.35">
      <c r="X14116" s="8"/>
    </row>
    <row r="14117" spans="24:24" x14ac:dyDescent="0.35">
      <c r="X14117" s="8"/>
    </row>
    <row r="14118" spans="24:24" x14ac:dyDescent="0.35">
      <c r="X14118" s="8"/>
    </row>
    <row r="14119" spans="24:24" x14ac:dyDescent="0.35">
      <c r="X14119" s="8"/>
    </row>
    <row r="14120" spans="24:24" x14ac:dyDescent="0.35">
      <c r="X14120" s="8"/>
    </row>
    <row r="14121" spans="24:24" x14ac:dyDescent="0.35">
      <c r="X14121" s="8"/>
    </row>
    <row r="14122" spans="24:24" x14ac:dyDescent="0.35">
      <c r="X14122" s="8"/>
    </row>
    <row r="14123" spans="24:24" x14ac:dyDescent="0.35">
      <c r="X14123" s="8"/>
    </row>
    <row r="14124" spans="24:24" x14ac:dyDescent="0.35">
      <c r="X14124" s="8"/>
    </row>
    <row r="14125" spans="24:24" x14ac:dyDescent="0.35">
      <c r="X14125" s="8"/>
    </row>
    <row r="14126" spans="24:24" x14ac:dyDescent="0.35">
      <c r="X14126" s="8"/>
    </row>
    <row r="14127" spans="24:24" x14ac:dyDescent="0.35">
      <c r="X14127" s="8"/>
    </row>
    <row r="14128" spans="24:24" x14ac:dyDescent="0.35">
      <c r="X14128" s="8"/>
    </row>
    <row r="14129" spans="24:24" x14ac:dyDescent="0.35">
      <c r="X14129" s="8"/>
    </row>
    <row r="14130" spans="24:24" x14ac:dyDescent="0.35">
      <c r="X14130" s="8"/>
    </row>
    <row r="14131" spans="24:24" x14ac:dyDescent="0.35">
      <c r="X14131" s="8"/>
    </row>
    <row r="14132" spans="24:24" x14ac:dyDescent="0.35">
      <c r="X14132" s="8"/>
    </row>
    <row r="14133" spans="24:24" x14ac:dyDescent="0.35">
      <c r="X14133" s="8"/>
    </row>
    <row r="14134" spans="24:24" x14ac:dyDescent="0.35">
      <c r="X14134" s="8"/>
    </row>
    <row r="14135" spans="24:24" x14ac:dyDescent="0.35">
      <c r="X14135" s="8"/>
    </row>
    <row r="14136" spans="24:24" x14ac:dyDescent="0.35">
      <c r="X14136" s="8"/>
    </row>
    <row r="14137" spans="24:24" x14ac:dyDescent="0.35">
      <c r="X14137" s="8"/>
    </row>
    <row r="14138" spans="24:24" x14ac:dyDescent="0.35">
      <c r="X14138" s="8"/>
    </row>
    <row r="14139" spans="24:24" x14ac:dyDescent="0.35">
      <c r="X14139" s="8"/>
    </row>
    <row r="14140" spans="24:24" x14ac:dyDescent="0.35">
      <c r="X14140" s="8"/>
    </row>
    <row r="14141" spans="24:24" x14ac:dyDescent="0.35">
      <c r="X14141" s="8"/>
    </row>
    <row r="14142" spans="24:24" x14ac:dyDescent="0.35">
      <c r="X14142" s="8"/>
    </row>
    <row r="14143" spans="24:24" x14ac:dyDescent="0.35">
      <c r="X14143" s="8"/>
    </row>
    <row r="14144" spans="24:24" x14ac:dyDescent="0.35">
      <c r="X14144" s="8"/>
    </row>
    <row r="14145" spans="24:24" x14ac:dyDescent="0.35">
      <c r="X14145" s="8"/>
    </row>
    <row r="14146" spans="24:24" x14ac:dyDescent="0.35">
      <c r="X14146" s="8"/>
    </row>
    <row r="14147" spans="24:24" x14ac:dyDescent="0.35">
      <c r="X14147" s="8"/>
    </row>
    <row r="14148" spans="24:24" x14ac:dyDescent="0.35">
      <c r="X14148" s="8"/>
    </row>
    <row r="14149" spans="24:24" x14ac:dyDescent="0.35">
      <c r="X14149" s="8"/>
    </row>
    <row r="14150" spans="24:24" x14ac:dyDescent="0.35">
      <c r="X14150" s="8"/>
    </row>
    <row r="14151" spans="24:24" x14ac:dyDescent="0.35">
      <c r="X14151" s="8"/>
    </row>
    <row r="14152" spans="24:24" x14ac:dyDescent="0.35">
      <c r="X14152" s="8"/>
    </row>
    <row r="14153" spans="24:24" x14ac:dyDescent="0.35">
      <c r="X14153" s="8"/>
    </row>
    <row r="14154" spans="24:24" x14ac:dyDescent="0.35">
      <c r="X14154" s="8"/>
    </row>
    <row r="14155" spans="24:24" x14ac:dyDescent="0.35">
      <c r="X14155" s="8"/>
    </row>
    <row r="14156" spans="24:24" x14ac:dyDescent="0.35">
      <c r="X14156" s="8"/>
    </row>
    <row r="14157" spans="24:24" x14ac:dyDescent="0.35">
      <c r="X14157" s="8"/>
    </row>
    <row r="14158" spans="24:24" x14ac:dyDescent="0.35">
      <c r="X14158" s="8"/>
    </row>
    <row r="14159" spans="24:24" x14ac:dyDescent="0.35">
      <c r="X14159" s="8"/>
    </row>
    <row r="14160" spans="24:24" x14ac:dyDescent="0.35">
      <c r="X14160" s="8"/>
    </row>
    <row r="14161" spans="24:24" x14ac:dyDescent="0.35">
      <c r="X14161" s="8"/>
    </row>
    <row r="14162" spans="24:24" x14ac:dyDescent="0.35">
      <c r="X14162" s="8"/>
    </row>
    <row r="14163" spans="24:24" x14ac:dyDescent="0.35">
      <c r="X14163" s="8"/>
    </row>
    <row r="14164" spans="24:24" x14ac:dyDescent="0.35">
      <c r="X14164" s="8"/>
    </row>
    <row r="14165" spans="24:24" x14ac:dyDescent="0.35">
      <c r="X14165" s="8"/>
    </row>
    <row r="14166" spans="24:24" x14ac:dyDescent="0.35">
      <c r="X14166" s="8"/>
    </row>
    <row r="14167" spans="24:24" x14ac:dyDescent="0.35">
      <c r="X14167" s="8"/>
    </row>
    <row r="14168" spans="24:24" x14ac:dyDescent="0.35">
      <c r="X14168" s="8"/>
    </row>
    <row r="14169" spans="24:24" x14ac:dyDescent="0.35">
      <c r="X14169" s="8"/>
    </row>
    <row r="14170" spans="24:24" x14ac:dyDescent="0.35">
      <c r="X14170" s="8"/>
    </row>
    <row r="14171" spans="24:24" x14ac:dyDescent="0.35">
      <c r="X14171" s="8"/>
    </row>
    <row r="14172" spans="24:24" x14ac:dyDescent="0.35">
      <c r="X14172" s="8"/>
    </row>
    <row r="14173" spans="24:24" x14ac:dyDescent="0.35">
      <c r="X14173" s="8"/>
    </row>
    <row r="14174" spans="24:24" x14ac:dyDescent="0.35">
      <c r="X14174" s="8"/>
    </row>
    <row r="14175" spans="24:24" x14ac:dyDescent="0.35">
      <c r="X14175" s="8"/>
    </row>
    <row r="14176" spans="24:24" x14ac:dyDescent="0.35">
      <c r="X14176" s="8"/>
    </row>
    <row r="14177" spans="24:24" x14ac:dyDescent="0.35">
      <c r="X14177" s="8"/>
    </row>
    <row r="14178" spans="24:24" x14ac:dyDescent="0.35">
      <c r="X14178" s="8"/>
    </row>
    <row r="14179" spans="24:24" x14ac:dyDescent="0.35">
      <c r="X14179" s="8"/>
    </row>
    <row r="14180" spans="24:24" x14ac:dyDescent="0.35">
      <c r="X14180" s="8"/>
    </row>
    <row r="14181" spans="24:24" x14ac:dyDescent="0.35">
      <c r="X14181" s="8"/>
    </row>
    <row r="14182" spans="24:24" x14ac:dyDescent="0.35">
      <c r="X14182" s="8"/>
    </row>
    <row r="14183" spans="24:24" x14ac:dyDescent="0.35">
      <c r="X14183" s="8"/>
    </row>
    <row r="14184" spans="24:24" x14ac:dyDescent="0.35">
      <c r="X14184" s="8"/>
    </row>
    <row r="14185" spans="24:24" x14ac:dyDescent="0.35">
      <c r="X14185" s="8"/>
    </row>
    <row r="14186" spans="24:24" x14ac:dyDescent="0.35">
      <c r="X14186" s="8"/>
    </row>
    <row r="14187" spans="24:24" x14ac:dyDescent="0.35">
      <c r="X14187" s="8"/>
    </row>
    <row r="14188" spans="24:24" x14ac:dyDescent="0.35">
      <c r="X14188" s="8"/>
    </row>
    <row r="14189" spans="24:24" x14ac:dyDescent="0.35">
      <c r="X14189" s="8"/>
    </row>
    <row r="14190" spans="24:24" x14ac:dyDescent="0.35">
      <c r="X14190" s="8"/>
    </row>
    <row r="14191" spans="24:24" x14ac:dyDescent="0.35">
      <c r="X14191" s="8"/>
    </row>
    <row r="14192" spans="24:24" x14ac:dyDescent="0.35">
      <c r="X14192" s="8"/>
    </row>
    <row r="14193" spans="24:24" x14ac:dyDescent="0.35">
      <c r="X14193" s="8"/>
    </row>
    <row r="14194" spans="24:24" x14ac:dyDescent="0.35">
      <c r="X14194" s="8"/>
    </row>
    <row r="14195" spans="24:24" x14ac:dyDescent="0.35">
      <c r="X14195" s="8"/>
    </row>
    <row r="14196" spans="24:24" x14ac:dyDescent="0.35">
      <c r="X14196" s="8"/>
    </row>
    <row r="14197" spans="24:24" x14ac:dyDescent="0.35">
      <c r="X14197" s="8"/>
    </row>
    <row r="14198" spans="24:24" x14ac:dyDescent="0.35">
      <c r="X14198" s="8"/>
    </row>
    <row r="14199" spans="24:24" x14ac:dyDescent="0.35">
      <c r="X14199" s="8"/>
    </row>
    <row r="14200" spans="24:24" x14ac:dyDescent="0.35">
      <c r="X14200" s="8"/>
    </row>
    <row r="14201" spans="24:24" x14ac:dyDescent="0.35">
      <c r="X14201" s="8"/>
    </row>
    <row r="14202" spans="24:24" x14ac:dyDescent="0.35">
      <c r="X14202" s="8"/>
    </row>
    <row r="14203" spans="24:24" x14ac:dyDescent="0.35">
      <c r="X14203" s="8"/>
    </row>
    <row r="14204" spans="24:24" x14ac:dyDescent="0.35">
      <c r="X14204" s="8"/>
    </row>
    <row r="14205" spans="24:24" x14ac:dyDescent="0.35">
      <c r="X14205" s="8"/>
    </row>
    <row r="14206" spans="24:24" x14ac:dyDescent="0.35">
      <c r="X14206" s="8"/>
    </row>
    <row r="14207" spans="24:24" x14ac:dyDescent="0.35">
      <c r="X14207" s="8"/>
    </row>
    <row r="14208" spans="24:24" x14ac:dyDescent="0.35">
      <c r="X14208" s="8"/>
    </row>
    <row r="14209" spans="24:24" x14ac:dyDescent="0.35">
      <c r="X14209" s="8"/>
    </row>
    <row r="14210" spans="24:24" x14ac:dyDescent="0.35">
      <c r="X14210" s="8"/>
    </row>
    <row r="14211" spans="24:24" x14ac:dyDescent="0.35">
      <c r="X14211" s="8"/>
    </row>
    <row r="14212" spans="24:24" x14ac:dyDescent="0.35">
      <c r="X14212" s="8"/>
    </row>
    <row r="14213" spans="24:24" x14ac:dyDescent="0.35">
      <c r="X14213" s="8"/>
    </row>
    <row r="14214" spans="24:24" x14ac:dyDescent="0.35">
      <c r="X14214" s="8"/>
    </row>
    <row r="14215" spans="24:24" x14ac:dyDescent="0.35">
      <c r="X14215" s="8"/>
    </row>
    <row r="14216" spans="24:24" x14ac:dyDescent="0.35">
      <c r="X14216" s="8"/>
    </row>
    <row r="14217" spans="24:24" x14ac:dyDescent="0.35">
      <c r="X14217" s="8"/>
    </row>
    <row r="14218" spans="24:24" x14ac:dyDescent="0.35">
      <c r="X14218" s="8"/>
    </row>
    <row r="14219" spans="24:24" x14ac:dyDescent="0.35">
      <c r="X14219" s="8"/>
    </row>
    <row r="14220" spans="24:24" x14ac:dyDescent="0.35">
      <c r="X14220" s="8"/>
    </row>
    <row r="14221" spans="24:24" x14ac:dyDescent="0.35">
      <c r="X14221" s="8"/>
    </row>
    <row r="14222" spans="24:24" x14ac:dyDescent="0.35">
      <c r="X14222" s="8"/>
    </row>
    <row r="14223" spans="24:24" x14ac:dyDescent="0.35">
      <c r="X14223" s="8"/>
    </row>
    <row r="14224" spans="24:24" x14ac:dyDescent="0.35">
      <c r="X14224" s="8"/>
    </row>
    <row r="14225" spans="24:24" x14ac:dyDescent="0.35">
      <c r="X14225" s="8"/>
    </row>
    <row r="14226" spans="24:24" x14ac:dyDescent="0.35">
      <c r="X14226" s="8"/>
    </row>
    <row r="14227" spans="24:24" x14ac:dyDescent="0.35">
      <c r="X14227" s="8"/>
    </row>
    <row r="14228" spans="24:24" x14ac:dyDescent="0.35">
      <c r="X14228" s="8"/>
    </row>
    <row r="14229" spans="24:24" x14ac:dyDescent="0.35">
      <c r="X14229" s="8"/>
    </row>
    <row r="14230" spans="24:24" x14ac:dyDescent="0.35">
      <c r="X14230" s="8"/>
    </row>
    <row r="14231" spans="24:24" x14ac:dyDescent="0.35">
      <c r="X14231" s="8"/>
    </row>
    <row r="14232" spans="24:24" x14ac:dyDescent="0.35">
      <c r="X14232" s="8"/>
    </row>
    <row r="14233" spans="24:24" x14ac:dyDescent="0.35">
      <c r="X14233" s="8"/>
    </row>
    <row r="14234" spans="24:24" x14ac:dyDescent="0.35">
      <c r="X14234" s="8"/>
    </row>
    <row r="14235" spans="24:24" x14ac:dyDescent="0.35">
      <c r="X14235" s="8"/>
    </row>
    <row r="14236" spans="24:24" x14ac:dyDescent="0.35">
      <c r="X14236" s="8"/>
    </row>
    <row r="14237" spans="24:24" x14ac:dyDescent="0.35">
      <c r="X14237" s="8"/>
    </row>
    <row r="14238" spans="24:24" x14ac:dyDescent="0.35">
      <c r="X14238" s="8"/>
    </row>
    <row r="14239" spans="24:24" x14ac:dyDescent="0.35">
      <c r="X14239" s="8"/>
    </row>
    <row r="14240" spans="24:24" x14ac:dyDescent="0.35">
      <c r="X14240" s="8"/>
    </row>
    <row r="14241" spans="24:24" x14ac:dyDescent="0.35">
      <c r="X14241" s="8"/>
    </row>
    <row r="14242" spans="24:24" x14ac:dyDescent="0.35">
      <c r="X14242" s="8"/>
    </row>
    <row r="14243" spans="24:24" x14ac:dyDescent="0.35">
      <c r="X14243" s="8"/>
    </row>
    <row r="14244" spans="24:24" x14ac:dyDescent="0.35">
      <c r="X14244" s="8"/>
    </row>
    <row r="14245" spans="24:24" x14ac:dyDescent="0.35">
      <c r="X14245" s="8"/>
    </row>
    <row r="14246" spans="24:24" x14ac:dyDescent="0.35">
      <c r="X14246" s="8"/>
    </row>
    <row r="14247" spans="24:24" x14ac:dyDescent="0.35">
      <c r="X14247" s="8"/>
    </row>
    <row r="14248" spans="24:24" x14ac:dyDescent="0.35">
      <c r="X14248" s="8"/>
    </row>
    <row r="14249" spans="24:24" x14ac:dyDescent="0.35">
      <c r="X14249" s="8"/>
    </row>
    <row r="14250" spans="24:24" x14ac:dyDescent="0.35">
      <c r="X14250" s="8"/>
    </row>
    <row r="14251" spans="24:24" x14ac:dyDescent="0.35">
      <c r="X14251" s="8"/>
    </row>
    <row r="14252" spans="24:24" x14ac:dyDescent="0.35">
      <c r="X14252" s="8"/>
    </row>
    <row r="14253" spans="24:24" x14ac:dyDescent="0.35">
      <c r="X14253" s="8"/>
    </row>
    <row r="14254" spans="24:24" x14ac:dyDescent="0.35">
      <c r="X14254" s="8"/>
    </row>
    <row r="14255" spans="24:24" x14ac:dyDescent="0.35">
      <c r="X14255" s="8"/>
    </row>
    <row r="14256" spans="24:24" x14ac:dyDescent="0.35">
      <c r="X14256" s="8"/>
    </row>
    <row r="14257" spans="24:24" x14ac:dyDescent="0.35">
      <c r="X14257" s="8"/>
    </row>
    <row r="14258" spans="24:24" x14ac:dyDescent="0.35">
      <c r="X14258" s="8"/>
    </row>
    <row r="14259" spans="24:24" x14ac:dyDescent="0.35">
      <c r="X14259" s="8"/>
    </row>
    <row r="14260" spans="24:24" x14ac:dyDescent="0.35">
      <c r="X14260" s="8"/>
    </row>
    <row r="14261" spans="24:24" x14ac:dyDescent="0.35">
      <c r="X14261" s="8"/>
    </row>
    <row r="14262" spans="24:24" x14ac:dyDescent="0.35">
      <c r="X14262" s="8"/>
    </row>
    <row r="14263" spans="24:24" x14ac:dyDescent="0.35">
      <c r="X14263" s="8"/>
    </row>
    <row r="14264" spans="24:24" x14ac:dyDescent="0.35">
      <c r="X14264" s="8"/>
    </row>
    <row r="14265" spans="24:24" x14ac:dyDescent="0.35">
      <c r="X14265" s="8"/>
    </row>
    <row r="14266" spans="24:24" x14ac:dyDescent="0.35">
      <c r="X14266" s="8"/>
    </row>
    <row r="14267" spans="24:24" x14ac:dyDescent="0.35">
      <c r="X14267" s="8"/>
    </row>
    <row r="14268" spans="24:24" x14ac:dyDescent="0.35">
      <c r="X14268" s="8"/>
    </row>
    <row r="14269" spans="24:24" x14ac:dyDescent="0.35">
      <c r="X14269" s="8"/>
    </row>
    <row r="14270" spans="24:24" x14ac:dyDescent="0.35">
      <c r="X14270" s="8"/>
    </row>
    <row r="14271" spans="24:24" x14ac:dyDescent="0.35">
      <c r="X14271" s="8"/>
    </row>
    <row r="14272" spans="24:24" x14ac:dyDescent="0.35">
      <c r="X14272" s="8"/>
    </row>
    <row r="14273" spans="24:24" x14ac:dyDescent="0.35">
      <c r="X14273" s="8"/>
    </row>
    <row r="14274" spans="24:24" x14ac:dyDescent="0.35">
      <c r="X14274" s="8"/>
    </row>
    <row r="14275" spans="24:24" x14ac:dyDescent="0.35">
      <c r="X14275" s="8"/>
    </row>
    <row r="14276" spans="24:24" x14ac:dyDescent="0.35">
      <c r="X14276" s="8"/>
    </row>
    <row r="14277" spans="24:24" x14ac:dyDescent="0.35">
      <c r="X14277" s="8"/>
    </row>
    <row r="14278" spans="24:24" x14ac:dyDescent="0.35">
      <c r="X14278" s="8"/>
    </row>
    <row r="14279" spans="24:24" x14ac:dyDescent="0.35">
      <c r="X14279" s="8"/>
    </row>
    <row r="14280" spans="24:24" x14ac:dyDescent="0.35">
      <c r="X14280" s="8"/>
    </row>
    <row r="14281" spans="24:24" x14ac:dyDescent="0.35">
      <c r="X14281" s="8"/>
    </row>
    <row r="14282" spans="24:24" x14ac:dyDescent="0.35">
      <c r="X14282" s="8"/>
    </row>
    <row r="14283" spans="24:24" x14ac:dyDescent="0.35">
      <c r="X14283" s="8"/>
    </row>
    <row r="14284" spans="24:24" x14ac:dyDescent="0.35">
      <c r="X14284" s="8"/>
    </row>
    <row r="14285" spans="24:24" x14ac:dyDescent="0.35">
      <c r="X14285" s="8"/>
    </row>
    <row r="14286" spans="24:24" x14ac:dyDescent="0.35">
      <c r="X14286" s="8"/>
    </row>
    <row r="14287" spans="24:24" x14ac:dyDescent="0.35">
      <c r="X14287" s="8"/>
    </row>
    <row r="14288" spans="24:24" x14ac:dyDescent="0.35">
      <c r="X14288" s="8"/>
    </row>
    <row r="14289" spans="24:24" x14ac:dyDescent="0.35">
      <c r="X14289" s="8"/>
    </row>
    <row r="14290" spans="24:24" x14ac:dyDescent="0.35">
      <c r="X14290" s="8"/>
    </row>
    <row r="14291" spans="24:24" x14ac:dyDescent="0.35">
      <c r="X14291" s="8"/>
    </row>
    <row r="14292" spans="24:24" x14ac:dyDescent="0.35">
      <c r="X14292" s="8"/>
    </row>
    <row r="14293" spans="24:24" x14ac:dyDescent="0.35">
      <c r="X14293" s="8"/>
    </row>
    <row r="14294" spans="24:24" x14ac:dyDescent="0.35">
      <c r="X14294" s="8"/>
    </row>
    <row r="14295" spans="24:24" x14ac:dyDescent="0.35">
      <c r="X14295" s="8"/>
    </row>
    <row r="14296" spans="24:24" x14ac:dyDescent="0.35">
      <c r="X14296" s="8"/>
    </row>
    <row r="14297" spans="24:24" x14ac:dyDescent="0.35">
      <c r="X14297" s="8"/>
    </row>
    <row r="14298" spans="24:24" x14ac:dyDescent="0.35">
      <c r="X14298" s="8"/>
    </row>
    <row r="14299" spans="24:24" x14ac:dyDescent="0.35">
      <c r="X14299" s="8"/>
    </row>
    <row r="14300" spans="24:24" x14ac:dyDescent="0.35">
      <c r="X14300" s="8"/>
    </row>
    <row r="14301" spans="24:24" x14ac:dyDescent="0.35">
      <c r="X14301" s="8"/>
    </row>
    <row r="14302" spans="24:24" x14ac:dyDescent="0.35">
      <c r="X14302" s="8"/>
    </row>
    <row r="14303" spans="24:24" x14ac:dyDescent="0.35">
      <c r="X14303" s="8"/>
    </row>
    <row r="14304" spans="24:24" x14ac:dyDescent="0.35">
      <c r="X14304" s="8"/>
    </row>
    <row r="14305" spans="24:24" x14ac:dyDescent="0.35">
      <c r="X14305" s="8"/>
    </row>
    <row r="14306" spans="24:24" x14ac:dyDescent="0.35">
      <c r="X14306" s="8"/>
    </row>
    <row r="14307" spans="24:24" x14ac:dyDescent="0.35">
      <c r="X14307" s="8"/>
    </row>
    <row r="14308" spans="24:24" x14ac:dyDescent="0.35">
      <c r="X14308" s="8"/>
    </row>
    <row r="14309" spans="24:24" x14ac:dyDescent="0.35">
      <c r="X14309" s="8"/>
    </row>
    <row r="14310" spans="24:24" x14ac:dyDescent="0.35">
      <c r="X14310" s="8"/>
    </row>
    <row r="14311" spans="24:24" x14ac:dyDescent="0.35">
      <c r="X14311" s="8"/>
    </row>
    <row r="14312" spans="24:24" x14ac:dyDescent="0.35">
      <c r="X14312" s="8"/>
    </row>
    <row r="14313" spans="24:24" x14ac:dyDescent="0.35">
      <c r="X14313" s="8"/>
    </row>
    <row r="14314" spans="24:24" x14ac:dyDescent="0.35">
      <c r="X14314" s="8"/>
    </row>
    <row r="14315" spans="24:24" x14ac:dyDescent="0.35">
      <c r="X14315" s="8"/>
    </row>
    <row r="14316" spans="24:24" x14ac:dyDescent="0.35">
      <c r="X14316" s="8"/>
    </row>
    <row r="14317" spans="24:24" x14ac:dyDescent="0.35">
      <c r="X14317" s="8"/>
    </row>
    <row r="14318" spans="24:24" x14ac:dyDescent="0.35">
      <c r="X14318" s="8"/>
    </row>
    <row r="14319" spans="24:24" x14ac:dyDescent="0.35">
      <c r="X14319" s="8"/>
    </row>
    <row r="14320" spans="24:24" x14ac:dyDescent="0.35">
      <c r="X14320" s="8"/>
    </row>
    <row r="14321" spans="24:24" x14ac:dyDescent="0.35">
      <c r="X14321" s="8"/>
    </row>
    <row r="14322" spans="24:24" x14ac:dyDescent="0.35">
      <c r="X14322" s="8"/>
    </row>
    <row r="14323" spans="24:24" x14ac:dyDescent="0.35">
      <c r="X14323" s="8"/>
    </row>
    <row r="14324" spans="24:24" x14ac:dyDescent="0.35">
      <c r="X14324" s="8"/>
    </row>
    <row r="14325" spans="24:24" x14ac:dyDescent="0.35">
      <c r="X14325" s="8"/>
    </row>
    <row r="14326" spans="24:24" x14ac:dyDescent="0.35">
      <c r="X14326" s="8"/>
    </row>
    <row r="14327" spans="24:24" x14ac:dyDescent="0.35">
      <c r="X14327" s="8"/>
    </row>
    <row r="14328" spans="24:24" x14ac:dyDescent="0.35">
      <c r="X14328" s="8"/>
    </row>
    <row r="14329" spans="24:24" x14ac:dyDescent="0.35">
      <c r="X14329" s="8"/>
    </row>
    <row r="14330" spans="24:24" x14ac:dyDescent="0.35">
      <c r="X14330" s="8"/>
    </row>
    <row r="14331" spans="24:24" x14ac:dyDescent="0.35">
      <c r="X14331" s="8"/>
    </row>
    <row r="14332" spans="24:24" x14ac:dyDescent="0.35">
      <c r="X14332" s="8"/>
    </row>
    <row r="14333" spans="24:24" x14ac:dyDescent="0.35">
      <c r="X14333" s="8"/>
    </row>
    <row r="14334" spans="24:24" x14ac:dyDescent="0.35">
      <c r="X14334" s="8"/>
    </row>
    <row r="14335" spans="24:24" x14ac:dyDescent="0.35">
      <c r="X14335" s="8"/>
    </row>
    <row r="14336" spans="24:24" x14ac:dyDescent="0.35">
      <c r="X14336" s="8"/>
    </row>
    <row r="14337" spans="24:24" x14ac:dyDescent="0.35">
      <c r="X14337" s="8"/>
    </row>
    <row r="14338" spans="24:24" x14ac:dyDescent="0.35">
      <c r="X14338" s="8"/>
    </row>
    <row r="14339" spans="24:24" x14ac:dyDescent="0.35">
      <c r="X14339" s="8"/>
    </row>
    <row r="14340" spans="24:24" x14ac:dyDescent="0.35">
      <c r="X14340" s="8"/>
    </row>
    <row r="14341" spans="24:24" x14ac:dyDescent="0.35">
      <c r="X14341" s="8"/>
    </row>
    <row r="14342" spans="24:24" x14ac:dyDescent="0.35">
      <c r="X14342" s="8"/>
    </row>
    <row r="14343" spans="24:24" x14ac:dyDescent="0.35">
      <c r="X14343" s="8"/>
    </row>
    <row r="14344" spans="24:24" x14ac:dyDescent="0.35">
      <c r="X14344" s="8"/>
    </row>
    <row r="14345" spans="24:24" x14ac:dyDescent="0.35">
      <c r="X14345" s="8"/>
    </row>
    <row r="14346" spans="24:24" x14ac:dyDescent="0.35">
      <c r="X14346" s="8"/>
    </row>
    <row r="14347" spans="24:24" x14ac:dyDescent="0.35">
      <c r="X14347" s="8"/>
    </row>
    <row r="14348" spans="24:24" x14ac:dyDescent="0.35">
      <c r="X14348" s="8"/>
    </row>
    <row r="14349" spans="24:24" x14ac:dyDescent="0.35">
      <c r="X14349" s="8"/>
    </row>
    <row r="14350" spans="24:24" x14ac:dyDescent="0.35">
      <c r="X14350" s="8"/>
    </row>
    <row r="14351" spans="24:24" x14ac:dyDescent="0.35">
      <c r="X14351" s="8"/>
    </row>
    <row r="14352" spans="24:24" x14ac:dyDescent="0.35">
      <c r="X14352" s="8"/>
    </row>
    <row r="14353" spans="24:24" x14ac:dyDescent="0.35">
      <c r="X14353" s="8"/>
    </row>
    <row r="14354" spans="24:24" x14ac:dyDescent="0.35">
      <c r="X14354" s="8"/>
    </row>
    <row r="14355" spans="24:24" x14ac:dyDescent="0.35">
      <c r="X14355" s="8"/>
    </row>
    <row r="14356" spans="24:24" x14ac:dyDescent="0.35">
      <c r="X14356" s="8"/>
    </row>
    <row r="14357" spans="24:24" x14ac:dyDescent="0.35">
      <c r="X14357" s="8"/>
    </row>
    <row r="14358" spans="24:24" x14ac:dyDescent="0.35">
      <c r="X14358" s="8"/>
    </row>
    <row r="14359" spans="24:24" x14ac:dyDescent="0.35">
      <c r="X14359" s="8"/>
    </row>
    <row r="14360" spans="24:24" x14ac:dyDescent="0.35">
      <c r="X14360" s="8"/>
    </row>
    <row r="14361" spans="24:24" x14ac:dyDescent="0.35">
      <c r="X14361" s="8"/>
    </row>
    <row r="14362" spans="24:24" x14ac:dyDescent="0.35">
      <c r="X14362" s="8"/>
    </row>
    <row r="14363" spans="24:24" x14ac:dyDescent="0.35">
      <c r="X14363" s="8"/>
    </row>
    <row r="14364" spans="24:24" x14ac:dyDescent="0.35">
      <c r="X14364" s="8"/>
    </row>
    <row r="14365" spans="24:24" x14ac:dyDescent="0.35">
      <c r="X14365" s="8"/>
    </row>
    <row r="14366" spans="24:24" x14ac:dyDescent="0.35">
      <c r="X14366" s="8"/>
    </row>
    <row r="14367" spans="24:24" x14ac:dyDescent="0.35">
      <c r="X14367" s="8"/>
    </row>
    <row r="14368" spans="24:24" x14ac:dyDescent="0.35">
      <c r="X14368" s="8"/>
    </row>
    <row r="14369" spans="24:24" x14ac:dyDescent="0.35">
      <c r="X14369" s="8"/>
    </row>
    <row r="14370" spans="24:24" x14ac:dyDescent="0.35">
      <c r="X14370" s="8"/>
    </row>
    <row r="14371" spans="24:24" x14ac:dyDescent="0.35">
      <c r="X14371" s="8"/>
    </row>
    <row r="14372" spans="24:24" x14ac:dyDescent="0.35">
      <c r="X14372" s="8"/>
    </row>
    <row r="14373" spans="24:24" x14ac:dyDescent="0.35">
      <c r="X14373" s="8"/>
    </row>
    <row r="14374" spans="24:24" x14ac:dyDescent="0.35">
      <c r="X14374" s="8"/>
    </row>
    <row r="14375" spans="24:24" x14ac:dyDescent="0.35">
      <c r="X14375" s="8"/>
    </row>
    <row r="14376" spans="24:24" x14ac:dyDescent="0.35">
      <c r="X14376" s="8"/>
    </row>
    <row r="14377" spans="24:24" x14ac:dyDescent="0.35">
      <c r="X14377" s="8"/>
    </row>
    <row r="14378" spans="24:24" x14ac:dyDescent="0.35">
      <c r="X14378" s="8"/>
    </row>
    <row r="14379" spans="24:24" x14ac:dyDescent="0.35">
      <c r="X14379" s="8"/>
    </row>
    <row r="14380" spans="24:24" x14ac:dyDescent="0.35">
      <c r="X14380" s="8"/>
    </row>
    <row r="14381" spans="24:24" x14ac:dyDescent="0.35">
      <c r="X14381" s="8"/>
    </row>
    <row r="14382" spans="24:24" x14ac:dyDescent="0.35">
      <c r="X14382" s="8"/>
    </row>
    <row r="14383" spans="24:24" x14ac:dyDescent="0.35">
      <c r="X14383" s="8"/>
    </row>
    <row r="14384" spans="24:24" x14ac:dyDescent="0.35">
      <c r="X14384" s="8"/>
    </row>
    <row r="14385" spans="24:24" x14ac:dyDescent="0.35">
      <c r="X14385" s="8"/>
    </row>
    <row r="14386" spans="24:24" x14ac:dyDescent="0.35">
      <c r="X14386" s="8"/>
    </row>
    <row r="14387" spans="24:24" x14ac:dyDescent="0.35">
      <c r="X14387" s="8"/>
    </row>
    <row r="14388" spans="24:24" x14ac:dyDescent="0.35">
      <c r="X14388" s="8"/>
    </row>
    <row r="14389" spans="24:24" x14ac:dyDescent="0.35">
      <c r="X14389" s="8"/>
    </row>
    <row r="14390" spans="24:24" x14ac:dyDescent="0.35">
      <c r="X14390" s="8"/>
    </row>
    <row r="14391" spans="24:24" x14ac:dyDescent="0.35">
      <c r="X14391" s="8"/>
    </row>
    <row r="14392" spans="24:24" x14ac:dyDescent="0.35">
      <c r="X14392" s="8"/>
    </row>
    <row r="14393" spans="24:24" x14ac:dyDescent="0.35">
      <c r="X14393" s="8"/>
    </row>
    <row r="14394" spans="24:24" x14ac:dyDescent="0.35">
      <c r="X14394" s="8"/>
    </row>
    <row r="14395" spans="24:24" x14ac:dyDescent="0.35">
      <c r="X14395" s="8"/>
    </row>
    <row r="14396" spans="24:24" x14ac:dyDescent="0.35">
      <c r="X14396" s="8"/>
    </row>
    <row r="14397" spans="24:24" x14ac:dyDescent="0.35">
      <c r="X14397" s="8"/>
    </row>
    <row r="14398" spans="24:24" x14ac:dyDescent="0.35">
      <c r="X14398" s="8"/>
    </row>
    <row r="14399" spans="24:24" x14ac:dyDescent="0.35">
      <c r="X14399" s="8"/>
    </row>
    <row r="14400" spans="24:24" x14ac:dyDescent="0.35">
      <c r="X14400" s="8"/>
    </row>
    <row r="14401" spans="24:24" x14ac:dyDescent="0.35">
      <c r="X14401" s="8"/>
    </row>
    <row r="14402" spans="24:24" x14ac:dyDescent="0.35">
      <c r="X14402" s="8"/>
    </row>
    <row r="14403" spans="24:24" x14ac:dyDescent="0.35">
      <c r="X14403" s="8"/>
    </row>
    <row r="14404" spans="24:24" x14ac:dyDescent="0.35">
      <c r="X14404" s="8"/>
    </row>
    <row r="14405" spans="24:24" x14ac:dyDescent="0.35">
      <c r="X14405" s="8"/>
    </row>
    <row r="14406" spans="24:24" x14ac:dyDescent="0.35">
      <c r="X14406" s="8"/>
    </row>
    <row r="14407" spans="24:24" x14ac:dyDescent="0.35">
      <c r="X14407" s="8"/>
    </row>
    <row r="14408" spans="24:24" x14ac:dyDescent="0.35">
      <c r="X14408" s="8"/>
    </row>
    <row r="14409" spans="24:24" x14ac:dyDescent="0.35">
      <c r="X14409" s="8"/>
    </row>
    <row r="14410" spans="24:24" x14ac:dyDescent="0.35">
      <c r="X14410" s="8"/>
    </row>
    <row r="14411" spans="24:24" x14ac:dyDescent="0.35">
      <c r="X14411" s="8"/>
    </row>
    <row r="14412" spans="24:24" x14ac:dyDescent="0.35">
      <c r="X14412" s="8"/>
    </row>
    <row r="14413" spans="24:24" x14ac:dyDescent="0.35">
      <c r="X14413" s="8"/>
    </row>
    <row r="14414" spans="24:24" x14ac:dyDescent="0.35">
      <c r="X14414" s="8"/>
    </row>
    <row r="14415" spans="24:24" x14ac:dyDescent="0.35">
      <c r="X14415" s="8"/>
    </row>
    <row r="14416" spans="24:24" x14ac:dyDescent="0.35">
      <c r="X14416" s="8"/>
    </row>
    <row r="14417" spans="24:24" x14ac:dyDescent="0.35">
      <c r="X14417" s="8"/>
    </row>
    <row r="14418" spans="24:24" x14ac:dyDescent="0.35">
      <c r="X14418" s="8"/>
    </row>
    <row r="14419" spans="24:24" x14ac:dyDescent="0.35">
      <c r="X14419" s="8"/>
    </row>
    <row r="14420" spans="24:24" x14ac:dyDescent="0.35">
      <c r="X14420" s="8"/>
    </row>
    <row r="14421" spans="24:24" x14ac:dyDescent="0.35">
      <c r="X14421" s="8"/>
    </row>
    <row r="14422" spans="24:24" x14ac:dyDescent="0.35">
      <c r="X14422" s="8"/>
    </row>
    <row r="14423" spans="24:24" x14ac:dyDescent="0.35">
      <c r="X14423" s="8"/>
    </row>
    <row r="14424" spans="24:24" x14ac:dyDescent="0.35">
      <c r="X14424" s="8"/>
    </row>
    <row r="14425" spans="24:24" x14ac:dyDescent="0.35">
      <c r="X14425" s="8"/>
    </row>
    <row r="14426" spans="24:24" x14ac:dyDescent="0.35">
      <c r="X14426" s="8"/>
    </row>
    <row r="14427" spans="24:24" x14ac:dyDescent="0.35">
      <c r="X14427" s="8"/>
    </row>
    <row r="14428" spans="24:24" x14ac:dyDescent="0.35">
      <c r="X14428" s="8"/>
    </row>
    <row r="14429" spans="24:24" x14ac:dyDescent="0.35">
      <c r="X14429" s="8"/>
    </row>
    <row r="14430" spans="24:24" x14ac:dyDescent="0.35">
      <c r="X14430" s="8"/>
    </row>
    <row r="14431" spans="24:24" x14ac:dyDescent="0.35">
      <c r="X14431" s="8"/>
    </row>
    <row r="14432" spans="24:24" x14ac:dyDescent="0.35">
      <c r="X14432" s="8"/>
    </row>
    <row r="14433" spans="24:24" x14ac:dyDescent="0.35">
      <c r="X14433" s="8"/>
    </row>
    <row r="14434" spans="24:24" x14ac:dyDescent="0.35">
      <c r="X14434" s="8"/>
    </row>
    <row r="14435" spans="24:24" x14ac:dyDescent="0.35">
      <c r="X14435" s="8"/>
    </row>
    <row r="14436" spans="24:24" x14ac:dyDescent="0.35">
      <c r="X14436" s="8"/>
    </row>
    <row r="14437" spans="24:24" x14ac:dyDescent="0.35">
      <c r="X14437" s="8"/>
    </row>
    <row r="14438" spans="24:24" x14ac:dyDescent="0.35">
      <c r="X14438" s="8"/>
    </row>
    <row r="14439" spans="24:24" x14ac:dyDescent="0.35">
      <c r="X14439" s="8"/>
    </row>
    <row r="14440" spans="24:24" x14ac:dyDescent="0.35">
      <c r="X14440" s="8"/>
    </row>
    <row r="14441" spans="24:24" x14ac:dyDescent="0.35">
      <c r="X14441" s="8"/>
    </row>
    <row r="14442" spans="24:24" x14ac:dyDescent="0.35">
      <c r="X14442" s="8"/>
    </row>
    <row r="14443" spans="24:24" x14ac:dyDescent="0.35">
      <c r="X14443" s="8"/>
    </row>
    <row r="14444" spans="24:24" x14ac:dyDescent="0.35">
      <c r="X14444" s="8"/>
    </row>
    <row r="14445" spans="24:24" x14ac:dyDescent="0.35">
      <c r="X14445" s="8"/>
    </row>
    <row r="14446" spans="24:24" x14ac:dyDescent="0.35">
      <c r="X14446" s="8"/>
    </row>
    <row r="14447" spans="24:24" x14ac:dyDescent="0.35">
      <c r="X14447" s="8"/>
    </row>
    <row r="14448" spans="24:24" x14ac:dyDescent="0.35">
      <c r="X14448" s="8"/>
    </row>
    <row r="14449" spans="24:24" x14ac:dyDescent="0.35">
      <c r="X14449" s="8"/>
    </row>
    <row r="14450" spans="24:24" x14ac:dyDescent="0.35">
      <c r="X14450" s="8"/>
    </row>
    <row r="14451" spans="24:24" x14ac:dyDescent="0.35">
      <c r="X14451" s="8"/>
    </row>
    <row r="14452" spans="24:24" x14ac:dyDescent="0.35">
      <c r="X14452" s="8"/>
    </row>
    <row r="14453" spans="24:24" x14ac:dyDescent="0.35">
      <c r="X14453" s="8"/>
    </row>
    <row r="14454" spans="24:24" x14ac:dyDescent="0.35">
      <c r="X14454" s="8"/>
    </row>
    <row r="14455" spans="24:24" x14ac:dyDescent="0.35">
      <c r="X14455" s="8"/>
    </row>
    <row r="14456" spans="24:24" x14ac:dyDescent="0.35">
      <c r="X14456" s="8"/>
    </row>
    <row r="14457" spans="24:24" x14ac:dyDescent="0.35">
      <c r="X14457" s="8"/>
    </row>
    <row r="14458" spans="24:24" x14ac:dyDescent="0.35">
      <c r="X14458" s="8"/>
    </row>
    <row r="14459" spans="24:24" x14ac:dyDescent="0.35">
      <c r="X14459" s="8"/>
    </row>
    <row r="14460" spans="24:24" x14ac:dyDescent="0.35">
      <c r="X14460" s="8"/>
    </row>
    <row r="14461" spans="24:24" x14ac:dyDescent="0.35">
      <c r="X14461" s="8"/>
    </row>
    <row r="14462" spans="24:24" x14ac:dyDescent="0.35">
      <c r="X14462" s="8"/>
    </row>
    <row r="14463" spans="24:24" x14ac:dyDescent="0.35">
      <c r="X14463" s="8"/>
    </row>
    <row r="14464" spans="24:24" x14ac:dyDescent="0.35">
      <c r="X14464" s="8"/>
    </row>
    <row r="14465" spans="24:24" x14ac:dyDescent="0.35">
      <c r="X14465" s="8"/>
    </row>
    <row r="14466" spans="24:24" x14ac:dyDescent="0.35">
      <c r="X14466" s="8"/>
    </row>
    <row r="14467" spans="24:24" x14ac:dyDescent="0.35">
      <c r="X14467" s="8"/>
    </row>
    <row r="14468" spans="24:24" x14ac:dyDescent="0.35">
      <c r="X14468" s="8"/>
    </row>
    <row r="14469" spans="24:24" x14ac:dyDescent="0.35">
      <c r="X14469" s="8"/>
    </row>
    <row r="14470" spans="24:24" x14ac:dyDescent="0.35">
      <c r="X14470" s="8"/>
    </row>
    <row r="14471" spans="24:24" x14ac:dyDescent="0.35">
      <c r="X14471" s="8"/>
    </row>
    <row r="14472" spans="24:24" x14ac:dyDescent="0.35">
      <c r="X14472" s="8"/>
    </row>
    <row r="14473" spans="24:24" x14ac:dyDescent="0.35">
      <c r="X14473" s="8"/>
    </row>
    <row r="14474" spans="24:24" x14ac:dyDescent="0.35">
      <c r="X14474" s="8"/>
    </row>
    <row r="14475" spans="24:24" x14ac:dyDescent="0.35">
      <c r="X14475" s="8"/>
    </row>
    <row r="14476" spans="24:24" x14ac:dyDescent="0.35">
      <c r="X14476" s="8"/>
    </row>
    <row r="14477" spans="24:24" x14ac:dyDescent="0.35">
      <c r="X14477" s="8"/>
    </row>
    <row r="14478" spans="24:24" x14ac:dyDescent="0.35">
      <c r="X14478" s="8"/>
    </row>
    <row r="14479" spans="24:24" x14ac:dyDescent="0.35">
      <c r="X14479" s="8"/>
    </row>
    <row r="14480" spans="24:24" x14ac:dyDescent="0.35">
      <c r="X14480" s="8"/>
    </row>
    <row r="14481" spans="24:24" x14ac:dyDescent="0.35">
      <c r="X14481" s="8"/>
    </row>
    <row r="14482" spans="24:24" x14ac:dyDescent="0.35">
      <c r="X14482" s="8"/>
    </row>
    <row r="14483" spans="24:24" x14ac:dyDescent="0.35">
      <c r="X14483" s="8"/>
    </row>
    <row r="14484" spans="24:24" x14ac:dyDescent="0.35">
      <c r="X14484" s="8"/>
    </row>
    <row r="14485" spans="24:24" x14ac:dyDescent="0.35">
      <c r="X14485" s="8"/>
    </row>
    <row r="14486" spans="24:24" x14ac:dyDescent="0.35">
      <c r="X14486" s="8"/>
    </row>
    <row r="14487" spans="24:24" x14ac:dyDescent="0.35">
      <c r="X14487" s="8"/>
    </row>
    <row r="14488" spans="24:24" x14ac:dyDescent="0.35">
      <c r="X14488" s="8"/>
    </row>
    <row r="14489" spans="24:24" x14ac:dyDescent="0.35">
      <c r="X14489" s="8"/>
    </row>
    <row r="14490" spans="24:24" x14ac:dyDescent="0.35">
      <c r="X14490" s="8"/>
    </row>
    <row r="14491" spans="24:24" x14ac:dyDescent="0.35">
      <c r="X14491" s="8"/>
    </row>
    <row r="14492" spans="24:24" x14ac:dyDescent="0.35">
      <c r="X14492" s="8"/>
    </row>
    <row r="14493" spans="24:24" x14ac:dyDescent="0.35">
      <c r="X14493" s="8"/>
    </row>
    <row r="14494" spans="24:24" x14ac:dyDescent="0.35">
      <c r="X14494" s="8"/>
    </row>
    <row r="14495" spans="24:24" x14ac:dyDescent="0.35">
      <c r="X14495" s="8"/>
    </row>
    <row r="14496" spans="24:24" x14ac:dyDescent="0.35">
      <c r="X14496" s="8"/>
    </row>
    <row r="14497" spans="24:24" x14ac:dyDescent="0.35">
      <c r="X14497" s="8"/>
    </row>
    <row r="14498" spans="24:24" x14ac:dyDescent="0.35">
      <c r="X14498" s="8"/>
    </row>
    <row r="14499" spans="24:24" x14ac:dyDescent="0.35">
      <c r="X14499" s="8"/>
    </row>
    <row r="14500" spans="24:24" x14ac:dyDescent="0.35">
      <c r="X14500" s="8"/>
    </row>
    <row r="14501" spans="24:24" x14ac:dyDescent="0.35">
      <c r="X14501" s="8"/>
    </row>
    <row r="14502" spans="24:24" x14ac:dyDescent="0.35">
      <c r="X14502" s="8"/>
    </row>
    <row r="14503" spans="24:24" x14ac:dyDescent="0.35">
      <c r="X14503" s="8"/>
    </row>
    <row r="14504" spans="24:24" x14ac:dyDescent="0.35">
      <c r="X14504" s="8"/>
    </row>
    <row r="14505" spans="24:24" x14ac:dyDescent="0.35">
      <c r="X14505" s="8"/>
    </row>
    <row r="14506" spans="24:24" x14ac:dyDescent="0.35">
      <c r="X14506" s="8"/>
    </row>
    <row r="14507" spans="24:24" x14ac:dyDescent="0.35">
      <c r="X14507" s="8"/>
    </row>
    <row r="14508" spans="24:24" x14ac:dyDescent="0.35">
      <c r="X14508" s="8"/>
    </row>
    <row r="14509" spans="24:24" x14ac:dyDescent="0.35">
      <c r="X14509" s="8"/>
    </row>
    <row r="14510" spans="24:24" x14ac:dyDescent="0.35">
      <c r="X14510" s="8"/>
    </row>
    <row r="14511" spans="24:24" x14ac:dyDescent="0.35">
      <c r="X14511" s="8"/>
    </row>
    <row r="14512" spans="24:24" x14ac:dyDescent="0.35">
      <c r="X14512" s="8"/>
    </row>
    <row r="14513" spans="24:24" x14ac:dyDescent="0.35">
      <c r="X14513" s="8"/>
    </row>
    <row r="14514" spans="24:24" x14ac:dyDescent="0.35">
      <c r="X14514" s="8"/>
    </row>
    <row r="14515" spans="24:24" x14ac:dyDescent="0.35">
      <c r="X14515" s="8"/>
    </row>
    <row r="14516" spans="24:24" x14ac:dyDescent="0.35">
      <c r="X14516" s="8"/>
    </row>
    <row r="14517" spans="24:24" x14ac:dyDescent="0.35">
      <c r="X14517" s="8"/>
    </row>
    <row r="14518" spans="24:24" x14ac:dyDescent="0.35">
      <c r="X14518" s="8"/>
    </row>
    <row r="14519" spans="24:24" x14ac:dyDescent="0.35">
      <c r="X14519" s="8"/>
    </row>
    <row r="14520" spans="24:24" x14ac:dyDescent="0.35">
      <c r="X14520" s="8"/>
    </row>
    <row r="14521" spans="24:24" x14ac:dyDescent="0.35">
      <c r="X14521" s="8"/>
    </row>
    <row r="14522" spans="24:24" x14ac:dyDescent="0.35">
      <c r="X14522" s="8"/>
    </row>
    <row r="14523" spans="24:24" x14ac:dyDescent="0.35">
      <c r="X14523" s="8"/>
    </row>
    <row r="14524" spans="24:24" x14ac:dyDescent="0.35">
      <c r="X14524" s="8"/>
    </row>
    <row r="14525" spans="24:24" x14ac:dyDescent="0.35">
      <c r="X14525" s="8"/>
    </row>
    <row r="14526" spans="24:24" x14ac:dyDescent="0.35">
      <c r="X14526" s="8"/>
    </row>
    <row r="14527" spans="24:24" x14ac:dyDescent="0.35">
      <c r="X14527" s="8"/>
    </row>
    <row r="14528" spans="24:24" x14ac:dyDescent="0.35">
      <c r="X14528" s="8"/>
    </row>
    <row r="14529" spans="24:24" x14ac:dyDescent="0.35">
      <c r="X14529" s="8"/>
    </row>
    <row r="14530" spans="24:24" x14ac:dyDescent="0.35">
      <c r="X14530" s="8"/>
    </row>
    <row r="14531" spans="24:24" x14ac:dyDescent="0.35">
      <c r="X14531" s="8"/>
    </row>
    <row r="14532" spans="24:24" x14ac:dyDescent="0.35">
      <c r="X14532" s="8"/>
    </row>
    <row r="14533" spans="24:24" x14ac:dyDescent="0.35">
      <c r="X14533" s="8"/>
    </row>
    <row r="14534" spans="24:24" x14ac:dyDescent="0.35">
      <c r="X14534" s="8"/>
    </row>
    <row r="14535" spans="24:24" x14ac:dyDescent="0.35">
      <c r="X14535" s="8"/>
    </row>
    <row r="14536" spans="24:24" x14ac:dyDescent="0.35">
      <c r="X14536" s="8"/>
    </row>
    <row r="14537" spans="24:24" x14ac:dyDescent="0.35">
      <c r="X14537" s="8"/>
    </row>
    <row r="14538" spans="24:24" x14ac:dyDescent="0.35">
      <c r="X14538" s="8"/>
    </row>
    <row r="14539" spans="24:24" x14ac:dyDescent="0.35">
      <c r="X14539" s="8"/>
    </row>
    <row r="14540" spans="24:24" x14ac:dyDescent="0.35">
      <c r="X14540" s="8"/>
    </row>
    <row r="14541" spans="24:24" x14ac:dyDescent="0.35">
      <c r="X14541" s="8"/>
    </row>
    <row r="14542" spans="24:24" x14ac:dyDescent="0.35">
      <c r="X14542" s="8"/>
    </row>
    <row r="14543" spans="24:24" x14ac:dyDescent="0.35">
      <c r="X14543" s="8"/>
    </row>
    <row r="14544" spans="24:24" x14ac:dyDescent="0.35">
      <c r="X14544" s="8"/>
    </row>
    <row r="14545" spans="24:24" x14ac:dyDescent="0.35">
      <c r="X14545" s="8"/>
    </row>
    <row r="14546" spans="24:24" x14ac:dyDescent="0.35">
      <c r="X14546" s="8"/>
    </row>
    <row r="14547" spans="24:24" x14ac:dyDescent="0.35">
      <c r="X14547" s="8"/>
    </row>
    <row r="14548" spans="24:24" x14ac:dyDescent="0.35">
      <c r="X14548" s="8"/>
    </row>
    <row r="14549" spans="24:24" x14ac:dyDescent="0.35">
      <c r="X14549" s="8"/>
    </row>
    <row r="14550" spans="24:24" x14ac:dyDescent="0.35">
      <c r="X14550" s="8"/>
    </row>
    <row r="14551" spans="24:24" x14ac:dyDescent="0.35">
      <c r="X14551" s="8"/>
    </row>
    <row r="14552" spans="24:24" x14ac:dyDescent="0.35">
      <c r="X14552" s="8"/>
    </row>
    <row r="14553" spans="24:24" x14ac:dyDescent="0.35">
      <c r="X14553" s="8"/>
    </row>
    <row r="14554" spans="24:24" x14ac:dyDescent="0.35">
      <c r="X14554" s="8"/>
    </row>
    <row r="14555" spans="24:24" x14ac:dyDescent="0.35">
      <c r="X14555" s="8"/>
    </row>
    <row r="14556" spans="24:24" x14ac:dyDescent="0.35">
      <c r="X14556" s="8"/>
    </row>
    <row r="14557" spans="24:24" x14ac:dyDescent="0.35">
      <c r="X14557" s="8"/>
    </row>
    <row r="14558" spans="24:24" x14ac:dyDescent="0.35">
      <c r="X14558" s="8"/>
    </row>
    <row r="14559" spans="24:24" x14ac:dyDescent="0.35">
      <c r="X14559" s="8"/>
    </row>
    <row r="14560" spans="24:24" x14ac:dyDescent="0.35">
      <c r="X14560" s="8"/>
    </row>
    <row r="14561" spans="24:24" x14ac:dyDescent="0.35">
      <c r="X14561" s="8"/>
    </row>
    <row r="14562" spans="24:24" x14ac:dyDescent="0.35">
      <c r="X14562" s="8"/>
    </row>
    <row r="14563" spans="24:24" x14ac:dyDescent="0.35">
      <c r="X14563" s="8"/>
    </row>
    <row r="14564" spans="24:24" x14ac:dyDescent="0.35">
      <c r="X14564" s="8"/>
    </row>
    <row r="14565" spans="24:24" x14ac:dyDescent="0.35">
      <c r="X14565" s="8"/>
    </row>
    <row r="14566" spans="24:24" x14ac:dyDescent="0.35">
      <c r="X14566" s="8"/>
    </row>
    <row r="14567" spans="24:24" x14ac:dyDescent="0.35">
      <c r="X14567" s="8"/>
    </row>
    <row r="14568" spans="24:24" x14ac:dyDescent="0.35">
      <c r="X14568" s="8"/>
    </row>
    <row r="14569" spans="24:24" x14ac:dyDescent="0.35">
      <c r="X14569" s="8"/>
    </row>
    <row r="14570" spans="24:24" x14ac:dyDescent="0.35">
      <c r="X14570" s="8"/>
    </row>
    <row r="14571" spans="24:24" x14ac:dyDescent="0.35">
      <c r="X14571" s="8"/>
    </row>
    <row r="14572" spans="24:24" x14ac:dyDescent="0.35">
      <c r="X14572" s="8"/>
    </row>
    <row r="14573" spans="24:24" x14ac:dyDescent="0.35">
      <c r="X14573" s="8"/>
    </row>
    <row r="14574" spans="24:24" x14ac:dyDescent="0.35">
      <c r="X14574" s="8"/>
    </row>
    <row r="14575" spans="24:24" x14ac:dyDescent="0.35">
      <c r="X14575" s="8"/>
    </row>
    <row r="14576" spans="24:24" x14ac:dyDescent="0.35">
      <c r="X14576" s="8"/>
    </row>
    <row r="14577" spans="24:24" x14ac:dyDescent="0.35">
      <c r="X14577" s="8"/>
    </row>
    <row r="14578" spans="24:24" x14ac:dyDescent="0.35">
      <c r="X14578" s="8"/>
    </row>
    <row r="14579" spans="24:24" x14ac:dyDescent="0.35">
      <c r="X14579" s="8"/>
    </row>
    <row r="14580" spans="24:24" x14ac:dyDescent="0.35">
      <c r="X14580" s="8"/>
    </row>
    <row r="14581" spans="24:24" x14ac:dyDescent="0.35">
      <c r="X14581" s="8"/>
    </row>
    <row r="14582" spans="24:24" x14ac:dyDescent="0.35">
      <c r="X14582" s="8"/>
    </row>
    <row r="14583" spans="24:24" x14ac:dyDescent="0.35">
      <c r="X14583" s="8"/>
    </row>
    <row r="14584" spans="24:24" x14ac:dyDescent="0.35">
      <c r="X14584" s="8"/>
    </row>
    <row r="14585" spans="24:24" x14ac:dyDescent="0.35">
      <c r="X14585" s="8"/>
    </row>
    <row r="14586" spans="24:24" x14ac:dyDescent="0.35">
      <c r="X14586" s="8"/>
    </row>
    <row r="14587" spans="24:24" x14ac:dyDescent="0.35">
      <c r="X14587" s="8"/>
    </row>
    <row r="14588" spans="24:24" x14ac:dyDescent="0.35">
      <c r="X14588" s="8"/>
    </row>
    <row r="14589" spans="24:24" x14ac:dyDescent="0.35">
      <c r="X14589" s="8"/>
    </row>
    <row r="14590" spans="24:24" x14ac:dyDescent="0.35">
      <c r="X14590" s="8"/>
    </row>
    <row r="14591" spans="24:24" x14ac:dyDescent="0.35">
      <c r="X14591" s="8"/>
    </row>
    <row r="14592" spans="24:24" x14ac:dyDescent="0.35">
      <c r="X14592" s="8"/>
    </row>
    <row r="14593" spans="24:24" x14ac:dyDescent="0.35">
      <c r="X14593" s="8"/>
    </row>
    <row r="14594" spans="24:24" x14ac:dyDescent="0.35">
      <c r="X14594" s="8"/>
    </row>
    <row r="14595" spans="24:24" x14ac:dyDescent="0.35">
      <c r="X14595" s="8"/>
    </row>
    <row r="14596" spans="24:24" x14ac:dyDescent="0.35">
      <c r="X14596" s="8"/>
    </row>
    <row r="14597" spans="24:24" x14ac:dyDescent="0.35">
      <c r="X14597" s="8"/>
    </row>
    <row r="14598" spans="24:24" x14ac:dyDescent="0.35">
      <c r="X14598" s="8"/>
    </row>
    <row r="14599" spans="24:24" x14ac:dyDescent="0.35">
      <c r="X14599" s="8"/>
    </row>
    <row r="14600" spans="24:24" x14ac:dyDescent="0.35">
      <c r="X14600" s="8"/>
    </row>
    <row r="14601" spans="24:24" x14ac:dyDescent="0.35">
      <c r="X14601" s="8"/>
    </row>
    <row r="14602" spans="24:24" x14ac:dyDescent="0.35">
      <c r="X14602" s="8"/>
    </row>
    <row r="14603" spans="24:24" x14ac:dyDescent="0.35">
      <c r="X14603" s="8"/>
    </row>
    <row r="14604" spans="24:24" x14ac:dyDescent="0.35">
      <c r="X14604" s="8"/>
    </row>
    <row r="14605" spans="24:24" x14ac:dyDescent="0.35">
      <c r="X14605" s="8"/>
    </row>
    <row r="14606" spans="24:24" x14ac:dyDescent="0.35">
      <c r="X14606" s="8"/>
    </row>
    <row r="14607" spans="24:24" x14ac:dyDescent="0.35">
      <c r="X14607" s="8"/>
    </row>
    <row r="14608" spans="24:24" x14ac:dyDescent="0.35">
      <c r="X14608" s="8"/>
    </row>
    <row r="14609" spans="24:24" x14ac:dyDescent="0.35">
      <c r="X14609" s="8"/>
    </row>
    <row r="14610" spans="24:24" x14ac:dyDescent="0.35">
      <c r="X14610" s="8"/>
    </row>
    <row r="14611" spans="24:24" x14ac:dyDescent="0.35">
      <c r="X14611" s="8"/>
    </row>
    <row r="14612" spans="24:24" x14ac:dyDescent="0.35">
      <c r="X14612" s="8"/>
    </row>
    <row r="14613" spans="24:24" x14ac:dyDescent="0.35">
      <c r="X14613" s="8"/>
    </row>
    <row r="14614" spans="24:24" x14ac:dyDescent="0.35">
      <c r="X14614" s="8"/>
    </row>
    <row r="14615" spans="24:24" x14ac:dyDescent="0.35">
      <c r="X14615" s="8"/>
    </row>
    <row r="14616" spans="24:24" x14ac:dyDescent="0.35">
      <c r="X14616" s="8"/>
    </row>
    <row r="14617" spans="24:24" x14ac:dyDescent="0.35">
      <c r="X14617" s="8"/>
    </row>
    <row r="14618" spans="24:24" x14ac:dyDescent="0.35">
      <c r="X14618" s="8"/>
    </row>
    <row r="14619" spans="24:24" x14ac:dyDescent="0.35">
      <c r="X14619" s="8"/>
    </row>
    <row r="14620" spans="24:24" x14ac:dyDescent="0.35">
      <c r="X14620" s="8"/>
    </row>
    <row r="14621" spans="24:24" x14ac:dyDescent="0.35">
      <c r="X14621" s="8"/>
    </row>
    <row r="14622" spans="24:24" x14ac:dyDescent="0.35">
      <c r="X14622" s="8"/>
    </row>
    <row r="14623" spans="24:24" x14ac:dyDescent="0.35">
      <c r="X14623" s="8"/>
    </row>
    <row r="14624" spans="24:24" x14ac:dyDescent="0.35">
      <c r="X14624" s="8"/>
    </row>
    <row r="14625" spans="24:24" x14ac:dyDescent="0.35">
      <c r="X14625" s="8"/>
    </row>
    <row r="14626" spans="24:24" x14ac:dyDescent="0.35">
      <c r="X14626" s="8"/>
    </row>
    <row r="14627" spans="24:24" x14ac:dyDescent="0.35">
      <c r="X14627" s="8"/>
    </row>
    <row r="14628" spans="24:24" x14ac:dyDescent="0.35">
      <c r="X14628" s="8"/>
    </row>
    <row r="14629" spans="24:24" x14ac:dyDescent="0.35">
      <c r="X14629" s="8"/>
    </row>
    <row r="14630" spans="24:24" x14ac:dyDescent="0.35">
      <c r="X14630" s="8"/>
    </row>
    <row r="14631" spans="24:24" x14ac:dyDescent="0.35">
      <c r="X14631" s="8"/>
    </row>
    <row r="14632" spans="24:24" x14ac:dyDescent="0.35">
      <c r="X14632" s="8"/>
    </row>
    <row r="14633" spans="24:24" x14ac:dyDescent="0.35">
      <c r="X14633" s="8"/>
    </row>
    <row r="14634" spans="24:24" x14ac:dyDescent="0.35">
      <c r="X14634" s="8"/>
    </row>
    <row r="14635" spans="24:24" x14ac:dyDescent="0.35">
      <c r="X14635" s="8"/>
    </row>
    <row r="14636" spans="24:24" x14ac:dyDescent="0.35">
      <c r="X14636" s="8"/>
    </row>
    <row r="14637" spans="24:24" x14ac:dyDescent="0.35">
      <c r="X14637" s="8"/>
    </row>
    <row r="14638" spans="24:24" x14ac:dyDescent="0.35">
      <c r="X14638" s="8"/>
    </row>
    <row r="14639" spans="24:24" x14ac:dyDescent="0.35">
      <c r="X14639" s="8"/>
    </row>
    <row r="14640" spans="24:24" x14ac:dyDescent="0.35">
      <c r="X14640" s="8"/>
    </row>
    <row r="14641" spans="24:24" x14ac:dyDescent="0.35">
      <c r="X14641" s="8"/>
    </row>
    <row r="14642" spans="24:24" x14ac:dyDescent="0.35">
      <c r="X14642" s="8"/>
    </row>
    <row r="14643" spans="24:24" x14ac:dyDescent="0.35">
      <c r="X14643" s="8"/>
    </row>
    <row r="14644" spans="24:24" x14ac:dyDescent="0.35">
      <c r="X14644" s="8"/>
    </row>
    <row r="14645" spans="24:24" x14ac:dyDescent="0.35">
      <c r="X14645" s="8"/>
    </row>
    <row r="14646" spans="24:24" x14ac:dyDescent="0.35">
      <c r="X14646" s="8"/>
    </row>
    <row r="14647" spans="24:24" x14ac:dyDescent="0.35">
      <c r="X14647" s="8"/>
    </row>
    <row r="14648" spans="24:24" x14ac:dyDescent="0.35">
      <c r="X14648" s="8"/>
    </row>
    <row r="14649" spans="24:24" x14ac:dyDescent="0.35">
      <c r="X14649" s="8"/>
    </row>
    <row r="14650" spans="24:24" x14ac:dyDescent="0.35">
      <c r="X14650" s="8"/>
    </row>
    <row r="14651" spans="24:24" x14ac:dyDescent="0.35">
      <c r="X14651" s="8"/>
    </row>
    <row r="14652" spans="24:24" x14ac:dyDescent="0.35">
      <c r="X14652" s="8"/>
    </row>
    <row r="14653" spans="24:24" x14ac:dyDescent="0.35">
      <c r="X14653" s="8"/>
    </row>
    <row r="14654" spans="24:24" x14ac:dyDescent="0.35">
      <c r="X14654" s="8"/>
    </row>
    <row r="14655" spans="24:24" x14ac:dyDescent="0.35">
      <c r="X14655" s="8"/>
    </row>
    <row r="14656" spans="24:24" x14ac:dyDescent="0.35">
      <c r="X14656" s="8"/>
    </row>
    <row r="14657" spans="24:24" x14ac:dyDescent="0.35">
      <c r="X14657" s="8"/>
    </row>
    <row r="14658" spans="24:24" x14ac:dyDescent="0.35">
      <c r="X14658" s="8"/>
    </row>
    <row r="14659" spans="24:24" x14ac:dyDescent="0.35">
      <c r="X14659" s="8"/>
    </row>
    <row r="14660" spans="24:24" x14ac:dyDescent="0.35">
      <c r="X14660" s="8"/>
    </row>
    <row r="14661" spans="24:24" x14ac:dyDescent="0.35">
      <c r="X14661" s="8"/>
    </row>
    <row r="14662" spans="24:24" x14ac:dyDescent="0.35">
      <c r="X14662" s="8"/>
    </row>
    <row r="14663" spans="24:24" x14ac:dyDescent="0.35">
      <c r="X14663" s="8"/>
    </row>
    <row r="14664" spans="24:24" x14ac:dyDescent="0.35">
      <c r="X14664" s="8"/>
    </row>
    <row r="14665" spans="24:24" x14ac:dyDescent="0.35">
      <c r="X14665" s="8"/>
    </row>
    <row r="14666" spans="24:24" x14ac:dyDescent="0.35">
      <c r="X14666" s="8"/>
    </row>
    <row r="14667" spans="24:24" x14ac:dyDescent="0.35">
      <c r="X14667" s="8"/>
    </row>
    <row r="14668" spans="24:24" x14ac:dyDescent="0.35">
      <c r="X14668" s="8"/>
    </row>
    <row r="14669" spans="24:24" x14ac:dyDescent="0.35">
      <c r="X14669" s="8"/>
    </row>
    <row r="14670" spans="24:24" x14ac:dyDescent="0.35">
      <c r="X14670" s="8"/>
    </row>
    <row r="14671" spans="24:24" x14ac:dyDescent="0.35">
      <c r="X14671" s="8"/>
    </row>
    <row r="14672" spans="24:24" x14ac:dyDescent="0.35">
      <c r="X14672" s="8"/>
    </row>
    <row r="14673" spans="24:24" x14ac:dyDescent="0.35">
      <c r="X14673" s="8"/>
    </row>
    <row r="14674" spans="24:24" x14ac:dyDescent="0.35">
      <c r="X14674" s="8"/>
    </row>
    <row r="14675" spans="24:24" x14ac:dyDescent="0.35">
      <c r="X14675" s="8"/>
    </row>
    <row r="14676" spans="24:24" x14ac:dyDescent="0.35">
      <c r="X14676" s="8"/>
    </row>
    <row r="14677" spans="24:24" x14ac:dyDescent="0.35">
      <c r="X14677" s="8"/>
    </row>
    <row r="14678" spans="24:24" x14ac:dyDescent="0.35">
      <c r="X14678" s="8"/>
    </row>
    <row r="14679" spans="24:24" x14ac:dyDescent="0.35">
      <c r="X14679" s="8"/>
    </row>
    <row r="14680" spans="24:24" x14ac:dyDescent="0.35">
      <c r="X14680" s="8"/>
    </row>
    <row r="14681" spans="24:24" x14ac:dyDescent="0.35">
      <c r="X14681" s="8"/>
    </row>
    <row r="14682" spans="24:24" x14ac:dyDescent="0.35">
      <c r="X14682" s="8"/>
    </row>
    <row r="14683" spans="24:24" x14ac:dyDescent="0.35">
      <c r="X14683" s="8"/>
    </row>
    <row r="14684" spans="24:24" x14ac:dyDescent="0.35">
      <c r="X14684" s="8"/>
    </row>
    <row r="14685" spans="24:24" x14ac:dyDescent="0.35">
      <c r="X14685" s="8"/>
    </row>
    <row r="14686" spans="24:24" x14ac:dyDescent="0.35">
      <c r="X14686" s="8"/>
    </row>
    <row r="14687" spans="24:24" x14ac:dyDescent="0.35">
      <c r="X14687" s="8"/>
    </row>
    <row r="14688" spans="24:24" x14ac:dyDescent="0.35">
      <c r="X14688" s="8"/>
    </row>
    <row r="14689" spans="24:24" x14ac:dyDescent="0.35">
      <c r="X14689" s="8"/>
    </row>
    <row r="14690" spans="24:24" x14ac:dyDescent="0.35">
      <c r="X14690" s="8"/>
    </row>
    <row r="14691" spans="24:24" x14ac:dyDescent="0.35">
      <c r="X14691" s="8"/>
    </row>
    <row r="14692" spans="24:24" x14ac:dyDescent="0.35">
      <c r="X14692" s="8"/>
    </row>
    <row r="14693" spans="24:24" x14ac:dyDescent="0.35">
      <c r="X14693" s="8"/>
    </row>
    <row r="14694" spans="24:24" x14ac:dyDescent="0.35">
      <c r="X14694" s="8"/>
    </row>
    <row r="14695" spans="24:24" x14ac:dyDescent="0.35">
      <c r="X14695" s="8"/>
    </row>
    <row r="14696" spans="24:24" x14ac:dyDescent="0.35">
      <c r="X14696" s="8"/>
    </row>
    <row r="14697" spans="24:24" x14ac:dyDescent="0.35">
      <c r="X14697" s="8"/>
    </row>
    <row r="14698" spans="24:24" x14ac:dyDescent="0.35">
      <c r="X14698" s="8"/>
    </row>
    <row r="14699" spans="24:24" x14ac:dyDescent="0.35">
      <c r="X14699" s="8"/>
    </row>
    <row r="14700" spans="24:24" x14ac:dyDescent="0.35">
      <c r="X14700" s="8"/>
    </row>
    <row r="14701" spans="24:24" x14ac:dyDescent="0.35">
      <c r="X14701" s="8"/>
    </row>
    <row r="14702" spans="24:24" x14ac:dyDescent="0.35">
      <c r="X14702" s="8"/>
    </row>
    <row r="14703" spans="24:24" x14ac:dyDescent="0.35">
      <c r="X14703" s="8"/>
    </row>
    <row r="14704" spans="24:24" x14ac:dyDescent="0.35">
      <c r="X14704" s="8"/>
    </row>
    <row r="14705" spans="24:24" x14ac:dyDescent="0.35">
      <c r="X14705" s="8"/>
    </row>
    <row r="14706" spans="24:24" x14ac:dyDescent="0.35">
      <c r="X14706" s="8"/>
    </row>
    <row r="14707" spans="24:24" x14ac:dyDescent="0.35">
      <c r="X14707" s="8"/>
    </row>
    <row r="14708" spans="24:24" x14ac:dyDescent="0.35">
      <c r="X14708" s="8"/>
    </row>
    <row r="14709" spans="24:24" x14ac:dyDescent="0.35">
      <c r="X14709" s="8"/>
    </row>
    <row r="14710" spans="24:24" x14ac:dyDescent="0.35">
      <c r="X14710" s="8"/>
    </row>
    <row r="14711" spans="24:24" x14ac:dyDescent="0.35">
      <c r="X14711" s="8"/>
    </row>
    <row r="14712" spans="24:24" x14ac:dyDescent="0.35">
      <c r="X14712" s="8"/>
    </row>
    <row r="14713" spans="24:24" x14ac:dyDescent="0.35">
      <c r="X14713" s="8"/>
    </row>
    <row r="14714" spans="24:24" x14ac:dyDescent="0.35">
      <c r="X14714" s="8"/>
    </row>
    <row r="14715" spans="24:24" x14ac:dyDescent="0.35">
      <c r="X14715" s="8"/>
    </row>
    <row r="14716" spans="24:24" x14ac:dyDescent="0.35">
      <c r="X14716" s="8"/>
    </row>
    <row r="14717" spans="24:24" x14ac:dyDescent="0.35">
      <c r="X14717" s="8"/>
    </row>
    <row r="14718" spans="24:24" x14ac:dyDescent="0.35">
      <c r="X14718" s="8"/>
    </row>
    <row r="14719" spans="24:24" x14ac:dyDescent="0.35">
      <c r="X14719" s="8"/>
    </row>
    <row r="14720" spans="24:24" x14ac:dyDescent="0.35">
      <c r="X14720" s="8"/>
    </row>
    <row r="14721" spans="24:24" x14ac:dyDescent="0.35">
      <c r="X14721" s="8"/>
    </row>
    <row r="14722" spans="24:24" x14ac:dyDescent="0.35">
      <c r="X14722" s="8"/>
    </row>
    <row r="14723" spans="24:24" x14ac:dyDescent="0.35">
      <c r="X14723" s="8"/>
    </row>
    <row r="14724" spans="24:24" x14ac:dyDescent="0.35">
      <c r="X14724" s="8"/>
    </row>
    <row r="14725" spans="24:24" x14ac:dyDescent="0.35">
      <c r="X14725" s="8"/>
    </row>
    <row r="14726" spans="24:24" x14ac:dyDescent="0.35">
      <c r="X14726" s="8"/>
    </row>
    <row r="14727" spans="24:24" x14ac:dyDescent="0.35">
      <c r="X14727" s="8"/>
    </row>
    <row r="14728" spans="24:24" x14ac:dyDescent="0.35">
      <c r="X14728" s="8"/>
    </row>
    <row r="14729" spans="24:24" x14ac:dyDescent="0.35">
      <c r="X14729" s="8"/>
    </row>
    <row r="14730" spans="24:24" x14ac:dyDescent="0.35">
      <c r="X14730" s="8"/>
    </row>
    <row r="14731" spans="24:24" x14ac:dyDescent="0.35">
      <c r="X14731" s="8"/>
    </row>
    <row r="14732" spans="24:24" x14ac:dyDescent="0.35">
      <c r="X14732" s="8"/>
    </row>
    <row r="14733" spans="24:24" x14ac:dyDescent="0.35">
      <c r="X14733" s="8"/>
    </row>
    <row r="14734" spans="24:24" x14ac:dyDescent="0.35">
      <c r="X14734" s="8"/>
    </row>
    <row r="14735" spans="24:24" x14ac:dyDescent="0.35">
      <c r="X14735" s="8"/>
    </row>
    <row r="14736" spans="24:24" x14ac:dyDescent="0.35">
      <c r="X14736" s="8"/>
    </row>
    <row r="14737" spans="24:24" x14ac:dyDescent="0.35">
      <c r="X14737" s="8"/>
    </row>
    <row r="14738" spans="24:24" x14ac:dyDescent="0.35">
      <c r="X14738" s="8"/>
    </row>
    <row r="14739" spans="24:24" x14ac:dyDescent="0.35">
      <c r="X14739" s="8"/>
    </row>
    <row r="14740" spans="24:24" x14ac:dyDescent="0.35">
      <c r="X14740" s="8"/>
    </row>
    <row r="14741" spans="24:24" x14ac:dyDescent="0.35">
      <c r="X14741" s="8"/>
    </row>
    <row r="14742" spans="24:24" x14ac:dyDescent="0.35">
      <c r="X14742" s="8"/>
    </row>
    <row r="14743" spans="24:24" x14ac:dyDescent="0.35">
      <c r="X14743" s="8"/>
    </row>
    <row r="14744" spans="24:24" x14ac:dyDescent="0.35">
      <c r="X14744" s="8"/>
    </row>
    <row r="14745" spans="24:24" x14ac:dyDescent="0.35">
      <c r="X14745" s="8"/>
    </row>
    <row r="14746" spans="24:24" x14ac:dyDescent="0.35">
      <c r="X14746" s="8"/>
    </row>
    <row r="14747" spans="24:24" x14ac:dyDescent="0.35">
      <c r="X14747" s="8"/>
    </row>
    <row r="14748" spans="24:24" x14ac:dyDescent="0.35">
      <c r="X14748" s="8"/>
    </row>
    <row r="14749" spans="24:24" x14ac:dyDescent="0.35">
      <c r="X14749" s="8"/>
    </row>
    <row r="14750" spans="24:24" x14ac:dyDescent="0.35">
      <c r="X14750" s="8"/>
    </row>
    <row r="14751" spans="24:24" x14ac:dyDescent="0.35">
      <c r="X14751" s="8"/>
    </row>
    <row r="14752" spans="24:24" x14ac:dyDescent="0.35">
      <c r="X14752" s="8"/>
    </row>
    <row r="14753" spans="24:24" x14ac:dyDescent="0.35">
      <c r="X14753" s="8"/>
    </row>
    <row r="14754" spans="24:24" x14ac:dyDescent="0.35">
      <c r="X14754" s="8"/>
    </row>
    <row r="14755" spans="24:24" x14ac:dyDescent="0.35">
      <c r="X14755" s="8"/>
    </row>
    <row r="14756" spans="24:24" x14ac:dyDescent="0.35">
      <c r="X14756" s="8"/>
    </row>
    <row r="14757" spans="24:24" x14ac:dyDescent="0.35">
      <c r="X14757" s="8"/>
    </row>
    <row r="14758" spans="24:24" x14ac:dyDescent="0.35">
      <c r="X14758" s="8"/>
    </row>
    <row r="14759" spans="24:24" x14ac:dyDescent="0.35">
      <c r="X14759" s="8"/>
    </row>
    <row r="14760" spans="24:24" x14ac:dyDescent="0.35">
      <c r="X14760" s="8"/>
    </row>
    <row r="14761" spans="24:24" x14ac:dyDescent="0.35">
      <c r="X14761" s="8"/>
    </row>
    <row r="14762" spans="24:24" x14ac:dyDescent="0.35">
      <c r="X14762" s="8"/>
    </row>
    <row r="14763" spans="24:24" x14ac:dyDescent="0.35">
      <c r="X14763" s="8"/>
    </row>
    <row r="14764" spans="24:24" x14ac:dyDescent="0.35">
      <c r="X14764" s="8"/>
    </row>
    <row r="14765" spans="24:24" x14ac:dyDescent="0.35">
      <c r="X14765" s="8"/>
    </row>
    <row r="14766" spans="24:24" x14ac:dyDescent="0.35">
      <c r="X14766" s="8"/>
    </row>
    <row r="14767" spans="24:24" x14ac:dyDescent="0.35">
      <c r="X14767" s="8"/>
    </row>
    <row r="14768" spans="24:24" x14ac:dyDescent="0.35">
      <c r="X14768" s="8"/>
    </row>
    <row r="14769" spans="24:24" x14ac:dyDescent="0.35">
      <c r="X14769" s="8"/>
    </row>
    <row r="14770" spans="24:24" x14ac:dyDescent="0.35">
      <c r="X14770" s="8"/>
    </row>
    <row r="14771" spans="24:24" x14ac:dyDescent="0.35">
      <c r="X14771" s="8"/>
    </row>
    <row r="14772" spans="24:24" x14ac:dyDescent="0.35">
      <c r="X14772" s="8"/>
    </row>
    <row r="14773" spans="24:24" x14ac:dyDescent="0.35">
      <c r="X14773" s="8"/>
    </row>
    <row r="14774" spans="24:24" x14ac:dyDescent="0.35">
      <c r="X14774" s="8"/>
    </row>
    <row r="14775" spans="24:24" x14ac:dyDescent="0.35">
      <c r="X14775" s="8"/>
    </row>
    <row r="14776" spans="24:24" x14ac:dyDescent="0.35">
      <c r="X14776" s="8"/>
    </row>
    <row r="14777" spans="24:24" x14ac:dyDescent="0.35">
      <c r="X14777" s="8"/>
    </row>
    <row r="14778" spans="24:24" x14ac:dyDescent="0.35">
      <c r="X14778" s="8"/>
    </row>
    <row r="14779" spans="24:24" x14ac:dyDescent="0.35">
      <c r="X14779" s="8"/>
    </row>
    <row r="14780" spans="24:24" x14ac:dyDescent="0.35">
      <c r="X14780" s="8"/>
    </row>
    <row r="14781" spans="24:24" x14ac:dyDescent="0.35">
      <c r="X14781" s="8"/>
    </row>
    <row r="14782" spans="24:24" x14ac:dyDescent="0.35">
      <c r="X14782" s="8"/>
    </row>
    <row r="14783" spans="24:24" x14ac:dyDescent="0.35">
      <c r="X14783" s="8"/>
    </row>
    <row r="14784" spans="24:24" x14ac:dyDescent="0.35">
      <c r="X14784" s="8"/>
    </row>
    <row r="14785" spans="24:24" x14ac:dyDescent="0.35">
      <c r="X14785" s="8"/>
    </row>
    <row r="14786" spans="24:24" x14ac:dyDescent="0.35">
      <c r="X14786" s="8"/>
    </row>
    <row r="14787" spans="24:24" x14ac:dyDescent="0.35">
      <c r="X14787" s="8"/>
    </row>
    <row r="14788" spans="24:24" x14ac:dyDescent="0.35">
      <c r="X14788" s="8"/>
    </row>
    <row r="14789" spans="24:24" x14ac:dyDescent="0.35">
      <c r="X14789" s="8"/>
    </row>
    <row r="14790" spans="24:24" x14ac:dyDescent="0.35">
      <c r="X14790" s="8"/>
    </row>
    <row r="14791" spans="24:24" x14ac:dyDescent="0.35">
      <c r="X14791" s="8"/>
    </row>
    <row r="14792" spans="24:24" x14ac:dyDescent="0.35">
      <c r="X14792" s="8"/>
    </row>
    <row r="14793" spans="24:24" x14ac:dyDescent="0.35">
      <c r="X14793" s="8"/>
    </row>
    <row r="14794" spans="24:24" x14ac:dyDescent="0.35">
      <c r="X14794" s="8"/>
    </row>
    <row r="14795" spans="24:24" x14ac:dyDescent="0.35">
      <c r="X14795" s="8"/>
    </row>
    <row r="14796" spans="24:24" x14ac:dyDescent="0.35">
      <c r="X14796" s="8"/>
    </row>
    <row r="14797" spans="24:24" x14ac:dyDescent="0.35">
      <c r="X14797" s="8"/>
    </row>
    <row r="14798" spans="24:24" x14ac:dyDescent="0.35">
      <c r="X14798" s="8"/>
    </row>
    <row r="14799" spans="24:24" x14ac:dyDescent="0.35">
      <c r="X14799" s="8"/>
    </row>
    <row r="14800" spans="24:24" x14ac:dyDescent="0.35">
      <c r="X14800" s="8"/>
    </row>
    <row r="14801" spans="24:24" x14ac:dyDescent="0.35">
      <c r="X14801" s="8"/>
    </row>
    <row r="14802" spans="24:24" x14ac:dyDescent="0.35">
      <c r="X14802" s="8"/>
    </row>
    <row r="14803" spans="24:24" x14ac:dyDescent="0.35">
      <c r="X14803" s="8"/>
    </row>
    <row r="14804" spans="24:24" x14ac:dyDescent="0.35">
      <c r="X14804" s="8"/>
    </row>
    <row r="14805" spans="24:24" x14ac:dyDescent="0.35">
      <c r="X14805" s="8"/>
    </row>
    <row r="14806" spans="24:24" x14ac:dyDescent="0.35">
      <c r="X14806" s="8"/>
    </row>
    <row r="14807" spans="24:24" x14ac:dyDescent="0.35">
      <c r="X14807" s="8"/>
    </row>
    <row r="14808" spans="24:24" x14ac:dyDescent="0.35">
      <c r="X14808" s="8"/>
    </row>
    <row r="14809" spans="24:24" x14ac:dyDescent="0.35">
      <c r="X14809" s="8"/>
    </row>
    <row r="14810" spans="24:24" x14ac:dyDescent="0.35">
      <c r="X14810" s="8"/>
    </row>
    <row r="14811" spans="24:24" x14ac:dyDescent="0.35">
      <c r="X14811" s="8"/>
    </row>
    <row r="14812" spans="24:24" x14ac:dyDescent="0.35">
      <c r="X14812" s="8"/>
    </row>
    <row r="14813" spans="24:24" x14ac:dyDescent="0.35">
      <c r="X14813" s="8"/>
    </row>
    <row r="14814" spans="24:24" x14ac:dyDescent="0.35">
      <c r="X14814" s="8"/>
    </row>
    <row r="14815" spans="24:24" x14ac:dyDescent="0.35">
      <c r="X14815" s="8"/>
    </row>
    <row r="14816" spans="24:24" x14ac:dyDescent="0.35">
      <c r="X14816" s="8"/>
    </row>
    <row r="14817" spans="24:24" x14ac:dyDescent="0.35">
      <c r="X14817" s="8"/>
    </row>
    <row r="14818" spans="24:24" x14ac:dyDescent="0.35">
      <c r="X14818" s="8"/>
    </row>
    <row r="14819" spans="24:24" x14ac:dyDescent="0.35">
      <c r="X14819" s="8"/>
    </row>
    <row r="14820" spans="24:24" x14ac:dyDescent="0.35">
      <c r="X14820" s="8"/>
    </row>
    <row r="14821" spans="24:24" x14ac:dyDescent="0.35">
      <c r="X14821" s="8"/>
    </row>
    <row r="14822" spans="24:24" x14ac:dyDescent="0.35">
      <c r="X14822" s="8"/>
    </row>
    <row r="14823" spans="24:24" x14ac:dyDescent="0.35">
      <c r="X14823" s="8"/>
    </row>
    <row r="14824" spans="24:24" x14ac:dyDescent="0.35">
      <c r="X14824" s="8"/>
    </row>
    <row r="14825" spans="24:24" x14ac:dyDescent="0.35">
      <c r="X14825" s="8"/>
    </row>
    <row r="14826" spans="24:24" x14ac:dyDescent="0.35">
      <c r="X14826" s="8"/>
    </row>
    <row r="14827" spans="24:24" x14ac:dyDescent="0.35">
      <c r="X14827" s="8"/>
    </row>
    <row r="14828" spans="24:24" x14ac:dyDescent="0.35">
      <c r="X14828" s="8"/>
    </row>
    <row r="14829" spans="24:24" x14ac:dyDescent="0.35">
      <c r="X14829" s="8"/>
    </row>
    <row r="14830" spans="24:24" x14ac:dyDescent="0.35">
      <c r="X14830" s="8"/>
    </row>
    <row r="14831" spans="24:24" x14ac:dyDescent="0.35">
      <c r="X14831" s="8"/>
    </row>
    <row r="14832" spans="24:24" x14ac:dyDescent="0.35">
      <c r="X14832" s="8"/>
    </row>
    <row r="14833" spans="24:24" x14ac:dyDescent="0.35">
      <c r="X14833" s="8"/>
    </row>
    <row r="14834" spans="24:24" x14ac:dyDescent="0.35">
      <c r="X14834" s="8"/>
    </row>
    <row r="14835" spans="24:24" x14ac:dyDescent="0.35">
      <c r="X14835" s="8"/>
    </row>
    <row r="14836" spans="24:24" x14ac:dyDescent="0.35">
      <c r="X14836" s="8"/>
    </row>
    <row r="14837" spans="24:24" x14ac:dyDescent="0.35">
      <c r="X14837" s="8"/>
    </row>
    <row r="14838" spans="24:24" x14ac:dyDescent="0.35">
      <c r="X14838" s="8"/>
    </row>
    <row r="14839" spans="24:24" x14ac:dyDescent="0.35">
      <c r="X14839" s="8"/>
    </row>
    <row r="14840" spans="24:24" x14ac:dyDescent="0.35">
      <c r="X14840" s="8"/>
    </row>
    <row r="14841" spans="24:24" x14ac:dyDescent="0.35">
      <c r="X14841" s="8"/>
    </row>
    <row r="14842" spans="24:24" x14ac:dyDescent="0.35">
      <c r="X14842" s="8"/>
    </row>
    <row r="14843" spans="24:24" x14ac:dyDescent="0.35">
      <c r="X14843" s="8"/>
    </row>
    <row r="14844" spans="24:24" x14ac:dyDescent="0.35">
      <c r="X14844" s="8"/>
    </row>
    <row r="14845" spans="24:24" x14ac:dyDescent="0.35">
      <c r="X14845" s="8"/>
    </row>
    <row r="14846" spans="24:24" x14ac:dyDescent="0.35">
      <c r="X14846" s="8"/>
    </row>
    <row r="14847" spans="24:24" x14ac:dyDescent="0.35">
      <c r="X14847" s="8"/>
    </row>
    <row r="14848" spans="24:24" x14ac:dyDescent="0.35">
      <c r="X14848" s="8"/>
    </row>
    <row r="14849" spans="24:24" x14ac:dyDescent="0.35">
      <c r="X14849" s="8"/>
    </row>
    <row r="14850" spans="24:24" x14ac:dyDescent="0.35">
      <c r="X14850" s="8"/>
    </row>
    <row r="14851" spans="24:24" x14ac:dyDescent="0.35">
      <c r="X14851" s="8"/>
    </row>
    <row r="14852" spans="24:24" x14ac:dyDescent="0.35">
      <c r="X14852" s="8"/>
    </row>
    <row r="14853" spans="24:24" x14ac:dyDescent="0.35">
      <c r="X14853" s="8"/>
    </row>
    <row r="14854" spans="24:24" x14ac:dyDescent="0.35">
      <c r="X14854" s="8"/>
    </row>
    <row r="14855" spans="24:24" x14ac:dyDescent="0.35">
      <c r="X14855" s="8"/>
    </row>
    <row r="14856" spans="24:24" x14ac:dyDescent="0.35">
      <c r="X14856" s="8"/>
    </row>
    <row r="14857" spans="24:24" x14ac:dyDescent="0.35">
      <c r="X14857" s="8"/>
    </row>
    <row r="14858" spans="24:24" x14ac:dyDescent="0.35">
      <c r="X14858" s="8"/>
    </row>
    <row r="14859" spans="24:24" x14ac:dyDescent="0.35">
      <c r="X14859" s="8"/>
    </row>
    <row r="14860" spans="24:24" x14ac:dyDescent="0.35">
      <c r="X14860" s="8"/>
    </row>
    <row r="14861" spans="24:24" x14ac:dyDescent="0.35">
      <c r="X14861" s="8"/>
    </row>
    <row r="14862" spans="24:24" x14ac:dyDescent="0.35">
      <c r="X14862" s="8"/>
    </row>
    <row r="14863" spans="24:24" x14ac:dyDescent="0.35">
      <c r="X14863" s="8"/>
    </row>
    <row r="14864" spans="24:24" x14ac:dyDescent="0.35">
      <c r="X14864" s="8"/>
    </row>
    <row r="14865" spans="24:24" x14ac:dyDescent="0.35">
      <c r="X14865" s="8"/>
    </row>
    <row r="14866" spans="24:24" x14ac:dyDescent="0.35">
      <c r="X14866" s="8"/>
    </row>
    <row r="14867" spans="24:24" x14ac:dyDescent="0.35">
      <c r="X14867" s="8"/>
    </row>
    <row r="14868" spans="24:24" x14ac:dyDescent="0.35">
      <c r="X14868" s="8"/>
    </row>
    <row r="14869" spans="24:24" x14ac:dyDescent="0.35">
      <c r="X14869" s="8"/>
    </row>
    <row r="14870" spans="24:24" x14ac:dyDescent="0.35">
      <c r="X14870" s="8"/>
    </row>
    <row r="14871" spans="24:24" x14ac:dyDescent="0.35">
      <c r="X14871" s="8"/>
    </row>
    <row r="14872" spans="24:24" x14ac:dyDescent="0.35">
      <c r="X14872" s="8"/>
    </row>
    <row r="14873" spans="24:24" x14ac:dyDescent="0.35">
      <c r="X14873" s="8"/>
    </row>
    <row r="14874" spans="24:24" x14ac:dyDescent="0.35">
      <c r="X14874" s="8"/>
    </row>
    <row r="14875" spans="24:24" x14ac:dyDescent="0.35">
      <c r="X14875" s="8"/>
    </row>
    <row r="14876" spans="24:24" x14ac:dyDescent="0.35">
      <c r="X14876" s="8"/>
    </row>
    <row r="14877" spans="24:24" x14ac:dyDescent="0.35">
      <c r="X14877" s="8"/>
    </row>
    <row r="14878" spans="24:24" x14ac:dyDescent="0.35">
      <c r="X14878" s="8"/>
    </row>
    <row r="14879" spans="24:24" x14ac:dyDescent="0.35">
      <c r="X14879" s="8"/>
    </row>
    <row r="14880" spans="24:24" x14ac:dyDescent="0.35">
      <c r="X14880" s="8"/>
    </row>
    <row r="14881" spans="24:24" x14ac:dyDescent="0.35">
      <c r="X14881" s="8"/>
    </row>
    <row r="14882" spans="24:24" x14ac:dyDescent="0.35">
      <c r="X14882" s="8"/>
    </row>
    <row r="14883" spans="24:24" x14ac:dyDescent="0.35">
      <c r="X14883" s="8"/>
    </row>
    <row r="14884" spans="24:24" x14ac:dyDescent="0.35">
      <c r="X14884" s="8"/>
    </row>
    <row r="14885" spans="24:24" x14ac:dyDescent="0.35">
      <c r="X14885" s="8"/>
    </row>
    <row r="14886" spans="24:24" x14ac:dyDescent="0.35">
      <c r="X14886" s="8"/>
    </row>
    <row r="14887" spans="24:24" x14ac:dyDescent="0.35">
      <c r="X14887" s="8"/>
    </row>
    <row r="14888" spans="24:24" x14ac:dyDescent="0.35">
      <c r="X14888" s="8"/>
    </row>
    <row r="14889" spans="24:24" x14ac:dyDescent="0.35">
      <c r="X14889" s="8"/>
    </row>
    <row r="14890" spans="24:24" x14ac:dyDescent="0.35">
      <c r="X14890" s="8"/>
    </row>
    <row r="14891" spans="24:24" x14ac:dyDescent="0.35">
      <c r="X14891" s="8"/>
    </row>
    <row r="14892" spans="24:24" x14ac:dyDescent="0.35">
      <c r="X14892" s="8"/>
    </row>
    <row r="14893" spans="24:24" x14ac:dyDescent="0.35">
      <c r="X14893" s="8"/>
    </row>
    <row r="14894" spans="24:24" x14ac:dyDescent="0.35">
      <c r="X14894" s="8"/>
    </row>
    <row r="14895" spans="24:24" x14ac:dyDescent="0.35">
      <c r="X14895" s="8"/>
    </row>
    <row r="14896" spans="24:24" x14ac:dyDescent="0.35">
      <c r="X14896" s="8"/>
    </row>
    <row r="14897" spans="24:24" x14ac:dyDescent="0.35">
      <c r="X14897" s="8"/>
    </row>
    <row r="14898" spans="24:24" x14ac:dyDescent="0.35">
      <c r="X14898" s="8"/>
    </row>
    <row r="14899" spans="24:24" x14ac:dyDescent="0.35">
      <c r="X14899" s="8"/>
    </row>
    <row r="14900" spans="24:24" x14ac:dyDescent="0.35">
      <c r="X14900" s="8"/>
    </row>
    <row r="14901" spans="24:24" x14ac:dyDescent="0.35">
      <c r="X14901" s="8"/>
    </row>
    <row r="14902" spans="24:24" x14ac:dyDescent="0.35">
      <c r="X14902" s="8"/>
    </row>
    <row r="14903" spans="24:24" x14ac:dyDescent="0.35">
      <c r="X14903" s="8"/>
    </row>
    <row r="14904" spans="24:24" x14ac:dyDescent="0.35">
      <c r="X14904" s="8"/>
    </row>
    <row r="14905" spans="24:24" x14ac:dyDescent="0.35">
      <c r="X14905" s="8"/>
    </row>
    <row r="14906" spans="24:24" x14ac:dyDescent="0.35">
      <c r="X14906" s="8"/>
    </row>
    <row r="14907" spans="24:24" x14ac:dyDescent="0.35">
      <c r="X14907" s="8"/>
    </row>
    <row r="14908" spans="24:24" x14ac:dyDescent="0.35">
      <c r="X14908" s="8"/>
    </row>
    <row r="14909" spans="24:24" x14ac:dyDescent="0.35">
      <c r="X14909" s="8"/>
    </row>
    <row r="14910" spans="24:24" x14ac:dyDescent="0.35">
      <c r="X14910" s="8"/>
    </row>
    <row r="14911" spans="24:24" x14ac:dyDescent="0.35">
      <c r="X14911" s="8"/>
    </row>
    <row r="14912" spans="24:24" x14ac:dyDescent="0.35">
      <c r="X14912" s="8"/>
    </row>
    <row r="14913" spans="24:24" x14ac:dyDescent="0.35">
      <c r="X14913" s="8"/>
    </row>
    <row r="14914" spans="24:24" x14ac:dyDescent="0.35">
      <c r="X14914" s="8"/>
    </row>
    <row r="14915" spans="24:24" x14ac:dyDescent="0.35">
      <c r="X14915" s="8"/>
    </row>
    <row r="14916" spans="24:24" x14ac:dyDescent="0.35">
      <c r="X14916" s="8"/>
    </row>
    <row r="14917" spans="24:24" x14ac:dyDescent="0.35">
      <c r="X14917" s="8"/>
    </row>
    <row r="14918" spans="24:24" x14ac:dyDescent="0.35">
      <c r="X14918" s="8"/>
    </row>
    <row r="14919" spans="24:24" x14ac:dyDescent="0.35">
      <c r="X14919" s="8"/>
    </row>
    <row r="14920" spans="24:24" x14ac:dyDescent="0.35">
      <c r="X14920" s="8"/>
    </row>
    <row r="14921" spans="24:24" x14ac:dyDescent="0.35">
      <c r="X14921" s="8"/>
    </row>
    <row r="14922" spans="24:24" x14ac:dyDescent="0.35">
      <c r="X14922" s="8"/>
    </row>
    <row r="14923" spans="24:24" x14ac:dyDescent="0.35">
      <c r="X14923" s="8"/>
    </row>
    <row r="14924" spans="24:24" x14ac:dyDescent="0.35">
      <c r="X14924" s="8"/>
    </row>
    <row r="14925" spans="24:24" x14ac:dyDescent="0.35">
      <c r="X14925" s="8"/>
    </row>
    <row r="14926" spans="24:24" x14ac:dyDescent="0.35">
      <c r="X14926" s="8"/>
    </row>
    <row r="14927" spans="24:24" x14ac:dyDescent="0.35">
      <c r="X14927" s="8"/>
    </row>
    <row r="14928" spans="24:24" x14ac:dyDescent="0.35">
      <c r="X14928" s="8"/>
    </row>
    <row r="14929" spans="24:24" x14ac:dyDescent="0.35">
      <c r="X14929" s="8"/>
    </row>
    <row r="14930" spans="24:24" x14ac:dyDescent="0.35">
      <c r="X14930" s="8"/>
    </row>
    <row r="14931" spans="24:24" x14ac:dyDescent="0.35">
      <c r="X14931" s="8"/>
    </row>
    <row r="14932" spans="24:24" x14ac:dyDescent="0.35">
      <c r="X14932" s="8"/>
    </row>
    <row r="14933" spans="24:24" x14ac:dyDescent="0.35">
      <c r="X14933" s="8"/>
    </row>
    <row r="14934" spans="24:24" x14ac:dyDescent="0.35">
      <c r="X14934" s="8"/>
    </row>
    <row r="14935" spans="24:24" x14ac:dyDescent="0.35">
      <c r="X14935" s="8"/>
    </row>
    <row r="14936" spans="24:24" x14ac:dyDescent="0.35">
      <c r="X14936" s="8"/>
    </row>
    <row r="14937" spans="24:24" x14ac:dyDescent="0.35">
      <c r="X14937" s="8"/>
    </row>
    <row r="14938" spans="24:24" x14ac:dyDescent="0.35">
      <c r="X14938" s="8"/>
    </row>
    <row r="14939" spans="24:24" x14ac:dyDescent="0.35">
      <c r="X14939" s="8"/>
    </row>
    <row r="14940" spans="24:24" x14ac:dyDescent="0.35">
      <c r="X14940" s="8"/>
    </row>
    <row r="14941" spans="24:24" x14ac:dyDescent="0.35">
      <c r="X14941" s="8"/>
    </row>
    <row r="14942" spans="24:24" x14ac:dyDescent="0.35">
      <c r="X14942" s="8"/>
    </row>
    <row r="14943" spans="24:24" x14ac:dyDescent="0.35">
      <c r="X14943" s="8"/>
    </row>
    <row r="14944" spans="24:24" x14ac:dyDescent="0.35">
      <c r="X14944" s="8"/>
    </row>
    <row r="14945" spans="24:24" x14ac:dyDescent="0.35">
      <c r="X14945" s="8"/>
    </row>
    <row r="14946" spans="24:24" x14ac:dyDescent="0.35">
      <c r="X14946" s="8"/>
    </row>
    <row r="14947" spans="24:24" x14ac:dyDescent="0.35">
      <c r="X14947" s="8"/>
    </row>
    <row r="14948" spans="24:24" x14ac:dyDescent="0.35">
      <c r="X14948" s="8"/>
    </row>
    <row r="14949" spans="24:24" x14ac:dyDescent="0.35">
      <c r="X14949" s="8"/>
    </row>
    <row r="14950" spans="24:24" x14ac:dyDescent="0.35">
      <c r="X14950" s="8"/>
    </row>
    <row r="14951" spans="24:24" x14ac:dyDescent="0.35">
      <c r="X14951" s="8"/>
    </row>
    <row r="14952" spans="24:24" x14ac:dyDescent="0.35">
      <c r="X14952" s="8"/>
    </row>
    <row r="14953" spans="24:24" x14ac:dyDescent="0.35">
      <c r="X14953" s="8"/>
    </row>
    <row r="14954" spans="24:24" x14ac:dyDescent="0.35">
      <c r="X14954" s="8"/>
    </row>
    <row r="14955" spans="24:24" x14ac:dyDescent="0.35">
      <c r="X14955" s="8"/>
    </row>
    <row r="14956" spans="24:24" x14ac:dyDescent="0.35">
      <c r="X14956" s="8"/>
    </row>
    <row r="14957" spans="24:24" x14ac:dyDescent="0.35">
      <c r="X14957" s="8"/>
    </row>
    <row r="14958" spans="24:24" x14ac:dyDescent="0.35">
      <c r="X14958" s="8"/>
    </row>
    <row r="14959" spans="24:24" x14ac:dyDescent="0.35">
      <c r="X14959" s="8"/>
    </row>
    <row r="14960" spans="24:24" x14ac:dyDescent="0.35">
      <c r="X14960" s="8"/>
    </row>
    <row r="14961" spans="24:24" x14ac:dyDescent="0.35">
      <c r="X14961" s="8"/>
    </row>
    <row r="14962" spans="24:24" x14ac:dyDescent="0.35">
      <c r="X14962" s="8"/>
    </row>
    <row r="14963" spans="24:24" x14ac:dyDescent="0.35">
      <c r="X14963" s="8"/>
    </row>
    <row r="14964" spans="24:24" x14ac:dyDescent="0.35">
      <c r="X14964" s="8"/>
    </row>
    <row r="14965" spans="24:24" x14ac:dyDescent="0.35">
      <c r="X14965" s="8"/>
    </row>
    <row r="14966" spans="24:24" x14ac:dyDescent="0.35">
      <c r="X14966" s="8"/>
    </row>
    <row r="14967" spans="24:24" x14ac:dyDescent="0.35">
      <c r="X14967" s="8"/>
    </row>
    <row r="14968" spans="24:24" x14ac:dyDescent="0.35">
      <c r="X14968" s="8"/>
    </row>
    <row r="14969" spans="24:24" x14ac:dyDescent="0.35">
      <c r="X14969" s="8"/>
    </row>
    <row r="14970" spans="24:24" x14ac:dyDescent="0.35">
      <c r="X14970" s="8"/>
    </row>
    <row r="14971" spans="24:24" x14ac:dyDescent="0.35">
      <c r="X14971" s="8"/>
    </row>
    <row r="14972" spans="24:24" x14ac:dyDescent="0.35">
      <c r="X14972" s="8"/>
    </row>
    <row r="14973" spans="24:24" x14ac:dyDescent="0.35">
      <c r="X14973" s="8"/>
    </row>
    <row r="14974" spans="24:24" x14ac:dyDescent="0.35">
      <c r="X14974" s="8"/>
    </row>
    <row r="14975" spans="24:24" x14ac:dyDescent="0.35">
      <c r="X14975" s="8"/>
    </row>
    <row r="14976" spans="24:24" x14ac:dyDescent="0.35">
      <c r="X14976" s="8"/>
    </row>
    <row r="14977" spans="24:24" x14ac:dyDescent="0.35">
      <c r="X14977" s="8"/>
    </row>
    <row r="14978" spans="24:24" x14ac:dyDescent="0.35">
      <c r="X14978" s="8"/>
    </row>
    <row r="14979" spans="24:24" x14ac:dyDescent="0.35">
      <c r="X14979" s="8"/>
    </row>
    <row r="14980" spans="24:24" x14ac:dyDescent="0.35">
      <c r="X14980" s="8"/>
    </row>
    <row r="14981" spans="24:24" x14ac:dyDescent="0.35">
      <c r="X14981" s="8"/>
    </row>
    <row r="14982" spans="24:24" x14ac:dyDescent="0.35">
      <c r="X14982" s="8"/>
    </row>
    <row r="14983" spans="24:24" x14ac:dyDescent="0.35">
      <c r="X14983" s="8"/>
    </row>
    <row r="14984" spans="24:24" x14ac:dyDescent="0.35">
      <c r="X14984" s="8"/>
    </row>
    <row r="14985" spans="24:24" x14ac:dyDescent="0.35">
      <c r="X14985" s="8"/>
    </row>
    <row r="14986" spans="24:24" x14ac:dyDescent="0.35">
      <c r="X14986" s="8"/>
    </row>
    <row r="14987" spans="24:24" x14ac:dyDescent="0.35">
      <c r="X14987" s="8"/>
    </row>
    <row r="14988" spans="24:24" x14ac:dyDescent="0.35">
      <c r="X14988" s="8"/>
    </row>
    <row r="14989" spans="24:24" x14ac:dyDescent="0.35">
      <c r="X14989" s="8"/>
    </row>
    <row r="14990" spans="24:24" x14ac:dyDescent="0.35">
      <c r="X14990" s="8"/>
    </row>
    <row r="14991" spans="24:24" x14ac:dyDescent="0.35">
      <c r="X14991" s="8"/>
    </row>
    <row r="14992" spans="24:24" x14ac:dyDescent="0.35">
      <c r="X14992" s="8"/>
    </row>
    <row r="14993" spans="24:24" x14ac:dyDescent="0.35">
      <c r="X14993" s="8"/>
    </row>
    <row r="14994" spans="24:24" x14ac:dyDescent="0.35">
      <c r="X14994" s="8"/>
    </row>
    <row r="14995" spans="24:24" x14ac:dyDescent="0.35">
      <c r="X14995" s="8"/>
    </row>
    <row r="14996" spans="24:24" x14ac:dyDescent="0.35">
      <c r="X14996" s="8"/>
    </row>
    <row r="14997" spans="24:24" x14ac:dyDescent="0.35">
      <c r="X14997" s="8"/>
    </row>
    <row r="14998" spans="24:24" x14ac:dyDescent="0.35">
      <c r="X14998" s="8"/>
    </row>
    <row r="14999" spans="24:24" x14ac:dyDescent="0.35">
      <c r="X14999" s="8"/>
    </row>
    <row r="15000" spans="24:24" x14ac:dyDescent="0.35">
      <c r="X15000" s="8"/>
    </row>
    <row r="15001" spans="24:24" x14ac:dyDescent="0.35">
      <c r="X15001" s="8"/>
    </row>
    <row r="15002" spans="24:24" x14ac:dyDescent="0.35">
      <c r="X15002" s="8"/>
    </row>
    <row r="15003" spans="24:24" x14ac:dyDescent="0.35">
      <c r="X15003" s="8"/>
    </row>
    <row r="15004" spans="24:24" x14ac:dyDescent="0.35">
      <c r="X15004" s="8"/>
    </row>
    <row r="15005" spans="24:24" x14ac:dyDescent="0.35">
      <c r="X15005" s="8"/>
    </row>
    <row r="15006" spans="24:24" x14ac:dyDescent="0.35">
      <c r="X15006" s="8"/>
    </row>
    <row r="15007" spans="24:24" x14ac:dyDescent="0.35">
      <c r="X15007" s="8"/>
    </row>
    <row r="15008" spans="24:24" x14ac:dyDescent="0.35">
      <c r="X15008" s="8"/>
    </row>
    <row r="15009" spans="24:24" x14ac:dyDescent="0.35">
      <c r="X15009" s="8"/>
    </row>
    <row r="15010" spans="24:24" x14ac:dyDescent="0.35">
      <c r="X15010" s="8"/>
    </row>
    <row r="15011" spans="24:24" x14ac:dyDescent="0.35">
      <c r="X15011" s="8"/>
    </row>
    <row r="15012" spans="24:24" x14ac:dyDescent="0.35">
      <c r="X15012" s="8"/>
    </row>
    <row r="15013" spans="24:24" x14ac:dyDescent="0.35">
      <c r="X15013" s="8"/>
    </row>
    <row r="15014" spans="24:24" x14ac:dyDescent="0.35">
      <c r="X15014" s="8"/>
    </row>
    <row r="15015" spans="24:24" x14ac:dyDescent="0.35">
      <c r="X15015" s="8"/>
    </row>
    <row r="15016" spans="24:24" x14ac:dyDescent="0.35">
      <c r="X15016" s="8"/>
    </row>
    <row r="15017" spans="24:24" x14ac:dyDescent="0.35">
      <c r="X15017" s="8"/>
    </row>
    <row r="15018" spans="24:24" x14ac:dyDescent="0.35">
      <c r="X15018" s="8"/>
    </row>
    <row r="15019" spans="24:24" x14ac:dyDescent="0.35">
      <c r="X15019" s="8"/>
    </row>
    <row r="15020" spans="24:24" x14ac:dyDescent="0.35">
      <c r="X15020" s="8"/>
    </row>
    <row r="15021" spans="24:24" x14ac:dyDescent="0.35">
      <c r="X15021" s="8"/>
    </row>
    <row r="15022" spans="24:24" x14ac:dyDescent="0.35">
      <c r="X15022" s="8"/>
    </row>
    <row r="15023" spans="24:24" x14ac:dyDescent="0.35">
      <c r="X15023" s="8"/>
    </row>
    <row r="15024" spans="24:24" x14ac:dyDescent="0.35">
      <c r="X15024" s="8"/>
    </row>
    <row r="15025" spans="24:24" x14ac:dyDescent="0.35">
      <c r="X15025" s="8"/>
    </row>
    <row r="15026" spans="24:24" x14ac:dyDescent="0.35">
      <c r="X15026" s="8"/>
    </row>
    <row r="15027" spans="24:24" x14ac:dyDescent="0.35">
      <c r="X15027" s="8"/>
    </row>
    <row r="15028" spans="24:24" x14ac:dyDescent="0.35">
      <c r="X15028" s="8"/>
    </row>
    <row r="15029" spans="24:24" x14ac:dyDescent="0.35">
      <c r="X15029" s="8"/>
    </row>
    <row r="15030" spans="24:24" x14ac:dyDescent="0.35">
      <c r="X15030" s="8"/>
    </row>
    <row r="15031" spans="24:24" x14ac:dyDescent="0.35">
      <c r="X15031" s="8"/>
    </row>
    <row r="15032" spans="24:24" x14ac:dyDescent="0.35">
      <c r="X15032" s="8"/>
    </row>
    <row r="15033" spans="24:24" x14ac:dyDescent="0.35">
      <c r="X15033" s="8"/>
    </row>
    <row r="15034" spans="24:24" x14ac:dyDescent="0.35">
      <c r="X15034" s="8"/>
    </row>
    <row r="15035" spans="24:24" x14ac:dyDescent="0.35">
      <c r="X15035" s="8"/>
    </row>
    <row r="15036" spans="24:24" x14ac:dyDescent="0.35">
      <c r="X15036" s="8"/>
    </row>
    <row r="15037" spans="24:24" x14ac:dyDescent="0.35">
      <c r="X15037" s="8"/>
    </row>
    <row r="15038" spans="24:24" x14ac:dyDescent="0.35">
      <c r="X15038" s="8"/>
    </row>
    <row r="15039" spans="24:24" x14ac:dyDescent="0.35">
      <c r="X15039" s="8"/>
    </row>
    <row r="15040" spans="24:24" x14ac:dyDescent="0.35">
      <c r="X15040" s="8"/>
    </row>
    <row r="15041" spans="24:24" x14ac:dyDescent="0.35">
      <c r="X15041" s="8"/>
    </row>
    <row r="15042" spans="24:24" x14ac:dyDescent="0.35">
      <c r="X15042" s="8"/>
    </row>
    <row r="15043" spans="24:24" x14ac:dyDescent="0.35">
      <c r="X15043" s="8"/>
    </row>
    <row r="15044" spans="24:24" x14ac:dyDescent="0.35">
      <c r="X15044" s="8"/>
    </row>
    <row r="15045" spans="24:24" x14ac:dyDescent="0.35">
      <c r="X15045" s="8"/>
    </row>
    <row r="15046" spans="24:24" x14ac:dyDescent="0.35">
      <c r="X15046" s="8"/>
    </row>
    <row r="15047" spans="24:24" x14ac:dyDescent="0.35">
      <c r="X15047" s="8"/>
    </row>
    <row r="15048" spans="24:24" x14ac:dyDescent="0.35">
      <c r="X15048" s="8"/>
    </row>
    <row r="15049" spans="24:24" x14ac:dyDescent="0.35">
      <c r="X15049" s="8"/>
    </row>
    <row r="15050" spans="24:24" x14ac:dyDescent="0.35">
      <c r="X15050" s="8"/>
    </row>
    <row r="15051" spans="24:24" x14ac:dyDescent="0.35">
      <c r="X15051" s="8"/>
    </row>
    <row r="15052" spans="24:24" x14ac:dyDescent="0.35">
      <c r="X15052" s="8"/>
    </row>
    <row r="15053" spans="24:24" x14ac:dyDescent="0.35">
      <c r="X15053" s="8"/>
    </row>
    <row r="15054" spans="24:24" x14ac:dyDescent="0.35">
      <c r="X15054" s="8"/>
    </row>
    <row r="15055" spans="24:24" x14ac:dyDescent="0.35">
      <c r="X15055" s="8"/>
    </row>
    <row r="15056" spans="24:24" x14ac:dyDescent="0.35">
      <c r="X15056" s="8"/>
    </row>
    <row r="15057" spans="24:24" x14ac:dyDescent="0.35">
      <c r="X15057" s="8"/>
    </row>
    <row r="15058" spans="24:24" x14ac:dyDescent="0.35">
      <c r="X15058" s="8"/>
    </row>
    <row r="15059" spans="24:24" x14ac:dyDescent="0.35">
      <c r="X15059" s="8"/>
    </row>
    <row r="15060" spans="24:24" x14ac:dyDescent="0.35">
      <c r="X15060" s="8"/>
    </row>
    <row r="15061" spans="24:24" x14ac:dyDescent="0.35">
      <c r="X15061" s="8"/>
    </row>
    <row r="15062" spans="24:24" x14ac:dyDescent="0.35">
      <c r="X15062" s="8"/>
    </row>
    <row r="15063" spans="24:24" x14ac:dyDescent="0.35">
      <c r="X15063" s="8"/>
    </row>
    <row r="15064" spans="24:24" x14ac:dyDescent="0.35">
      <c r="X15064" s="8"/>
    </row>
    <row r="15065" spans="24:24" x14ac:dyDescent="0.35">
      <c r="X15065" s="8"/>
    </row>
    <row r="15066" spans="24:24" x14ac:dyDescent="0.35">
      <c r="X15066" s="8"/>
    </row>
    <row r="15067" spans="24:24" x14ac:dyDescent="0.35">
      <c r="X15067" s="8"/>
    </row>
    <row r="15068" spans="24:24" x14ac:dyDescent="0.35">
      <c r="X15068" s="8"/>
    </row>
    <row r="15069" spans="24:24" x14ac:dyDescent="0.35">
      <c r="X15069" s="8"/>
    </row>
    <row r="15070" spans="24:24" x14ac:dyDescent="0.35">
      <c r="X15070" s="8"/>
    </row>
    <row r="15071" spans="24:24" x14ac:dyDescent="0.35">
      <c r="X15071" s="8"/>
    </row>
    <row r="15072" spans="24:24" x14ac:dyDescent="0.35">
      <c r="X15072" s="8"/>
    </row>
    <row r="15073" spans="24:24" x14ac:dyDescent="0.35">
      <c r="X15073" s="8"/>
    </row>
    <row r="15074" spans="24:24" x14ac:dyDescent="0.35">
      <c r="X15074" s="8"/>
    </row>
    <row r="15075" spans="24:24" x14ac:dyDescent="0.35">
      <c r="X15075" s="8"/>
    </row>
    <row r="15076" spans="24:24" x14ac:dyDescent="0.35">
      <c r="X15076" s="8"/>
    </row>
    <row r="15077" spans="24:24" x14ac:dyDescent="0.35">
      <c r="X15077" s="8"/>
    </row>
    <row r="15078" spans="24:24" x14ac:dyDescent="0.35">
      <c r="X15078" s="8"/>
    </row>
    <row r="15079" spans="24:24" x14ac:dyDescent="0.35">
      <c r="X15079" s="8"/>
    </row>
    <row r="15080" spans="24:24" x14ac:dyDescent="0.35">
      <c r="X15080" s="8"/>
    </row>
    <row r="15081" spans="24:24" x14ac:dyDescent="0.35">
      <c r="X15081" s="8"/>
    </row>
    <row r="15082" spans="24:24" x14ac:dyDescent="0.35">
      <c r="X15082" s="8"/>
    </row>
    <row r="15083" spans="24:24" x14ac:dyDescent="0.35">
      <c r="X15083" s="8"/>
    </row>
    <row r="15084" spans="24:24" x14ac:dyDescent="0.35">
      <c r="X15084" s="8"/>
    </row>
    <row r="15085" spans="24:24" x14ac:dyDescent="0.35">
      <c r="X15085" s="8"/>
    </row>
    <row r="15086" spans="24:24" x14ac:dyDescent="0.35">
      <c r="X15086" s="8"/>
    </row>
    <row r="15087" spans="24:24" x14ac:dyDescent="0.35">
      <c r="X15087" s="8"/>
    </row>
    <row r="15088" spans="24:24" x14ac:dyDescent="0.35">
      <c r="X15088" s="8"/>
    </row>
    <row r="15089" spans="24:24" x14ac:dyDescent="0.35">
      <c r="X15089" s="8"/>
    </row>
    <row r="15090" spans="24:24" x14ac:dyDescent="0.35">
      <c r="X15090" s="8"/>
    </row>
    <row r="15091" spans="24:24" x14ac:dyDescent="0.35">
      <c r="X15091" s="8"/>
    </row>
    <row r="15092" spans="24:24" x14ac:dyDescent="0.35">
      <c r="X15092" s="8"/>
    </row>
    <row r="15093" spans="24:24" x14ac:dyDescent="0.35">
      <c r="X15093" s="8"/>
    </row>
    <row r="15094" spans="24:24" x14ac:dyDescent="0.35">
      <c r="X15094" s="8"/>
    </row>
    <row r="15095" spans="24:24" x14ac:dyDescent="0.35">
      <c r="X15095" s="8"/>
    </row>
    <row r="15096" spans="24:24" x14ac:dyDescent="0.35">
      <c r="X15096" s="8"/>
    </row>
    <row r="15097" spans="24:24" x14ac:dyDescent="0.35">
      <c r="X15097" s="8"/>
    </row>
    <row r="15098" spans="24:24" x14ac:dyDescent="0.35">
      <c r="X15098" s="8"/>
    </row>
    <row r="15099" spans="24:24" x14ac:dyDescent="0.35">
      <c r="X15099" s="8"/>
    </row>
    <row r="15100" spans="24:24" x14ac:dyDescent="0.35">
      <c r="X15100" s="8"/>
    </row>
    <row r="15101" spans="24:24" x14ac:dyDescent="0.35">
      <c r="X15101" s="8"/>
    </row>
    <row r="15102" spans="24:24" x14ac:dyDescent="0.35">
      <c r="X15102" s="8"/>
    </row>
    <row r="15103" spans="24:24" x14ac:dyDescent="0.35">
      <c r="X15103" s="8"/>
    </row>
    <row r="15104" spans="24:24" x14ac:dyDescent="0.35">
      <c r="X15104" s="8"/>
    </row>
    <row r="15105" spans="24:24" x14ac:dyDescent="0.35">
      <c r="X15105" s="8"/>
    </row>
    <row r="15106" spans="24:24" x14ac:dyDescent="0.35">
      <c r="X15106" s="8"/>
    </row>
    <row r="15107" spans="24:24" x14ac:dyDescent="0.35">
      <c r="X15107" s="8"/>
    </row>
    <row r="15108" spans="24:24" x14ac:dyDescent="0.35">
      <c r="X15108" s="8"/>
    </row>
    <row r="15109" spans="24:24" x14ac:dyDescent="0.35">
      <c r="X15109" s="8"/>
    </row>
    <row r="15110" spans="24:24" x14ac:dyDescent="0.35">
      <c r="X15110" s="8"/>
    </row>
    <row r="15111" spans="24:24" x14ac:dyDescent="0.35">
      <c r="X15111" s="8"/>
    </row>
    <row r="15112" spans="24:24" x14ac:dyDescent="0.35">
      <c r="X15112" s="8"/>
    </row>
    <row r="15113" spans="24:24" x14ac:dyDescent="0.35">
      <c r="X15113" s="8"/>
    </row>
    <row r="15114" spans="24:24" x14ac:dyDescent="0.35">
      <c r="X15114" s="8"/>
    </row>
    <row r="15115" spans="24:24" x14ac:dyDescent="0.35">
      <c r="X15115" s="8"/>
    </row>
    <row r="15116" spans="24:24" x14ac:dyDescent="0.35">
      <c r="X15116" s="8"/>
    </row>
    <row r="15117" spans="24:24" x14ac:dyDescent="0.35">
      <c r="X15117" s="8"/>
    </row>
    <row r="15118" spans="24:24" x14ac:dyDescent="0.35">
      <c r="X15118" s="8"/>
    </row>
    <row r="15119" spans="24:24" x14ac:dyDescent="0.35">
      <c r="X15119" s="8"/>
    </row>
    <row r="15120" spans="24:24" x14ac:dyDescent="0.35">
      <c r="X15120" s="8"/>
    </row>
    <row r="15121" spans="24:24" x14ac:dyDescent="0.35">
      <c r="X15121" s="8"/>
    </row>
    <row r="15122" spans="24:24" x14ac:dyDescent="0.35">
      <c r="X15122" s="8"/>
    </row>
    <row r="15123" spans="24:24" x14ac:dyDescent="0.35">
      <c r="X15123" s="8"/>
    </row>
    <row r="15124" spans="24:24" x14ac:dyDescent="0.35">
      <c r="X15124" s="8"/>
    </row>
    <row r="15125" spans="24:24" x14ac:dyDescent="0.35">
      <c r="X15125" s="8"/>
    </row>
    <row r="15126" spans="24:24" x14ac:dyDescent="0.35">
      <c r="X15126" s="8"/>
    </row>
    <row r="15127" spans="24:24" x14ac:dyDescent="0.35">
      <c r="X15127" s="8"/>
    </row>
    <row r="15128" spans="24:24" x14ac:dyDescent="0.35">
      <c r="X15128" s="8"/>
    </row>
    <row r="15129" spans="24:24" x14ac:dyDescent="0.35">
      <c r="X15129" s="8"/>
    </row>
    <row r="15130" spans="24:24" x14ac:dyDescent="0.35">
      <c r="X15130" s="8"/>
    </row>
    <row r="15131" spans="24:24" x14ac:dyDescent="0.35">
      <c r="X15131" s="8"/>
    </row>
    <row r="15132" spans="24:24" x14ac:dyDescent="0.35">
      <c r="X15132" s="8"/>
    </row>
    <row r="15133" spans="24:24" x14ac:dyDescent="0.35">
      <c r="X15133" s="8"/>
    </row>
    <row r="15134" spans="24:24" x14ac:dyDescent="0.35">
      <c r="X15134" s="8"/>
    </row>
    <row r="15135" spans="24:24" x14ac:dyDescent="0.35">
      <c r="X15135" s="8"/>
    </row>
    <row r="15136" spans="24:24" x14ac:dyDescent="0.35">
      <c r="X15136" s="8"/>
    </row>
    <row r="15137" spans="24:24" x14ac:dyDescent="0.35">
      <c r="X15137" s="8"/>
    </row>
    <row r="15138" spans="24:24" x14ac:dyDescent="0.35">
      <c r="X15138" s="8"/>
    </row>
    <row r="15139" spans="24:24" x14ac:dyDescent="0.35">
      <c r="X15139" s="8"/>
    </row>
    <row r="15140" spans="24:24" x14ac:dyDescent="0.35">
      <c r="X15140" s="8"/>
    </row>
    <row r="15141" spans="24:24" x14ac:dyDescent="0.35">
      <c r="X15141" s="8"/>
    </row>
    <row r="15142" spans="24:24" x14ac:dyDescent="0.35">
      <c r="X15142" s="8"/>
    </row>
    <row r="15143" spans="24:24" x14ac:dyDescent="0.35">
      <c r="X15143" s="8"/>
    </row>
    <row r="15144" spans="24:24" x14ac:dyDescent="0.35">
      <c r="X15144" s="8"/>
    </row>
    <row r="15145" spans="24:24" x14ac:dyDescent="0.35">
      <c r="X15145" s="8"/>
    </row>
    <row r="15146" spans="24:24" x14ac:dyDescent="0.35">
      <c r="X15146" s="8"/>
    </row>
    <row r="15147" spans="24:24" x14ac:dyDescent="0.35">
      <c r="X15147" s="8"/>
    </row>
    <row r="15148" spans="24:24" x14ac:dyDescent="0.35">
      <c r="X15148" s="8"/>
    </row>
    <row r="15149" spans="24:24" x14ac:dyDescent="0.35">
      <c r="X15149" s="8"/>
    </row>
    <row r="15150" spans="24:24" x14ac:dyDescent="0.35">
      <c r="X15150" s="8"/>
    </row>
    <row r="15151" spans="24:24" x14ac:dyDescent="0.35">
      <c r="X15151" s="8"/>
    </row>
    <row r="15152" spans="24:24" x14ac:dyDescent="0.35">
      <c r="X15152" s="8"/>
    </row>
    <row r="15153" spans="24:24" x14ac:dyDescent="0.35">
      <c r="X15153" s="8"/>
    </row>
    <row r="15154" spans="24:24" x14ac:dyDescent="0.35">
      <c r="X15154" s="8"/>
    </row>
    <row r="15155" spans="24:24" x14ac:dyDescent="0.35">
      <c r="X15155" s="8"/>
    </row>
    <row r="15156" spans="24:24" x14ac:dyDescent="0.35">
      <c r="X15156" s="8"/>
    </row>
    <row r="15157" spans="24:24" x14ac:dyDescent="0.35">
      <c r="X15157" s="8"/>
    </row>
    <row r="15158" spans="24:24" x14ac:dyDescent="0.35">
      <c r="X15158" s="8"/>
    </row>
    <row r="15159" spans="24:24" x14ac:dyDescent="0.35">
      <c r="X15159" s="8"/>
    </row>
    <row r="15160" spans="24:24" x14ac:dyDescent="0.35">
      <c r="X15160" s="8"/>
    </row>
    <row r="15161" spans="24:24" x14ac:dyDescent="0.35">
      <c r="X15161" s="8"/>
    </row>
    <row r="15162" spans="24:24" x14ac:dyDescent="0.35">
      <c r="X15162" s="8"/>
    </row>
    <row r="15163" spans="24:24" x14ac:dyDescent="0.35">
      <c r="X15163" s="8"/>
    </row>
    <row r="15164" spans="24:24" x14ac:dyDescent="0.35">
      <c r="X15164" s="8"/>
    </row>
    <row r="15165" spans="24:24" x14ac:dyDescent="0.35">
      <c r="X15165" s="8"/>
    </row>
    <row r="15166" spans="24:24" x14ac:dyDescent="0.35">
      <c r="X15166" s="8"/>
    </row>
    <row r="15167" spans="24:24" x14ac:dyDescent="0.35">
      <c r="X15167" s="8"/>
    </row>
    <row r="15168" spans="24:24" x14ac:dyDescent="0.35">
      <c r="X15168" s="8"/>
    </row>
    <row r="15169" spans="24:24" x14ac:dyDescent="0.35">
      <c r="X15169" s="8"/>
    </row>
    <row r="15170" spans="24:24" x14ac:dyDescent="0.35">
      <c r="X15170" s="8"/>
    </row>
    <row r="15171" spans="24:24" x14ac:dyDescent="0.35">
      <c r="X15171" s="8"/>
    </row>
    <row r="15172" spans="24:24" x14ac:dyDescent="0.35">
      <c r="X15172" s="8"/>
    </row>
    <row r="15173" spans="24:24" x14ac:dyDescent="0.35">
      <c r="X15173" s="8"/>
    </row>
    <row r="15174" spans="24:24" x14ac:dyDescent="0.35">
      <c r="X15174" s="8"/>
    </row>
    <row r="15175" spans="24:24" x14ac:dyDescent="0.35">
      <c r="X15175" s="8"/>
    </row>
    <row r="15176" spans="24:24" x14ac:dyDescent="0.35">
      <c r="X15176" s="8"/>
    </row>
    <row r="15177" spans="24:24" x14ac:dyDescent="0.35">
      <c r="X15177" s="8"/>
    </row>
    <row r="15178" spans="24:24" x14ac:dyDescent="0.35">
      <c r="X15178" s="8"/>
    </row>
    <row r="15179" spans="24:24" x14ac:dyDescent="0.35">
      <c r="X15179" s="8"/>
    </row>
    <row r="15180" spans="24:24" x14ac:dyDescent="0.35">
      <c r="X15180" s="8"/>
    </row>
    <row r="15181" spans="24:24" x14ac:dyDescent="0.35">
      <c r="X15181" s="8"/>
    </row>
    <row r="15182" spans="24:24" x14ac:dyDescent="0.35">
      <c r="X15182" s="8"/>
    </row>
    <row r="15183" spans="24:24" x14ac:dyDescent="0.35">
      <c r="X15183" s="8"/>
    </row>
    <row r="15184" spans="24:24" x14ac:dyDescent="0.35">
      <c r="X15184" s="8"/>
    </row>
    <row r="15185" spans="24:24" x14ac:dyDescent="0.35">
      <c r="X15185" s="8"/>
    </row>
    <row r="15186" spans="24:24" x14ac:dyDescent="0.35">
      <c r="X15186" s="8"/>
    </row>
    <row r="15187" spans="24:24" x14ac:dyDescent="0.35">
      <c r="X15187" s="8"/>
    </row>
    <row r="15188" spans="24:24" x14ac:dyDescent="0.35">
      <c r="X15188" s="8"/>
    </row>
    <row r="15189" spans="24:24" x14ac:dyDescent="0.35">
      <c r="X15189" s="8"/>
    </row>
    <row r="15190" spans="24:24" x14ac:dyDescent="0.35">
      <c r="X15190" s="8"/>
    </row>
    <row r="15191" spans="24:24" x14ac:dyDescent="0.35">
      <c r="X15191" s="8"/>
    </row>
    <row r="15192" spans="24:24" x14ac:dyDescent="0.35">
      <c r="X15192" s="8"/>
    </row>
    <row r="15193" spans="24:24" x14ac:dyDescent="0.35">
      <c r="X15193" s="8"/>
    </row>
    <row r="15194" spans="24:24" x14ac:dyDescent="0.35">
      <c r="X15194" s="8"/>
    </row>
    <row r="15195" spans="24:24" x14ac:dyDescent="0.35">
      <c r="X15195" s="8"/>
    </row>
    <row r="15196" spans="24:24" x14ac:dyDescent="0.35">
      <c r="X15196" s="8"/>
    </row>
    <row r="15197" spans="24:24" x14ac:dyDescent="0.35">
      <c r="X15197" s="8"/>
    </row>
    <row r="15198" spans="24:24" x14ac:dyDescent="0.35">
      <c r="X15198" s="8"/>
    </row>
    <row r="15199" spans="24:24" x14ac:dyDescent="0.35">
      <c r="X15199" s="8"/>
    </row>
    <row r="15200" spans="24:24" x14ac:dyDescent="0.35">
      <c r="X15200" s="8"/>
    </row>
    <row r="15201" spans="24:24" x14ac:dyDescent="0.35">
      <c r="X15201" s="8"/>
    </row>
    <row r="15202" spans="24:24" x14ac:dyDescent="0.35">
      <c r="X15202" s="8"/>
    </row>
    <row r="15203" spans="24:24" x14ac:dyDescent="0.35">
      <c r="X15203" s="8"/>
    </row>
    <row r="15204" spans="24:24" x14ac:dyDescent="0.35">
      <c r="X15204" s="8"/>
    </row>
    <row r="15205" spans="24:24" x14ac:dyDescent="0.35">
      <c r="X15205" s="8"/>
    </row>
    <row r="15206" spans="24:24" x14ac:dyDescent="0.35">
      <c r="X15206" s="8"/>
    </row>
    <row r="15207" spans="24:24" x14ac:dyDescent="0.35">
      <c r="X15207" s="8"/>
    </row>
    <row r="15208" spans="24:24" x14ac:dyDescent="0.35">
      <c r="X15208" s="8"/>
    </row>
    <row r="15209" spans="24:24" x14ac:dyDescent="0.35">
      <c r="X15209" s="8"/>
    </row>
    <row r="15210" spans="24:24" x14ac:dyDescent="0.35">
      <c r="X15210" s="8"/>
    </row>
    <row r="15211" spans="24:24" x14ac:dyDescent="0.35">
      <c r="X15211" s="8"/>
    </row>
    <row r="15212" spans="24:24" x14ac:dyDescent="0.35">
      <c r="X15212" s="8"/>
    </row>
    <row r="15213" spans="24:24" x14ac:dyDescent="0.35">
      <c r="X15213" s="8"/>
    </row>
    <row r="15214" spans="24:24" x14ac:dyDescent="0.35">
      <c r="X15214" s="8"/>
    </row>
    <row r="15215" spans="24:24" x14ac:dyDescent="0.35">
      <c r="X15215" s="8"/>
    </row>
    <row r="15216" spans="24:24" x14ac:dyDescent="0.35">
      <c r="X15216" s="8"/>
    </row>
    <row r="15217" spans="24:24" x14ac:dyDescent="0.35">
      <c r="X15217" s="8"/>
    </row>
    <row r="15218" spans="24:24" x14ac:dyDescent="0.35">
      <c r="X15218" s="8"/>
    </row>
    <row r="15219" spans="24:24" x14ac:dyDescent="0.35">
      <c r="X15219" s="8"/>
    </row>
    <row r="15220" spans="24:24" x14ac:dyDescent="0.35">
      <c r="X15220" s="8"/>
    </row>
    <row r="15221" spans="24:24" x14ac:dyDescent="0.35">
      <c r="X15221" s="8"/>
    </row>
    <row r="15222" spans="24:24" x14ac:dyDescent="0.35">
      <c r="X15222" s="8"/>
    </row>
    <row r="15223" spans="24:24" x14ac:dyDescent="0.35">
      <c r="X15223" s="8"/>
    </row>
    <row r="15224" spans="24:24" x14ac:dyDescent="0.35">
      <c r="X15224" s="8"/>
    </row>
    <row r="15225" spans="24:24" x14ac:dyDescent="0.35">
      <c r="X15225" s="8"/>
    </row>
    <row r="15226" spans="24:24" x14ac:dyDescent="0.35">
      <c r="X15226" s="8"/>
    </row>
    <row r="15227" spans="24:24" x14ac:dyDescent="0.35">
      <c r="X15227" s="8"/>
    </row>
    <row r="15228" spans="24:24" x14ac:dyDescent="0.35">
      <c r="X15228" s="8"/>
    </row>
    <row r="15229" spans="24:24" x14ac:dyDescent="0.35">
      <c r="X15229" s="8"/>
    </row>
    <row r="15230" spans="24:24" x14ac:dyDescent="0.35">
      <c r="X15230" s="8"/>
    </row>
    <row r="15231" spans="24:24" x14ac:dyDescent="0.35">
      <c r="X15231" s="8"/>
    </row>
    <row r="15232" spans="24:24" x14ac:dyDescent="0.35">
      <c r="X15232" s="8"/>
    </row>
    <row r="15233" spans="24:24" x14ac:dyDescent="0.35">
      <c r="X15233" s="8"/>
    </row>
    <row r="15234" spans="24:24" x14ac:dyDescent="0.35">
      <c r="X15234" s="8"/>
    </row>
    <row r="15235" spans="24:24" x14ac:dyDescent="0.35">
      <c r="X15235" s="8"/>
    </row>
    <row r="15236" spans="24:24" x14ac:dyDescent="0.35">
      <c r="X15236" s="8"/>
    </row>
    <row r="15237" spans="24:24" x14ac:dyDescent="0.35">
      <c r="X15237" s="8"/>
    </row>
    <row r="15238" spans="24:24" x14ac:dyDescent="0.35">
      <c r="X15238" s="8"/>
    </row>
    <row r="15239" spans="24:24" x14ac:dyDescent="0.35">
      <c r="X15239" s="8"/>
    </row>
    <row r="15240" spans="24:24" x14ac:dyDescent="0.35">
      <c r="X15240" s="8"/>
    </row>
    <row r="15241" spans="24:24" x14ac:dyDescent="0.35">
      <c r="X15241" s="8"/>
    </row>
    <row r="15242" spans="24:24" x14ac:dyDescent="0.35">
      <c r="X15242" s="8"/>
    </row>
    <row r="15243" spans="24:24" x14ac:dyDescent="0.35">
      <c r="X15243" s="8"/>
    </row>
    <row r="15244" spans="24:24" x14ac:dyDescent="0.35">
      <c r="X15244" s="8"/>
    </row>
    <row r="15245" spans="24:24" x14ac:dyDescent="0.35">
      <c r="X15245" s="8"/>
    </row>
    <row r="15246" spans="24:24" x14ac:dyDescent="0.35">
      <c r="X15246" s="8"/>
    </row>
    <row r="15247" spans="24:24" x14ac:dyDescent="0.35">
      <c r="X15247" s="8"/>
    </row>
    <row r="15248" spans="24:24" x14ac:dyDescent="0.35">
      <c r="X15248" s="8"/>
    </row>
    <row r="15249" spans="24:24" x14ac:dyDescent="0.35">
      <c r="X15249" s="8"/>
    </row>
    <row r="15250" spans="24:24" x14ac:dyDescent="0.35">
      <c r="X15250" s="8"/>
    </row>
    <row r="15251" spans="24:24" x14ac:dyDescent="0.35">
      <c r="X15251" s="8"/>
    </row>
    <row r="15252" spans="24:24" x14ac:dyDescent="0.35">
      <c r="X15252" s="8"/>
    </row>
    <row r="15253" spans="24:24" x14ac:dyDescent="0.35">
      <c r="X15253" s="8"/>
    </row>
    <row r="15254" spans="24:24" x14ac:dyDescent="0.35">
      <c r="X15254" s="8"/>
    </row>
    <row r="15255" spans="24:24" x14ac:dyDescent="0.35">
      <c r="X15255" s="8"/>
    </row>
    <row r="15256" spans="24:24" x14ac:dyDescent="0.35">
      <c r="X15256" s="8"/>
    </row>
    <row r="15257" spans="24:24" x14ac:dyDescent="0.35">
      <c r="X15257" s="8"/>
    </row>
    <row r="15258" spans="24:24" x14ac:dyDescent="0.35">
      <c r="X15258" s="8"/>
    </row>
    <row r="15259" spans="24:24" x14ac:dyDescent="0.35">
      <c r="X15259" s="8"/>
    </row>
    <row r="15260" spans="24:24" x14ac:dyDescent="0.35">
      <c r="X15260" s="8"/>
    </row>
    <row r="15261" spans="24:24" x14ac:dyDescent="0.35">
      <c r="X15261" s="8"/>
    </row>
    <row r="15262" spans="24:24" x14ac:dyDescent="0.35">
      <c r="X15262" s="8"/>
    </row>
    <row r="15263" spans="24:24" x14ac:dyDescent="0.35">
      <c r="X15263" s="8"/>
    </row>
    <row r="15264" spans="24:24" x14ac:dyDescent="0.35">
      <c r="X15264" s="8"/>
    </row>
    <row r="15265" spans="24:24" x14ac:dyDescent="0.35">
      <c r="X15265" s="8"/>
    </row>
    <row r="15266" spans="24:24" x14ac:dyDescent="0.35">
      <c r="X15266" s="8"/>
    </row>
    <row r="15267" spans="24:24" x14ac:dyDescent="0.35">
      <c r="X15267" s="8"/>
    </row>
    <row r="15268" spans="24:24" x14ac:dyDescent="0.35">
      <c r="X15268" s="8"/>
    </row>
    <row r="15269" spans="24:24" x14ac:dyDescent="0.35">
      <c r="X15269" s="8"/>
    </row>
    <row r="15270" spans="24:24" x14ac:dyDescent="0.35">
      <c r="X15270" s="8"/>
    </row>
    <row r="15271" spans="24:24" x14ac:dyDescent="0.35">
      <c r="X15271" s="8"/>
    </row>
    <row r="15272" spans="24:24" x14ac:dyDescent="0.35">
      <c r="X15272" s="8"/>
    </row>
    <row r="15273" spans="24:24" x14ac:dyDescent="0.35">
      <c r="X15273" s="8"/>
    </row>
    <row r="15274" spans="24:24" x14ac:dyDescent="0.35">
      <c r="X15274" s="8"/>
    </row>
    <row r="15275" spans="24:24" x14ac:dyDescent="0.35">
      <c r="X15275" s="8"/>
    </row>
    <row r="15276" spans="24:24" x14ac:dyDescent="0.35">
      <c r="X15276" s="8"/>
    </row>
    <row r="15277" spans="24:24" x14ac:dyDescent="0.35">
      <c r="X15277" s="8"/>
    </row>
    <row r="15278" spans="24:24" x14ac:dyDescent="0.35">
      <c r="X15278" s="8"/>
    </row>
    <row r="15279" spans="24:24" x14ac:dyDescent="0.35">
      <c r="X15279" s="8"/>
    </row>
    <row r="15280" spans="24:24" x14ac:dyDescent="0.35">
      <c r="X15280" s="8"/>
    </row>
    <row r="15281" spans="24:24" x14ac:dyDescent="0.35">
      <c r="X15281" s="8"/>
    </row>
    <row r="15282" spans="24:24" x14ac:dyDescent="0.35">
      <c r="X15282" s="8"/>
    </row>
    <row r="15283" spans="24:24" x14ac:dyDescent="0.35">
      <c r="X15283" s="8"/>
    </row>
    <row r="15284" spans="24:24" x14ac:dyDescent="0.35">
      <c r="X15284" s="8"/>
    </row>
    <row r="15285" spans="24:24" x14ac:dyDescent="0.35">
      <c r="X15285" s="8"/>
    </row>
    <row r="15286" spans="24:24" x14ac:dyDescent="0.35">
      <c r="X15286" s="8"/>
    </row>
    <row r="15287" spans="24:24" x14ac:dyDescent="0.35">
      <c r="X15287" s="8"/>
    </row>
    <row r="15288" spans="24:24" x14ac:dyDescent="0.35">
      <c r="X15288" s="8"/>
    </row>
    <row r="15289" spans="24:24" x14ac:dyDescent="0.35">
      <c r="X15289" s="8"/>
    </row>
    <row r="15290" spans="24:24" x14ac:dyDescent="0.35">
      <c r="X15290" s="8"/>
    </row>
    <row r="15291" spans="24:24" x14ac:dyDescent="0.35">
      <c r="X15291" s="8"/>
    </row>
    <row r="15292" spans="24:24" x14ac:dyDescent="0.35">
      <c r="X15292" s="8"/>
    </row>
    <row r="15293" spans="24:24" x14ac:dyDescent="0.35">
      <c r="X15293" s="8"/>
    </row>
    <row r="15294" spans="24:24" x14ac:dyDescent="0.35">
      <c r="X15294" s="8"/>
    </row>
    <row r="15295" spans="24:24" x14ac:dyDescent="0.35">
      <c r="X15295" s="8"/>
    </row>
    <row r="15296" spans="24:24" x14ac:dyDescent="0.35">
      <c r="X15296" s="8"/>
    </row>
    <row r="15297" spans="24:24" x14ac:dyDescent="0.35">
      <c r="X15297" s="8"/>
    </row>
    <row r="15298" spans="24:24" x14ac:dyDescent="0.35">
      <c r="X15298" s="8"/>
    </row>
    <row r="15299" spans="24:24" x14ac:dyDescent="0.35">
      <c r="X15299" s="8"/>
    </row>
    <row r="15300" spans="24:24" x14ac:dyDescent="0.35">
      <c r="X15300" s="8"/>
    </row>
    <row r="15301" spans="24:24" x14ac:dyDescent="0.35">
      <c r="X15301" s="8"/>
    </row>
    <row r="15302" spans="24:24" x14ac:dyDescent="0.35">
      <c r="X15302" s="8"/>
    </row>
    <row r="15303" spans="24:24" x14ac:dyDescent="0.35">
      <c r="X15303" s="8"/>
    </row>
    <row r="15304" spans="24:24" x14ac:dyDescent="0.35">
      <c r="X15304" s="8"/>
    </row>
    <row r="15305" spans="24:24" x14ac:dyDescent="0.35">
      <c r="X15305" s="8"/>
    </row>
    <row r="15306" spans="24:24" x14ac:dyDescent="0.35">
      <c r="X15306" s="8"/>
    </row>
    <row r="15307" spans="24:24" x14ac:dyDescent="0.35">
      <c r="X15307" s="8"/>
    </row>
    <row r="15308" spans="24:24" x14ac:dyDescent="0.35">
      <c r="X15308" s="8"/>
    </row>
    <row r="15309" spans="24:24" x14ac:dyDescent="0.35">
      <c r="X15309" s="8"/>
    </row>
    <row r="15310" spans="24:24" x14ac:dyDescent="0.35">
      <c r="X15310" s="8"/>
    </row>
    <row r="15311" spans="24:24" x14ac:dyDescent="0.35">
      <c r="X15311" s="8"/>
    </row>
    <row r="15312" spans="24:24" x14ac:dyDescent="0.35">
      <c r="X15312" s="8"/>
    </row>
    <row r="15313" spans="24:24" x14ac:dyDescent="0.35">
      <c r="X15313" s="8"/>
    </row>
    <row r="15314" spans="24:24" x14ac:dyDescent="0.35">
      <c r="X15314" s="8"/>
    </row>
    <row r="15315" spans="24:24" x14ac:dyDescent="0.35">
      <c r="X15315" s="8"/>
    </row>
    <row r="15316" spans="24:24" x14ac:dyDescent="0.35">
      <c r="X15316" s="8"/>
    </row>
    <row r="15317" spans="24:24" x14ac:dyDescent="0.35">
      <c r="X15317" s="8"/>
    </row>
    <row r="15318" spans="24:24" x14ac:dyDescent="0.35">
      <c r="X15318" s="8"/>
    </row>
    <row r="15319" spans="24:24" x14ac:dyDescent="0.35">
      <c r="X15319" s="8"/>
    </row>
    <row r="15320" spans="24:24" x14ac:dyDescent="0.35">
      <c r="X15320" s="8"/>
    </row>
    <row r="15321" spans="24:24" x14ac:dyDescent="0.35">
      <c r="X15321" s="8"/>
    </row>
    <row r="15322" spans="24:24" x14ac:dyDescent="0.35">
      <c r="X15322" s="8"/>
    </row>
    <row r="15323" spans="24:24" x14ac:dyDescent="0.35">
      <c r="X15323" s="8"/>
    </row>
    <row r="15324" spans="24:24" x14ac:dyDescent="0.35">
      <c r="X15324" s="8"/>
    </row>
    <row r="15325" spans="24:24" x14ac:dyDescent="0.35">
      <c r="X15325" s="8"/>
    </row>
    <row r="15326" spans="24:24" x14ac:dyDescent="0.35">
      <c r="X15326" s="8"/>
    </row>
    <row r="15327" spans="24:24" x14ac:dyDescent="0.35">
      <c r="X15327" s="8"/>
    </row>
    <row r="15328" spans="24:24" x14ac:dyDescent="0.35">
      <c r="X15328" s="8"/>
    </row>
    <row r="15329" spans="24:24" x14ac:dyDescent="0.35">
      <c r="X15329" s="8"/>
    </row>
    <row r="15330" spans="24:24" x14ac:dyDescent="0.35">
      <c r="X15330" s="8"/>
    </row>
    <row r="15331" spans="24:24" x14ac:dyDescent="0.35">
      <c r="X15331" s="8"/>
    </row>
    <row r="15332" spans="24:24" x14ac:dyDescent="0.35">
      <c r="X15332" s="8"/>
    </row>
    <row r="15333" spans="24:24" x14ac:dyDescent="0.35">
      <c r="X15333" s="8"/>
    </row>
    <row r="15334" spans="24:24" x14ac:dyDescent="0.35">
      <c r="X15334" s="8"/>
    </row>
    <row r="15335" spans="24:24" x14ac:dyDescent="0.35">
      <c r="X15335" s="8"/>
    </row>
    <row r="15336" spans="24:24" x14ac:dyDescent="0.35">
      <c r="X15336" s="8"/>
    </row>
    <row r="15337" spans="24:24" x14ac:dyDescent="0.35">
      <c r="X15337" s="8"/>
    </row>
    <row r="15338" spans="24:24" x14ac:dyDescent="0.35">
      <c r="X15338" s="8"/>
    </row>
    <row r="15339" spans="24:24" x14ac:dyDescent="0.35">
      <c r="X15339" s="8"/>
    </row>
    <row r="15340" spans="24:24" x14ac:dyDescent="0.35">
      <c r="X15340" s="8"/>
    </row>
    <row r="15341" spans="24:24" x14ac:dyDescent="0.35">
      <c r="X15341" s="8"/>
    </row>
    <row r="15342" spans="24:24" x14ac:dyDescent="0.35">
      <c r="X15342" s="8"/>
    </row>
    <row r="15343" spans="24:24" x14ac:dyDescent="0.35">
      <c r="X15343" s="8"/>
    </row>
    <row r="15344" spans="24:24" x14ac:dyDescent="0.35">
      <c r="X15344" s="8"/>
    </row>
    <row r="15345" spans="24:24" x14ac:dyDescent="0.35">
      <c r="X15345" s="8"/>
    </row>
    <row r="15346" spans="24:24" x14ac:dyDescent="0.35">
      <c r="X15346" s="8"/>
    </row>
    <row r="15347" spans="24:24" x14ac:dyDescent="0.35">
      <c r="X15347" s="8"/>
    </row>
    <row r="15348" spans="24:24" x14ac:dyDescent="0.35">
      <c r="X15348" s="8"/>
    </row>
    <row r="15349" spans="24:24" x14ac:dyDescent="0.35">
      <c r="X15349" s="8"/>
    </row>
    <row r="15350" spans="24:24" x14ac:dyDescent="0.35">
      <c r="X15350" s="8"/>
    </row>
    <row r="15351" spans="24:24" x14ac:dyDescent="0.35">
      <c r="X15351" s="8"/>
    </row>
    <row r="15352" spans="24:24" x14ac:dyDescent="0.35">
      <c r="X15352" s="8"/>
    </row>
    <row r="15353" spans="24:24" x14ac:dyDescent="0.35">
      <c r="X15353" s="8"/>
    </row>
    <row r="15354" spans="24:24" x14ac:dyDescent="0.35">
      <c r="X15354" s="8"/>
    </row>
    <row r="15355" spans="24:24" x14ac:dyDescent="0.35">
      <c r="X15355" s="8"/>
    </row>
    <row r="15356" spans="24:24" x14ac:dyDescent="0.35">
      <c r="X15356" s="8"/>
    </row>
    <row r="15357" spans="24:24" x14ac:dyDescent="0.35">
      <c r="X15357" s="8"/>
    </row>
    <row r="15358" spans="24:24" x14ac:dyDescent="0.35">
      <c r="X15358" s="8"/>
    </row>
    <row r="15359" spans="24:24" x14ac:dyDescent="0.35">
      <c r="X15359" s="8"/>
    </row>
    <row r="15360" spans="24:24" x14ac:dyDescent="0.35">
      <c r="X15360" s="8"/>
    </row>
    <row r="15361" spans="24:24" x14ac:dyDescent="0.35">
      <c r="X15361" s="8"/>
    </row>
    <row r="15362" spans="24:24" x14ac:dyDescent="0.35">
      <c r="X15362" s="8"/>
    </row>
    <row r="15363" spans="24:24" x14ac:dyDescent="0.35">
      <c r="X15363" s="8"/>
    </row>
    <row r="15364" spans="24:24" x14ac:dyDescent="0.35">
      <c r="X15364" s="8"/>
    </row>
    <row r="15365" spans="24:24" x14ac:dyDescent="0.35">
      <c r="X15365" s="8"/>
    </row>
    <row r="15366" spans="24:24" x14ac:dyDescent="0.35">
      <c r="X15366" s="8"/>
    </row>
    <row r="15367" spans="24:24" x14ac:dyDescent="0.35">
      <c r="X15367" s="8"/>
    </row>
    <row r="15368" spans="24:24" x14ac:dyDescent="0.35">
      <c r="X15368" s="8"/>
    </row>
    <row r="15369" spans="24:24" x14ac:dyDescent="0.35">
      <c r="X15369" s="8"/>
    </row>
    <row r="15370" spans="24:24" x14ac:dyDescent="0.35">
      <c r="X15370" s="8"/>
    </row>
    <row r="15371" spans="24:24" x14ac:dyDescent="0.35">
      <c r="X15371" s="8"/>
    </row>
    <row r="15372" spans="24:24" x14ac:dyDescent="0.35">
      <c r="X15372" s="8"/>
    </row>
    <row r="15373" spans="24:24" x14ac:dyDescent="0.35">
      <c r="X15373" s="8"/>
    </row>
    <row r="15374" spans="24:24" x14ac:dyDescent="0.35">
      <c r="X15374" s="8"/>
    </row>
    <row r="15375" spans="24:24" x14ac:dyDescent="0.35">
      <c r="X15375" s="8"/>
    </row>
    <row r="15376" spans="24:24" x14ac:dyDescent="0.35">
      <c r="X15376" s="8"/>
    </row>
    <row r="15377" spans="24:24" x14ac:dyDescent="0.35">
      <c r="X15377" s="8"/>
    </row>
    <row r="15378" spans="24:24" x14ac:dyDescent="0.35">
      <c r="X15378" s="8"/>
    </row>
    <row r="15379" spans="24:24" x14ac:dyDescent="0.35">
      <c r="X15379" s="8"/>
    </row>
    <row r="15380" spans="24:24" x14ac:dyDescent="0.35">
      <c r="X15380" s="8"/>
    </row>
    <row r="15381" spans="24:24" x14ac:dyDescent="0.35">
      <c r="X15381" s="8"/>
    </row>
    <row r="15382" spans="24:24" x14ac:dyDescent="0.35">
      <c r="X15382" s="8"/>
    </row>
    <row r="15383" spans="24:24" x14ac:dyDescent="0.35">
      <c r="X15383" s="8"/>
    </row>
    <row r="15384" spans="24:24" x14ac:dyDescent="0.35">
      <c r="X15384" s="8"/>
    </row>
    <row r="15385" spans="24:24" x14ac:dyDescent="0.35">
      <c r="X15385" s="8"/>
    </row>
    <row r="15386" spans="24:24" x14ac:dyDescent="0.35">
      <c r="X15386" s="8"/>
    </row>
    <row r="15387" spans="24:24" x14ac:dyDescent="0.35">
      <c r="X15387" s="8"/>
    </row>
    <row r="15388" spans="24:24" x14ac:dyDescent="0.35">
      <c r="X15388" s="8"/>
    </row>
    <row r="15389" spans="24:24" x14ac:dyDescent="0.35">
      <c r="X15389" s="8"/>
    </row>
    <row r="15390" spans="24:24" x14ac:dyDescent="0.35">
      <c r="X15390" s="8"/>
    </row>
    <row r="15391" spans="24:24" x14ac:dyDescent="0.35">
      <c r="X15391" s="8"/>
    </row>
    <row r="15392" spans="24:24" x14ac:dyDescent="0.35">
      <c r="X15392" s="8"/>
    </row>
    <row r="15393" spans="24:24" x14ac:dyDescent="0.35">
      <c r="X15393" s="8"/>
    </row>
    <row r="15394" spans="24:24" x14ac:dyDescent="0.35">
      <c r="X15394" s="8"/>
    </row>
    <row r="15395" spans="24:24" x14ac:dyDescent="0.35">
      <c r="X15395" s="8"/>
    </row>
    <row r="15396" spans="24:24" x14ac:dyDescent="0.35">
      <c r="X15396" s="8"/>
    </row>
    <row r="15397" spans="24:24" x14ac:dyDescent="0.35">
      <c r="X15397" s="8"/>
    </row>
    <row r="15398" spans="24:24" x14ac:dyDescent="0.35">
      <c r="X15398" s="8"/>
    </row>
    <row r="15399" spans="24:24" x14ac:dyDescent="0.35">
      <c r="X15399" s="8"/>
    </row>
    <row r="15400" spans="24:24" x14ac:dyDescent="0.35">
      <c r="X15400" s="8"/>
    </row>
    <row r="15401" spans="24:24" x14ac:dyDescent="0.35">
      <c r="X15401" s="8"/>
    </row>
    <row r="15402" spans="24:24" x14ac:dyDescent="0.35">
      <c r="X15402" s="8"/>
    </row>
    <row r="15403" spans="24:24" x14ac:dyDescent="0.35">
      <c r="X15403" s="8"/>
    </row>
    <row r="15404" spans="24:24" x14ac:dyDescent="0.35">
      <c r="X15404" s="8"/>
    </row>
    <row r="15405" spans="24:24" x14ac:dyDescent="0.35">
      <c r="X15405" s="8"/>
    </row>
    <row r="15406" spans="24:24" x14ac:dyDescent="0.35">
      <c r="X15406" s="8"/>
    </row>
    <row r="15407" spans="24:24" x14ac:dyDescent="0.35">
      <c r="X15407" s="8"/>
    </row>
    <row r="15408" spans="24:24" x14ac:dyDescent="0.35">
      <c r="X15408" s="8"/>
    </row>
    <row r="15409" spans="24:24" x14ac:dyDescent="0.35">
      <c r="X15409" s="8"/>
    </row>
    <row r="15410" spans="24:24" x14ac:dyDescent="0.35">
      <c r="X15410" s="8"/>
    </row>
    <row r="15411" spans="24:24" x14ac:dyDescent="0.35">
      <c r="X15411" s="8"/>
    </row>
    <row r="15412" spans="24:24" x14ac:dyDescent="0.35">
      <c r="X15412" s="8"/>
    </row>
    <row r="15413" spans="24:24" x14ac:dyDescent="0.35">
      <c r="X15413" s="8"/>
    </row>
    <row r="15414" spans="24:24" x14ac:dyDescent="0.35">
      <c r="X15414" s="8"/>
    </row>
    <row r="15415" spans="24:24" x14ac:dyDescent="0.35">
      <c r="X15415" s="8"/>
    </row>
    <row r="15416" spans="24:24" x14ac:dyDescent="0.35">
      <c r="X15416" s="8"/>
    </row>
    <row r="15417" spans="24:24" x14ac:dyDescent="0.35">
      <c r="X15417" s="8"/>
    </row>
    <row r="15418" spans="24:24" x14ac:dyDescent="0.35">
      <c r="X15418" s="8"/>
    </row>
    <row r="15419" spans="24:24" x14ac:dyDescent="0.35">
      <c r="X15419" s="8"/>
    </row>
    <row r="15420" spans="24:24" x14ac:dyDescent="0.35">
      <c r="X15420" s="8"/>
    </row>
    <row r="15421" spans="24:24" x14ac:dyDescent="0.35">
      <c r="X15421" s="8"/>
    </row>
    <row r="15422" spans="24:24" x14ac:dyDescent="0.35">
      <c r="X15422" s="8"/>
    </row>
    <row r="15423" spans="24:24" x14ac:dyDescent="0.35">
      <c r="X15423" s="8"/>
    </row>
    <row r="15424" spans="24:24" x14ac:dyDescent="0.35">
      <c r="X15424" s="8"/>
    </row>
    <row r="15425" spans="24:24" x14ac:dyDescent="0.35">
      <c r="X15425" s="8"/>
    </row>
    <row r="15426" spans="24:24" x14ac:dyDescent="0.35">
      <c r="X15426" s="8"/>
    </row>
    <row r="15427" spans="24:24" x14ac:dyDescent="0.35">
      <c r="X15427" s="8"/>
    </row>
    <row r="15428" spans="24:24" x14ac:dyDescent="0.35">
      <c r="X15428" s="8"/>
    </row>
    <row r="15429" spans="24:24" x14ac:dyDescent="0.35">
      <c r="X15429" s="8"/>
    </row>
    <row r="15430" spans="24:24" x14ac:dyDescent="0.35">
      <c r="X15430" s="8"/>
    </row>
    <row r="15431" spans="24:24" x14ac:dyDescent="0.35">
      <c r="X15431" s="8"/>
    </row>
    <row r="15432" spans="24:24" x14ac:dyDescent="0.35">
      <c r="X15432" s="8"/>
    </row>
    <row r="15433" spans="24:24" x14ac:dyDescent="0.35">
      <c r="X15433" s="8"/>
    </row>
    <row r="15434" spans="24:24" x14ac:dyDescent="0.35">
      <c r="X15434" s="8"/>
    </row>
    <row r="15435" spans="24:24" x14ac:dyDescent="0.35">
      <c r="X15435" s="8"/>
    </row>
    <row r="15436" spans="24:24" x14ac:dyDescent="0.35">
      <c r="X15436" s="8"/>
    </row>
    <row r="15437" spans="24:24" x14ac:dyDescent="0.35">
      <c r="X15437" s="8"/>
    </row>
    <row r="15438" spans="24:24" x14ac:dyDescent="0.35">
      <c r="X15438" s="8"/>
    </row>
    <row r="15439" spans="24:24" x14ac:dyDescent="0.35">
      <c r="X15439" s="8"/>
    </row>
    <row r="15440" spans="24:24" x14ac:dyDescent="0.35">
      <c r="X15440" s="8"/>
    </row>
    <row r="15441" spans="24:24" x14ac:dyDescent="0.35">
      <c r="X15441" s="8"/>
    </row>
    <row r="15442" spans="24:24" x14ac:dyDescent="0.35">
      <c r="X15442" s="8"/>
    </row>
    <row r="15443" spans="24:24" x14ac:dyDescent="0.35">
      <c r="X15443" s="8"/>
    </row>
    <row r="15444" spans="24:24" x14ac:dyDescent="0.35">
      <c r="X15444" s="8"/>
    </row>
    <row r="15445" spans="24:24" x14ac:dyDescent="0.35">
      <c r="X15445" s="8"/>
    </row>
    <row r="15446" spans="24:24" x14ac:dyDescent="0.35">
      <c r="X15446" s="8"/>
    </row>
    <row r="15447" spans="24:24" x14ac:dyDescent="0.35">
      <c r="X15447" s="8"/>
    </row>
    <row r="15448" spans="24:24" x14ac:dyDescent="0.35">
      <c r="X15448" s="8"/>
    </row>
    <row r="15449" spans="24:24" x14ac:dyDescent="0.35">
      <c r="X15449" s="8"/>
    </row>
    <row r="15450" spans="24:24" x14ac:dyDescent="0.35">
      <c r="X15450" s="8"/>
    </row>
    <row r="15451" spans="24:24" x14ac:dyDescent="0.35">
      <c r="X15451" s="8"/>
    </row>
    <row r="15452" spans="24:24" x14ac:dyDescent="0.35">
      <c r="X15452" s="8"/>
    </row>
    <row r="15453" spans="24:24" x14ac:dyDescent="0.35">
      <c r="X15453" s="8"/>
    </row>
    <row r="15454" spans="24:24" x14ac:dyDescent="0.35">
      <c r="X15454" s="8"/>
    </row>
    <row r="15455" spans="24:24" x14ac:dyDescent="0.35">
      <c r="X15455" s="8"/>
    </row>
    <row r="15456" spans="24:24" x14ac:dyDescent="0.35">
      <c r="X15456" s="8"/>
    </row>
    <row r="15457" spans="24:24" x14ac:dyDescent="0.35">
      <c r="X15457" s="8"/>
    </row>
    <row r="15458" spans="24:24" x14ac:dyDescent="0.35">
      <c r="X15458" s="8"/>
    </row>
    <row r="15459" spans="24:24" x14ac:dyDescent="0.35">
      <c r="X15459" s="8"/>
    </row>
    <row r="15460" spans="24:24" x14ac:dyDescent="0.35">
      <c r="X15460" s="8"/>
    </row>
    <row r="15461" spans="24:24" x14ac:dyDescent="0.35">
      <c r="X15461" s="8"/>
    </row>
    <row r="15462" spans="24:24" x14ac:dyDescent="0.35">
      <c r="X15462" s="8"/>
    </row>
    <row r="15463" spans="24:24" x14ac:dyDescent="0.35">
      <c r="X15463" s="8"/>
    </row>
    <row r="15464" spans="24:24" x14ac:dyDescent="0.35">
      <c r="X15464" s="8"/>
    </row>
    <row r="15465" spans="24:24" x14ac:dyDescent="0.35">
      <c r="X15465" s="8"/>
    </row>
    <row r="15466" spans="24:24" x14ac:dyDescent="0.35">
      <c r="X15466" s="8"/>
    </row>
    <row r="15467" spans="24:24" x14ac:dyDescent="0.35">
      <c r="X15467" s="8"/>
    </row>
    <row r="15468" spans="24:24" x14ac:dyDescent="0.35">
      <c r="X15468" s="8"/>
    </row>
    <row r="15469" spans="24:24" x14ac:dyDescent="0.35">
      <c r="X15469" s="8"/>
    </row>
    <row r="15470" spans="24:24" x14ac:dyDescent="0.35">
      <c r="X15470" s="8"/>
    </row>
    <row r="15471" spans="24:24" x14ac:dyDescent="0.35">
      <c r="X15471" s="8"/>
    </row>
    <row r="15472" spans="24:24" x14ac:dyDescent="0.35">
      <c r="X15472" s="8"/>
    </row>
    <row r="15473" spans="24:24" x14ac:dyDescent="0.35">
      <c r="X15473" s="8"/>
    </row>
    <row r="15474" spans="24:24" x14ac:dyDescent="0.35">
      <c r="X15474" s="8"/>
    </row>
    <row r="15475" spans="24:24" x14ac:dyDescent="0.35">
      <c r="X15475" s="8"/>
    </row>
    <row r="15476" spans="24:24" x14ac:dyDescent="0.35">
      <c r="X15476" s="8"/>
    </row>
    <row r="15477" spans="24:24" x14ac:dyDescent="0.35">
      <c r="X15477" s="8"/>
    </row>
    <row r="15478" spans="24:24" x14ac:dyDescent="0.35">
      <c r="X15478" s="8"/>
    </row>
    <row r="15479" spans="24:24" x14ac:dyDescent="0.35">
      <c r="X15479" s="8"/>
    </row>
    <row r="15480" spans="24:24" x14ac:dyDescent="0.35">
      <c r="X15480" s="8"/>
    </row>
    <row r="15481" spans="24:24" x14ac:dyDescent="0.35">
      <c r="X15481" s="8"/>
    </row>
    <row r="15482" spans="24:24" x14ac:dyDescent="0.35">
      <c r="X15482" s="8"/>
    </row>
    <row r="15483" spans="24:24" x14ac:dyDescent="0.35">
      <c r="X15483" s="8"/>
    </row>
    <row r="15484" spans="24:24" x14ac:dyDescent="0.35">
      <c r="X15484" s="8"/>
    </row>
    <row r="15485" spans="24:24" x14ac:dyDescent="0.35">
      <c r="X15485" s="8"/>
    </row>
    <row r="15486" spans="24:24" x14ac:dyDescent="0.35">
      <c r="X15486" s="8"/>
    </row>
    <row r="15487" spans="24:24" x14ac:dyDescent="0.35">
      <c r="X15487" s="8"/>
    </row>
    <row r="15488" spans="24:24" x14ac:dyDescent="0.35">
      <c r="X15488" s="8"/>
    </row>
    <row r="15489" spans="24:24" x14ac:dyDescent="0.35">
      <c r="X15489" s="8"/>
    </row>
    <row r="15490" spans="24:24" x14ac:dyDescent="0.35">
      <c r="X15490" s="8"/>
    </row>
    <row r="15491" spans="24:24" x14ac:dyDescent="0.35">
      <c r="X15491" s="8"/>
    </row>
    <row r="15492" spans="24:24" x14ac:dyDescent="0.35">
      <c r="X15492" s="8"/>
    </row>
    <row r="15493" spans="24:24" x14ac:dyDescent="0.35">
      <c r="X15493" s="8"/>
    </row>
    <row r="15494" spans="24:24" x14ac:dyDescent="0.35">
      <c r="X15494" s="8"/>
    </row>
    <row r="15495" spans="24:24" x14ac:dyDescent="0.35">
      <c r="X15495" s="8"/>
    </row>
    <row r="15496" spans="24:24" x14ac:dyDescent="0.35">
      <c r="X15496" s="8"/>
    </row>
    <row r="15497" spans="24:24" x14ac:dyDescent="0.35">
      <c r="X15497" s="8"/>
    </row>
    <row r="15498" spans="24:24" x14ac:dyDescent="0.35">
      <c r="X15498" s="8"/>
    </row>
    <row r="15499" spans="24:24" x14ac:dyDescent="0.35">
      <c r="X15499" s="8"/>
    </row>
    <row r="15500" spans="24:24" x14ac:dyDescent="0.35">
      <c r="X15500" s="8"/>
    </row>
    <row r="15501" spans="24:24" x14ac:dyDescent="0.35">
      <c r="X15501" s="8"/>
    </row>
    <row r="15502" spans="24:24" x14ac:dyDescent="0.35">
      <c r="X15502" s="8"/>
    </row>
    <row r="15503" spans="24:24" x14ac:dyDescent="0.35">
      <c r="X15503" s="8"/>
    </row>
    <row r="15504" spans="24:24" x14ac:dyDescent="0.35">
      <c r="X15504" s="8"/>
    </row>
    <row r="15505" spans="24:24" x14ac:dyDescent="0.35">
      <c r="X15505" s="8"/>
    </row>
    <row r="15506" spans="24:24" x14ac:dyDescent="0.35">
      <c r="X15506" s="8"/>
    </row>
    <row r="15507" spans="24:24" x14ac:dyDescent="0.35">
      <c r="X15507" s="8"/>
    </row>
    <row r="15508" spans="24:24" x14ac:dyDescent="0.35">
      <c r="X15508" s="8"/>
    </row>
    <row r="15509" spans="24:24" x14ac:dyDescent="0.35">
      <c r="X15509" s="8"/>
    </row>
    <row r="15510" spans="24:24" x14ac:dyDescent="0.35">
      <c r="X15510" s="8"/>
    </row>
    <row r="15511" spans="24:24" x14ac:dyDescent="0.35">
      <c r="X15511" s="8"/>
    </row>
    <row r="15512" spans="24:24" x14ac:dyDescent="0.35">
      <c r="X15512" s="8"/>
    </row>
    <row r="15513" spans="24:24" x14ac:dyDescent="0.35">
      <c r="X15513" s="8"/>
    </row>
    <row r="15514" spans="24:24" x14ac:dyDescent="0.35">
      <c r="X15514" s="8"/>
    </row>
    <row r="15515" spans="24:24" x14ac:dyDescent="0.35">
      <c r="X15515" s="8"/>
    </row>
    <row r="15516" spans="24:24" x14ac:dyDescent="0.35">
      <c r="X15516" s="8"/>
    </row>
    <row r="15517" spans="24:24" x14ac:dyDescent="0.35">
      <c r="X15517" s="8"/>
    </row>
    <row r="15518" spans="24:24" x14ac:dyDescent="0.35">
      <c r="X15518" s="8"/>
    </row>
    <row r="15519" spans="24:24" x14ac:dyDescent="0.35">
      <c r="X15519" s="8"/>
    </row>
    <row r="15520" spans="24:24" x14ac:dyDescent="0.35">
      <c r="X15520" s="8"/>
    </row>
    <row r="15521" spans="24:24" x14ac:dyDescent="0.35">
      <c r="X15521" s="8"/>
    </row>
    <row r="15522" spans="24:24" x14ac:dyDescent="0.35">
      <c r="X15522" s="8"/>
    </row>
    <row r="15523" spans="24:24" x14ac:dyDescent="0.35">
      <c r="X15523" s="8"/>
    </row>
    <row r="15524" spans="24:24" x14ac:dyDescent="0.35">
      <c r="X15524" s="8"/>
    </row>
    <row r="15525" spans="24:24" x14ac:dyDescent="0.35">
      <c r="X15525" s="8"/>
    </row>
    <row r="15526" spans="24:24" x14ac:dyDescent="0.35">
      <c r="X15526" s="8"/>
    </row>
    <row r="15527" spans="24:24" x14ac:dyDescent="0.35">
      <c r="X15527" s="8"/>
    </row>
    <row r="15528" spans="24:24" x14ac:dyDescent="0.35">
      <c r="X15528" s="8"/>
    </row>
    <row r="15529" spans="24:24" x14ac:dyDescent="0.35">
      <c r="X15529" s="8"/>
    </row>
    <row r="15530" spans="24:24" x14ac:dyDescent="0.35">
      <c r="X15530" s="8"/>
    </row>
    <row r="15531" spans="24:24" x14ac:dyDescent="0.35">
      <c r="X15531" s="8"/>
    </row>
    <row r="15532" spans="24:24" x14ac:dyDescent="0.35">
      <c r="X15532" s="8"/>
    </row>
    <row r="15533" spans="24:24" x14ac:dyDescent="0.35">
      <c r="X15533" s="8"/>
    </row>
    <row r="15534" spans="24:24" x14ac:dyDescent="0.35">
      <c r="X15534" s="8"/>
    </row>
    <row r="15535" spans="24:24" x14ac:dyDescent="0.35">
      <c r="X15535" s="8"/>
    </row>
    <row r="15536" spans="24:24" x14ac:dyDescent="0.35">
      <c r="X15536" s="8"/>
    </row>
    <row r="15537" spans="24:24" x14ac:dyDescent="0.35">
      <c r="X15537" s="8"/>
    </row>
    <row r="15538" spans="24:24" x14ac:dyDescent="0.35">
      <c r="X15538" s="8"/>
    </row>
    <row r="15539" spans="24:24" x14ac:dyDescent="0.35">
      <c r="X15539" s="8"/>
    </row>
    <row r="15540" spans="24:24" x14ac:dyDescent="0.35">
      <c r="X15540" s="8"/>
    </row>
    <row r="15541" spans="24:24" x14ac:dyDescent="0.35">
      <c r="X15541" s="8"/>
    </row>
    <row r="15542" spans="24:24" x14ac:dyDescent="0.35">
      <c r="X15542" s="8"/>
    </row>
    <row r="15543" spans="24:24" x14ac:dyDescent="0.35">
      <c r="X15543" s="8"/>
    </row>
    <row r="15544" spans="24:24" x14ac:dyDescent="0.35">
      <c r="X15544" s="8"/>
    </row>
    <row r="15545" spans="24:24" x14ac:dyDescent="0.35">
      <c r="X15545" s="8"/>
    </row>
    <row r="15546" spans="24:24" x14ac:dyDescent="0.35">
      <c r="X15546" s="8"/>
    </row>
    <row r="15547" spans="24:24" x14ac:dyDescent="0.35">
      <c r="X15547" s="8"/>
    </row>
    <row r="15548" spans="24:24" x14ac:dyDescent="0.35">
      <c r="X15548" s="8"/>
    </row>
    <row r="15549" spans="24:24" x14ac:dyDescent="0.35">
      <c r="X15549" s="8"/>
    </row>
    <row r="15550" spans="24:24" x14ac:dyDescent="0.35">
      <c r="X15550" s="8"/>
    </row>
    <row r="15551" spans="24:24" x14ac:dyDescent="0.35">
      <c r="X15551" s="8"/>
    </row>
    <row r="15552" spans="24:24" x14ac:dyDescent="0.35">
      <c r="X15552" s="8"/>
    </row>
    <row r="15553" spans="24:24" x14ac:dyDescent="0.35">
      <c r="X15553" s="8"/>
    </row>
    <row r="15554" spans="24:24" x14ac:dyDescent="0.35">
      <c r="X15554" s="8"/>
    </row>
    <row r="15555" spans="24:24" x14ac:dyDescent="0.35">
      <c r="X15555" s="8"/>
    </row>
    <row r="15556" spans="24:24" x14ac:dyDescent="0.35">
      <c r="X15556" s="8"/>
    </row>
    <row r="15557" spans="24:24" x14ac:dyDescent="0.35">
      <c r="X15557" s="8"/>
    </row>
    <row r="15558" spans="24:24" x14ac:dyDescent="0.35">
      <c r="X15558" s="8"/>
    </row>
    <row r="15559" spans="24:24" x14ac:dyDescent="0.35">
      <c r="X15559" s="8"/>
    </row>
    <row r="15560" spans="24:24" x14ac:dyDescent="0.35">
      <c r="X15560" s="8"/>
    </row>
    <row r="15561" spans="24:24" x14ac:dyDescent="0.35">
      <c r="X15561" s="8"/>
    </row>
    <row r="15562" spans="24:24" x14ac:dyDescent="0.35">
      <c r="X15562" s="8"/>
    </row>
    <row r="15563" spans="24:24" x14ac:dyDescent="0.35">
      <c r="X15563" s="8"/>
    </row>
    <row r="15564" spans="24:24" x14ac:dyDescent="0.35">
      <c r="X15564" s="8"/>
    </row>
    <row r="15565" spans="24:24" x14ac:dyDescent="0.35">
      <c r="X15565" s="8"/>
    </row>
    <row r="15566" spans="24:24" x14ac:dyDescent="0.35">
      <c r="X15566" s="8"/>
    </row>
    <row r="15567" spans="24:24" x14ac:dyDescent="0.35">
      <c r="X15567" s="8"/>
    </row>
    <row r="15568" spans="24:24" x14ac:dyDescent="0.35">
      <c r="X15568" s="8"/>
    </row>
    <row r="15569" spans="24:24" x14ac:dyDescent="0.35">
      <c r="X15569" s="8"/>
    </row>
    <row r="15570" spans="24:24" x14ac:dyDescent="0.35">
      <c r="X15570" s="8"/>
    </row>
    <row r="15571" spans="24:24" x14ac:dyDescent="0.35">
      <c r="X15571" s="8"/>
    </row>
    <row r="15572" spans="24:24" x14ac:dyDescent="0.35">
      <c r="X15572" s="8"/>
    </row>
    <row r="15573" spans="24:24" x14ac:dyDescent="0.35">
      <c r="X15573" s="8"/>
    </row>
    <row r="15574" spans="24:24" x14ac:dyDescent="0.35">
      <c r="X15574" s="8"/>
    </row>
    <row r="15575" spans="24:24" x14ac:dyDescent="0.35">
      <c r="X15575" s="8"/>
    </row>
    <row r="15576" spans="24:24" x14ac:dyDescent="0.35">
      <c r="X15576" s="8"/>
    </row>
    <row r="15577" spans="24:24" x14ac:dyDescent="0.35">
      <c r="X15577" s="8"/>
    </row>
    <row r="15578" spans="24:24" x14ac:dyDescent="0.35">
      <c r="X15578" s="8"/>
    </row>
    <row r="15579" spans="24:24" x14ac:dyDescent="0.35">
      <c r="X15579" s="8"/>
    </row>
    <row r="15580" spans="24:24" x14ac:dyDescent="0.35">
      <c r="X15580" s="8"/>
    </row>
    <row r="15581" spans="24:24" x14ac:dyDescent="0.35">
      <c r="X15581" s="8"/>
    </row>
    <row r="15582" spans="24:24" x14ac:dyDescent="0.35">
      <c r="X15582" s="8"/>
    </row>
    <row r="15583" spans="24:24" x14ac:dyDescent="0.35">
      <c r="X15583" s="8"/>
    </row>
    <row r="15584" spans="24:24" x14ac:dyDescent="0.35">
      <c r="X15584" s="8"/>
    </row>
    <row r="15585" spans="24:24" x14ac:dyDescent="0.35">
      <c r="X15585" s="8"/>
    </row>
    <row r="15586" spans="24:24" x14ac:dyDescent="0.35">
      <c r="X15586" s="8"/>
    </row>
    <row r="15587" spans="24:24" x14ac:dyDescent="0.35">
      <c r="X15587" s="8"/>
    </row>
    <row r="15588" spans="24:24" x14ac:dyDescent="0.35">
      <c r="X15588" s="8"/>
    </row>
    <row r="15589" spans="24:24" x14ac:dyDescent="0.35">
      <c r="X15589" s="8"/>
    </row>
    <row r="15590" spans="24:24" x14ac:dyDescent="0.35">
      <c r="X15590" s="8"/>
    </row>
    <row r="15591" spans="24:24" x14ac:dyDescent="0.35">
      <c r="X15591" s="8"/>
    </row>
    <row r="15592" spans="24:24" x14ac:dyDescent="0.35">
      <c r="X15592" s="8"/>
    </row>
    <row r="15593" spans="24:24" x14ac:dyDescent="0.35">
      <c r="X15593" s="8"/>
    </row>
    <row r="15594" spans="24:24" x14ac:dyDescent="0.35">
      <c r="X15594" s="8"/>
    </row>
    <row r="15595" spans="24:24" x14ac:dyDescent="0.35">
      <c r="X15595" s="8"/>
    </row>
    <row r="15596" spans="24:24" x14ac:dyDescent="0.35">
      <c r="X15596" s="8"/>
    </row>
    <row r="15597" spans="24:24" x14ac:dyDescent="0.35">
      <c r="X15597" s="8"/>
    </row>
    <row r="15598" spans="24:24" x14ac:dyDescent="0.35">
      <c r="X15598" s="8"/>
    </row>
    <row r="15599" spans="24:24" x14ac:dyDescent="0.35">
      <c r="X15599" s="8"/>
    </row>
    <row r="15600" spans="24:24" x14ac:dyDescent="0.35">
      <c r="X15600" s="8"/>
    </row>
    <row r="15601" spans="24:24" x14ac:dyDescent="0.35">
      <c r="X15601" s="8"/>
    </row>
    <row r="15602" spans="24:24" x14ac:dyDescent="0.35">
      <c r="X15602" s="8"/>
    </row>
    <row r="15603" spans="24:24" x14ac:dyDescent="0.35">
      <c r="X15603" s="8"/>
    </row>
    <row r="15604" spans="24:24" x14ac:dyDescent="0.35">
      <c r="X15604" s="8"/>
    </row>
    <row r="15605" spans="24:24" x14ac:dyDescent="0.35">
      <c r="X15605" s="8"/>
    </row>
    <row r="15606" spans="24:24" x14ac:dyDescent="0.35">
      <c r="X15606" s="8"/>
    </row>
    <row r="15607" spans="24:24" x14ac:dyDescent="0.35">
      <c r="X15607" s="8"/>
    </row>
    <row r="15608" spans="24:24" x14ac:dyDescent="0.35">
      <c r="X15608" s="8"/>
    </row>
    <row r="15609" spans="24:24" x14ac:dyDescent="0.35">
      <c r="X15609" s="8"/>
    </row>
    <row r="15610" spans="24:24" x14ac:dyDescent="0.35">
      <c r="X15610" s="8"/>
    </row>
    <row r="15611" spans="24:24" x14ac:dyDescent="0.35">
      <c r="X15611" s="8"/>
    </row>
    <row r="15612" spans="24:24" x14ac:dyDescent="0.35">
      <c r="X15612" s="8"/>
    </row>
    <row r="15613" spans="24:24" x14ac:dyDescent="0.35">
      <c r="X15613" s="8"/>
    </row>
    <row r="15614" spans="24:24" x14ac:dyDescent="0.35">
      <c r="X15614" s="8"/>
    </row>
    <row r="15615" spans="24:24" x14ac:dyDescent="0.35">
      <c r="X15615" s="8"/>
    </row>
    <row r="15616" spans="24:24" x14ac:dyDescent="0.35">
      <c r="X15616" s="8"/>
    </row>
    <row r="15617" spans="24:24" x14ac:dyDescent="0.35">
      <c r="X15617" s="8"/>
    </row>
    <row r="15618" spans="24:24" x14ac:dyDescent="0.35">
      <c r="X15618" s="8"/>
    </row>
    <row r="15619" spans="24:24" x14ac:dyDescent="0.35">
      <c r="X15619" s="8"/>
    </row>
    <row r="15620" spans="24:24" x14ac:dyDescent="0.35">
      <c r="X15620" s="8"/>
    </row>
    <row r="15621" spans="24:24" x14ac:dyDescent="0.35">
      <c r="X15621" s="8"/>
    </row>
    <row r="15622" spans="24:24" x14ac:dyDescent="0.35">
      <c r="X15622" s="8"/>
    </row>
    <row r="15623" spans="24:24" x14ac:dyDescent="0.35">
      <c r="X15623" s="8"/>
    </row>
    <row r="15624" spans="24:24" x14ac:dyDescent="0.35">
      <c r="X15624" s="8"/>
    </row>
    <row r="15625" spans="24:24" x14ac:dyDescent="0.35">
      <c r="X15625" s="8"/>
    </row>
    <row r="15626" spans="24:24" x14ac:dyDescent="0.35">
      <c r="X15626" s="8"/>
    </row>
    <row r="15627" spans="24:24" x14ac:dyDescent="0.35">
      <c r="X15627" s="8"/>
    </row>
    <row r="15628" spans="24:24" x14ac:dyDescent="0.35">
      <c r="X15628" s="8"/>
    </row>
    <row r="15629" spans="24:24" x14ac:dyDescent="0.35">
      <c r="X15629" s="8"/>
    </row>
    <row r="15630" spans="24:24" x14ac:dyDescent="0.35">
      <c r="X15630" s="8"/>
    </row>
    <row r="15631" spans="24:24" x14ac:dyDescent="0.35">
      <c r="X15631" s="8"/>
    </row>
    <row r="15632" spans="24:24" x14ac:dyDescent="0.35">
      <c r="X15632" s="8"/>
    </row>
    <row r="15633" spans="24:24" x14ac:dyDescent="0.35">
      <c r="X15633" s="8"/>
    </row>
    <row r="15634" spans="24:24" x14ac:dyDescent="0.35">
      <c r="X15634" s="8"/>
    </row>
    <row r="15635" spans="24:24" x14ac:dyDescent="0.35">
      <c r="X15635" s="8"/>
    </row>
    <row r="15636" spans="24:24" x14ac:dyDescent="0.35">
      <c r="X15636" s="8"/>
    </row>
    <row r="15637" spans="24:24" x14ac:dyDescent="0.35">
      <c r="X15637" s="8"/>
    </row>
    <row r="15638" spans="24:24" x14ac:dyDescent="0.35">
      <c r="X15638" s="8"/>
    </row>
    <row r="15639" spans="24:24" x14ac:dyDescent="0.35">
      <c r="X15639" s="8"/>
    </row>
    <row r="15640" spans="24:24" x14ac:dyDescent="0.35">
      <c r="X15640" s="8"/>
    </row>
    <row r="15641" spans="24:24" x14ac:dyDescent="0.35">
      <c r="X15641" s="8"/>
    </row>
    <row r="15642" spans="24:24" x14ac:dyDescent="0.35">
      <c r="X15642" s="8"/>
    </row>
    <row r="15643" spans="24:24" x14ac:dyDescent="0.35">
      <c r="X15643" s="8"/>
    </row>
    <row r="15644" spans="24:24" x14ac:dyDescent="0.35">
      <c r="X15644" s="8"/>
    </row>
    <row r="15645" spans="24:24" x14ac:dyDescent="0.35">
      <c r="X15645" s="8"/>
    </row>
    <row r="15646" spans="24:24" x14ac:dyDescent="0.35">
      <c r="X15646" s="8"/>
    </row>
    <row r="15647" spans="24:24" x14ac:dyDescent="0.35">
      <c r="X15647" s="8"/>
    </row>
    <row r="15648" spans="24:24" x14ac:dyDescent="0.35">
      <c r="X15648" s="8"/>
    </row>
    <row r="15649" spans="24:24" x14ac:dyDescent="0.35">
      <c r="X15649" s="8"/>
    </row>
    <row r="15650" spans="24:24" x14ac:dyDescent="0.35">
      <c r="X15650" s="8"/>
    </row>
    <row r="15651" spans="24:24" x14ac:dyDescent="0.35">
      <c r="X15651" s="8"/>
    </row>
    <row r="15652" spans="24:24" x14ac:dyDescent="0.35">
      <c r="X15652" s="8"/>
    </row>
    <row r="15653" spans="24:24" x14ac:dyDescent="0.35">
      <c r="X15653" s="8"/>
    </row>
    <row r="15654" spans="24:24" x14ac:dyDescent="0.35">
      <c r="X15654" s="8"/>
    </row>
    <row r="15655" spans="24:24" x14ac:dyDescent="0.35">
      <c r="X15655" s="8"/>
    </row>
    <row r="15656" spans="24:24" x14ac:dyDescent="0.35">
      <c r="X15656" s="8"/>
    </row>
    <row r="15657" spans="24:24" x14ac:dyDescent="0.35">
      <c r="X15657" s="8"/>
    </row>
    <row r="15658" spans="24:24" x14ac:dyDescent="0.35">
      <c r="X15658" s="8"/>
    </row>
    <row r="15659" spans="24:24" x14ac:dyDescent="0.35">
      <c r="X15659" s="8"/>
    </row>
    <row r="15660" spans="24:24" x14ac:dyDescent="0.35">
      <c r="X15660" s="8"/>
    </row>
    <row r="15661" spans="24:24" x14ac:dyDescent="0.35">
      <c r="X15661" s="8"/>
    </row>
    <row r="15662" spans="24:24" x14ac:dyDescent="0.35">
      <c r="X15662" s="8"/>
    </row>
    <row r="15663" spans="24:24" x14ac:dyDescent="0.35">
      <c r="X15663" s="8"/>
    </row>
    <row r="15664" spans="24:24" x14ac:dyDescent="0.35">
      <c r="X15664" s="8"/>
    </row>
    <row r="15665" spans="24:24" x14ac:dyDescent="0.35">
      <c r="X15665" s="8"/>
    </row>
    <row r="15666" spans="24:24" x14ac:dyDescent="0.35">
      <c r="X15666" s="8"/>
    </row>
    <row r="15667" spans="24:24" x14ac:dyDescent="0.35">
      <c r="X15667" s="8"/>
    </row>
    <row r="15668" spans="24:24" x14ac:dyDescent="0.35">
      <c r="X15668" s="8"/>
    </row>
    <row r="15669" spans="24:24" x14ac:dyDescent="0.35">
      <c r="X15669" s="8"/>
    </row>
    <row r="15670" spans="24:24" x14ac:dyDescent="0.35">
      <c r="X15670" s="8"/>
    </row>
    <row r="15671" spans="24:24" x14ac:dyDescent="0.35">
      <c r="X15671" s="8"/>
    </row>
    <row r="15672" spans="24:24" x14ac:dyDescent="0.35">
      <c r="X15672" s="8"/>
    </row>
    <row r="15673" spans="24:24" x14ac:dyDescent="0.35">
      <c r="X15673" s="8"/>
    </row>
    <row r="15674" spans="24:24" x14ac:dyDescent="0.35">
      <c r="X15674" s="8"/>
    </row>
    <row r="15675" spans="24:24" x14ac:dyDescent="0.35">
      <c r="X15675" s="8"/>
    </row>
    <row r="15676" spans="24:24" x14ac:dyDescent="0.35">
      <c r="X15676" s="8"/>
    </row>
    <row r="15677" spans="24:24" x14ac:dyDescent="0.35">
      <c r="X15677" s="8"/>
    </row>
    <row r="15678" spans="24:24" x14ac:dyDescent="0.35">
      <c r="X15678" s="8"/>
    </row>
    <row r="15679" spans="24:24" x14ac:dyDescent="0.35">
      <c r="X15679" s="8"/>
    </row>
    <row r="15680" spans="24:24" x14ac:dyDescent="0.35">
      <c r="X15680" s="8"/>
    </row>
    <row r="15681" spans="24:24" x14ac:dyDescent="0.35">
      <c r="X15681" s="8"/>
    </row>
    <row r="15682" spans="24:24" x14ac:dyDescent="0.35">
      <c r="X15682" s="8"/>
    </row>
    <row r="15683" spans="24:24" x14ac:dyDescent="0.35">
      <c r="X15683" s="8"/>
    </row>
    <row r="15684" spans="24:24" x14ac:dyDescent="0.35">
      <c r="X15684" s="8"/>
    </row>
    <row r="15685" spans="24:24" x14ac:dyDescent="0.35">
      <c r="X15685" s="8"/>
    </row>
    <row r="15686" spans="24:24" x14ac:dyDescent="0.35">
      <c r="X15686" s="8"/>
    </row>
    <row r="15687" spans="24:24" x14ac:dyDescent="0.35">
      <c r="X15687" s="8"/>
    </row>
    <row r="15688" spans="24:24" x14ac:dyDescent="0.35">
      <c r="X15688" s="8"/>
    </row>
    <row r="15689" spans="24:24" x14ac:dyDescent="0.35">
      <c r="X15689" s="8"/>
    </row>
    <row r="15690" spans="24:24" x14ac:dyDescent="0.35">
      <c r="X15690" s="8"/>
    </row>
    <row r="15691" spans="24:24" x14ac:dyDescent="0.35">
      <c r="X15691" s="8"/>
    </row>
    <row r="15692" spans="24:24" x14ac:dyDescent="0.35">
      <c r="X15692" s="8"/>
    </row>
    <row r="15693" spans="24:24" x14ac:dyDescent="0.35">
      <c r="X15693" s="8"/>
    </row>
    <row r="15694" spans="24:24" x14ac:dyDescent="0.35">
      <c r="X15694" s="8"/>
    </row>
    <row r="15695" spans="24:24" x14ac:dyDescent="0.35">
      <c r="X15695" s="8"/>
    </row>
    <row r="15696" spans="24:24" x14ac:dyDescent="0.35">
      <c r="X15696" s="8"/>
    </row>
    <row r="15697" spans="24:24" x14ac:dyDescent="0.35">
      <c r="X15697" s="8"/>
    </row>
    <row r="15698" spans="24:24" x14ac:dyDescent="0.35">
      <c r="X15698" s="8"/>
    </row>
    <row r="15699" spans="24:24" x14ac:dyDescent="0.35">
      <c r="X15699" s="8"/>
    </row>
    <row r="15700" spans="24:24" x14ac:dyDescent="0.35">
      <c r="X15700" s="8"/>
    </row>
    <row r="15701" spans="24:24" x14ac:dyDescent="0.35">
      <c r="X15701" s="8"/>
    </row>
    <row r="15702" spans="24:24" x14ac:dyDescent="0.35">
      <c r="X15702" s="8"/>
    </row>
    <row r="15703" spans="24:24" x14ac:dyDescent="0.35">
      <c r="X15703" s="8"/>
    </row>
    <row r="15704" spans="24:24" x14ac:dyDescent="0.35">
      <c r="X15704" s="8"/>
    </row>
    <row r="15705" spans="24:24" x14ac:dyDescent="0.35">
      <c r="X15705" s="8"/>
    </row>
    <row r="15706" spans="24:24" x14ac:dyDescent="0.35">
      <c r="X15706" s="8"/>
    </row>
    <row r="15707" spans="24:24" x14ac:dyDescent="0.35">
      <c r="X15707" s="8"/>
    </row>
    <row r="15708" spans="24:24" x14ac:dyDescent="0.35">
      <c r="X15708" s="8"/>
    </row>
    <row r="15709" spans="24:24" x14ac:dyDescent="0.35">
      <c r="X15709" s="8"/>
    </row>
    <row r="15710" spans="24:24" x14ac:dyDescent="0.35">
      <c r="X15710" s="8"/>
    </row>
    <row r="15711" spans="24:24" x14ac:dyDescent="0.35">
      <c r="X15711" s="8"/>
    </row>
    <row r="15712" spans="24:24" x14ac:dyDescent="0.35">
      <c r="X15712" s="8"/>
    </row>
    <row r="15713" spans="24:24" x14ac:dyDescent="0.35">
      <c r="X15713" s="8"/>
    </row>
    <row r="15714" spans="24:24" x14ac:dyDescent="0.35">
      <c r="X15714" s="8"/>
    </row>
    <row r="15715" spans="24:24" x14ac:dyDescent="0.35">
      <c r="X15715" s="8"/>
    </row>
    <row r="15716" spans="24:24" x14ac:dyDescent="0.35">
      <c r="X15716" s="8"/>
    </row>
    <row r="15717" spans="24:24" x14ac:dyDescent="0.35">
      <c r="X15717" s="8"/>
    </row>
    <row r="15718" spans="24:24" x14ac:dyDescent="0.35">
      <c r="X15718" s="8"/>
    </row>
    <row r="15719" spans="24:24" x14ac:dyDescent="0.35">
      <c r="X15719" s="8"/>
    </row>
    <row r="15720" spans="24:24" x14ac:dyDescent="0.35">
      <c r="X15720" s="8"/>
    </row>
    <row r="15721" spans="24:24" x14ac:dyDescent="0.35">
      <c r="X15721" s="8"/>
    </row>
    <row r="15722" spans="24:24" x14ac:dyDescent="0.35">
      <c r="X15722" s="8"/>
    </row>
    <row r="15723" spans="24:24" x14ac:dyDescent="0.35">
      <c r="X15723" s="8"/>
    </row>
    <row r="15724" spans="24:24" x14ac:dyDescent="0.35">
      <c r="X15724" s="8"/>
    </row>
    <row r="15725" spans="24:24" x14ac:dyDescent="0.35">
      <c r="X15725" s="8"/>
    </row>
    <row r="15726" spans="24:24" x14ac:dyDescent="0.35">
      <c r="X15726" s="8"/>
    </row>
    <row r="15727" spans="24:24" x14ac:dyDescent="0.35">
      <c r="X15727" s="8"/>
    </row>
    <row r="15728" spans="24:24" x14ac:dyDescent="0.35">
      <c r="X15728" s="8"/>
    </row>
    <row r="15729" spans="24:24" x14ac:dyDescent="0.35">
      <c r="X15729" s="8"/>
    </row>
    <row r="15730" spans="24:24" x14ac:dyDescent="0.35">
      <c r="X15730" s="8"/>
    </row>
    <row r="15731" spans="24:24" x14ac:dyDescent="0.35">
      <c r="X15731" s="8"/>
    </row>
    <row r="15732" spans="24:24" x14ac:dyDescent="0.35">
      <c r="X15732" s="8"/>
    </row>
    <row r="15733" spans="24:24" x14ac:dyDescent="0.35">
      <c r="X15733" s="8"/>
    </row>
    <row r="15734" spans="24:24" x14ac:dyDescent="0.35">
      <c r="X15734" s="8"/>
    </row>
    <row r="15735" spans="24:24" x14ac:dyDescent="0.35">
      <c r="X15735" s="8"/>
    </row>
    <row r="15736" spans="24:24" x14ac:dyDescent="0.35">
      <c r="X15736" s="8"/>
    </row>
    <row r="15737" spans="24:24" x14ac:dyDescent="0.35">
      <c r="X15737" s="8"/>
    </row>
    <row r="15738" spans="24:24" x14ac:dyDescent="0.35">
      <c r="X15738" s="8"/>
    </row>
    <row r="15739" spans="24:24" x14ac:dyDescent="0.35">
      <c r="X15739" s="8"/>
    </row>
    <row r="15740" spans="24:24" x14ac:dyDescent="0.35">
      <c r="X15740" s="8"/>
    </row>
    <row r="15741" spans="24:24" x14ac:dyDescent="0.35">
      <c r="X15741" s="8"/>
    </row>
    <row r="15742" spans="24:24" x14ac:dyDescent="0.35">
      <c r="X15742" s="8"/>
    </row>
    <row r="15743" spans="24:24" x14ac:dyDescent="0.35">
      <c r="X15743" s="8"/>
    </row>
    <row r="15744" spans="24:24" x14ac:dyDescent="0.35">
      <c r="X15744" s="8"/>
    </row>
    <row r="15745" spans="24:24" x14ac:dyDescent="0.35">
      <c r="X15745" s="8"/>
    </row>
    <row r="15746" spans="24:24" x14ac:dyDescent="0.35">
      <c r="X15746" s="8"/>
    </row>
    <row r="15747" spans="24:24" x14ac:dyDescent="0.35">
      <c r="X15747" s="8"/>
    </row>
    <row r="15748" spans="24:24" x14ac:dyDescent="0.35">
      <c r="X15748" s="8"/>
    </row>
    <row r="15749" spans="24:24" x14ac:dyDescent="0.35">
      <c r="X15749" s="8"/>
    </row>
    <row r="15750" spans="24:24" x14ac:dyDescent="0.35">
      <c r="X15750" s="8"/>
    </row>
    <row r="15751" spans="24:24" x14ac:dyDescent="0.35">
      <c r="X15751" s="8"/>
    </row>
    <row r="15752" spans="24:24" x14ac:dyDescent="0.35">
      <c r="X15752" s="8"/>
    </row>
    <row r="15753" spans="24:24" x14ac:dyDescent="0.35">
      <c r="X15753" s="8"/>
    </row>
    <row r="15754" spans="24:24" x14ac:dyDescent="0.35">
      <c r="X15754" s="8"/>
    </row>
    <row r="15755" spans="24:24" x14ac:dyDescent="0.35">
      <c r="X15755" s="8"/>
    </row>
    <row r="15756" spans="24:24" x14ac:dyDescent="0.35">
      <c r="X15756" s="8"/>
    </row>
    <row r="15757" spans="24:24" x14ac:dyDescent="0.35">
      <c r="X15757" s="8"/>
    </row>
    <row r="15758" spans="24:24" x14ac:dyDescent="0.35">
      <c r="X15758" s="8"/>
    </row>
    <row r="15759" spans="24:24" x14ac:dyDescent="0.35">
      <c r="X15759" s="8"/>
    </row>
    <row r="15760" spans="24:24" x14ac:dyDescent="0.35">
      <c r="X15760" s="8"/>
    </row>
    <row r="15761" spans="24:24" x14ac:dyDescent="0.35">
      <c r="X15761" s="8"/>
    </row>
    <row r="15762" spans="24:24" x14ac:dyDescent="0.35">
      <c r="X15762" s="8"/>
    </row>
    <row r="15763" spans="24:24" x14ac:dyDescent="0.35">
      <c r="X15763" s="8"/>
    </row>
    <row r="15764" spans="24:24" x14ac:dyDescent="0.35">
      <c r="X15764" s="8"/>
    </row>
    <row r="15765" spans="24:24" x14ac:dyDescent="0.35">
      <c r="X15765" s="8"/>
    </row>
    <row r="15766" spans="24:24" x14ac:dyDescent="0.35">
      <c r="X15766" s="8"/>
    </row>
    <row r="15767" spans="24:24" x14ac:dyDescent="0.35">
      <c r="X15767" s="8"/>
    </row>
    <row r="15768" spans="24:24" x14ac:dyDescent="0.35">
      <c r="X15768" s="8"/>
    </row>
    <row r="15769" spans="24:24" x14ac:dyDescent="0.35">
      <c r="X15769" s="8"/>
    </row>
    <row r="15770" spans="24:24" x14ac:dyDescent="0.35">
      <c r="X15770" s="8"/>
    </row>
    <row r="15771" spans="24:24" x14ac:dyDescent="0.35">
      <c r="X15771" s="8"/>
    </row>
    <row r="15772" spans="24:24" x14ac:dyDescent="0.35">
      <c r="X15772" s="8"/>
    </row>
    <row r="15773" spans="24:24" x14ac:dyDescent="0.35">
      <c r="X15773" s="8"/>
    </row>
    <row r="15774" spans="24:24" x14ac:dyDescent="0.35">
      <c r="X15774" s="8"/>
    </row>
    <row r="15775" spans="24:24" x14ac:dyDescent="0.35">
      <c r="X15775" s="8"/>
    </row>
    <row r="15776" spans="24:24" x14ac:dyDescent="0.35">
      <c r="X15776" s="8"/>
    </row>
    <row r="15777" spans="24:24" x14ac:dyDescent="0.35">
      <c r="X15777" s="8"/>
    </row>
    <row r="15778" spans="24:24" x14ac:dyDescent="0.35">
      <c r="X15778" s="8"/>
    </row>
    <row r="15779" spans="24:24" x14ac:dyDescent="0.35">
      <c r="X15779" s="8"/>
    </row>
    <row r="15780" spans="24:24" x14ac:dyDescent="0.35">
      <c r="X15780" s="8"/>
    </row>
    <row r="15781" spans="24:24" x14ac:dyDescent="0.35">
      <c r="X15781" s="8"/>
    </row>
    <row r="15782" spans="24:24" x14ac:dyDescent="0.35">
      <c r="X15782" s="8"/>
    </row>
    <row r="15783" spans="24:24" x14ac:dyDescent="0.35">
      <c r="X15783" s="8"/>
    </row>
    <row r="15784" spans="24:24" x14ac:dyDescent="0.35">
      <c r="X15784" s="8"/>
    </row>
    <row r="15785" spans="24:24" x14ac:dyDescent="0.35">
      <c r="X15785" s="8"/>
    </row>
    <row r="15786" spans="24:24" x14ac:dyDescent="0.35">
      <c r="X15786" s="8"/>
    </row>
    <row r="15787" spans="24:24" x14ac:dyDescent="0.35">
      <c r="X15787" s="8"/>
    </row>
    <row r="15788" spans="24:24" x14ac:dyDescent="0.35">
      <c r="X15788" s="8"/>
    </row>
    <row r="15789" spans="24:24" x14ac:dyDescent="0.35">
      <c r="X15789" s="8"/>
    </row>
    <row r="15790" spans="24:24" x14ac:dyDescent="0.35">
      <c r="X15790" s="8"/>
    </row>
    <row r="15791" spans="24:24" x14ac:dyDescent="0.35">
      <c r="X15791" s="8"/>
    </row>
    <row r="15792" spans="24:24" x14ac:dyDescent="0.35">
      <c r="X15792" s="8"/>
    </row>
    <row r="15793" spans="24:24" x14ac:dyDescent="0.35">
      <c r="X15793" s="8"/>
    </row>
    <row r="15794" spans="24:24" x14ac:dyDescent="0.35">
      <c r="X15794" s="8"/>
    </row>
    <row r="15795" spans="24:24" x14ac:dyDescent="0.35">
      <c r="X15795" s="8"/>
    </row>
    <row r="15796" spans="24:24" x14ac:dyDescent="0.35">
      <c r="X15796" s="8"/>
    </row>
    <row r="15797" spans="24:24" x14ac:dyDescent="0.35">
      <c r="X15797" s="8"/>
    </row>
    <row r="15798" spans="24:24" x14ac:dyDescent="0.35">
      <c r="X15798" s="8"/>
    </row>
    <row r="15799" spans="24:24" x14ac:dyDescent="0.35">
      <c r="X15799" s="8"/>
    </row>
    <row r="15800" spans="24:24" x14ac:dyDescent="0.35">
      <c r="X15800" s="8"/>
    </row>
    <row r="15801" spans="24:24" x14ac:dyDescent="0.35">
      <c r="X15801" s="8"/>
    </row>
    <row r="15802" spans="24:24" x14ac:dyDescent="0.35">
      <c r="X15802" s="8"/>
    </row>
    <row r="15803" spans="24:24" x14ac:dyDescent="0.35">
      <c r="X15803" s="8"/>
    </row>
    <row r="15804" spans="24:24" x14ac:dyDescent="0.35">
      <c r="X15804" s="8"/>
    </row>
    <row r="15805" spans="24:24" x14ac:dyDescent="0.35">
      <c r="X15805" s="8"/>
    </row>
    <row r="15806" spans="24:24" x14ac:dyDescent="0.35">
      <c r="X15806" s="8"/>
    </row>
    <row r="15807" spans="24:24" x14ac:dyDescent="0.35">
      <c r="X15807" s="8"/>
    </row>
    <row r="15808" spans="24:24" x14ac:dyDescent="0.35">
      <c r="X15808" s="8"/>
    </row>
    <row r="15809" spans="24:24" x14ac:dyDescent="0.35">
      <c r="X15809" s="8"/>
    </row>
    <row r="15810" spans="24:24" x14ac:dyDescent="0.35">
      <c r="X15810" s="8"/>
    </row>
    <row r="15811" spans="24:24" x14ac:dyDescent="0.35">
      <c r="X15811" s="8"/>
    </row>
    <row r="15812" spans="24:24" x14ac:dyDescent="0.35">
      <c r="X15812" s="8"/>
    </row>
    <row r="15813" spans="24:24" x14ac:dyDescent="0.35">
      <c r="X15813" s="8"/>
    </row>
    <row r="15814" spans="24:24" x14ac:dyDescent="0.35">
      <c r="X15814" s="8"/>
    </row>
    <row r="15815" spans="24:24" x14ac:dyDescent="0.35">
      <c r="X15815" s="8"/>
    </row>
    <row r="15816" spans="24:24" x14ac:dyDescent="0.35">
      <c r="X15816" s="8"/>
    </row>
    <row r="15817" spans="24:24" x14ac:dyDescent="0.35">
      <c r="X15817" s="8"/>
    </row>
    <row r="15818" spans="24:24" x14ac:dyDescent="0.35">
      <c r="X15818" s="8"/>
    </row>
    <row r="15819" spans="24:24" x14ac:dyDescent="0.35">
      <c r="X15819" s="8"/>
    </row>
    <row r="15820" spans="24:24" x14ac:dyDescent="0.35">
      <c r="X15820" s="8"/>
    </row>
    <row r="15821" spans="24:24" x14ac:dyDescent="0.35">
      <c r="X15821" s="8"/>
    </row>
    <row r="15822" spans="24:24" x14ac:dyDescent="0.35">
      <c r="X15822" s="8"/>
    </row>
    <row r="15823" spans="24:24" x14ac:dyDescent="0.35">
      <c r="X15823" s="8"/>
    </row>
    <row r="15824" spans="24:24" x14ac:dyDescent="0.35">
      <c r="X15824" s="8"/>
    </row>
    <row r="15825" spans="24:24" x14ac:dyDescent="0.35">
      <c r="X15825" s="8"/>
    </row>
    <row r="15826" spans="24:24" x14ac:dyDescent="0.35">
      <c r="X15826" s="8"/>
    </row>
    <row r="15827" spans="24:24" x14ac:dyDescent="0.35">
      <c r="X15827" s="8"/>
    </row>
    <row r="15828" spans="24:24" x14ac:dyDescent="0.35">
      <c r="X15828" s="8"/>
    </row>
    <row r="15829" spans="24:24" x14ac:dyDescent="0.35">
      <c r="X15829" s="8"/>
    </row>
    <row r="15830" spans="24:24" x14ac:dyDescent="0.35">
      <c r="X15830" s="8"/>
    </row>
    <row r="15831" spans="24:24" x14ac:dyDescent="0.35">
      <c r="X15831" s="8"/>
    </row>
    <row r="15832" spans="24:24" x14ac:dyDescent="0.35">
      <c r="X15832" s="8"/>
    </row>
    <row r="15833" spans="24:24" x14ac:dyDescent="0.35">
      <c r="X15833" s="8"/>
    </row>
    <row r="15834" spans="24:24" x14ac:dyDescent="0.35">
      <c r="X15834" s="8"/>
    </row>
    <row r="15835" spans="24:24" x14ac:dyDescent="0.35">
      <c r="X15835" s="8"/>
    </row>
    <row r="15836" spans="24:24" x14ac:dyDescent="0.35">
      <c r="X15836" s="8"/>
    </row>
    <row r="15837" spans="24:24" x14ac:dyDescent="0.35">
      <c r="X15837" s="8"/>
    </row>
    <row r="15838" spans="24:24" x14ac:dyDescent="0.35">
      <c r="X15838" s="8"/>
    </row>
    <row r="15839" spans="24:24" x14ac:dyDescent="0.35">
      <c r="X15839" s="8"/>
    </row>
    <row r="15840" spans="24:24" x14ac:dyDescent="0.35">
      <c r="X15840" s="8"/>
    </row>
    <row r="15841" spans="24:24" x14ac:dyDescent="0.35">
      <c r="X15841" s="8"/>
    </row>
    <row r="15842" spans="24:24" x14ac:dyDescent="0.35">
      <c r="X15842" s="8"/>
    </row>
    <row r="15843" spans="24:24" x14ac:dyDescent="0.35">
      <c r="X15843" s="8"/>
    </row>
    <row r="15844" spans="24:24" x14ac:dyDescent="0.35">
      <c r="X15844" s="8"/>
    </row>
    <row r="15845" spans="24:24" x14ac:dyDescent="0.35">
      <c r="X15845" s="8"/>
    </row>
    <row r="15846" spans="24:24" x14ac:dyDescent="0.35">
      <c r="X15846" s="8"/>
    </row>
    <row r="15847" spans="24:24" x14ac:dyDescent="0.35">
      <c r="X15847" s="8"/>
    </row>
    <row r="15848" spans="24:24" x14ac:dyDescent="0.35">
      <c r="X15848" s="8"/>
    </row>
    <row r="15849" spans="24:24" x14ac:dyDescent="0.35">
      <c r="X15849" s="8"/>
    </row>
    <row r="15850" spans="24:24" x14ac:dyDescent="0.35">
      <c r="X15850" s="8"/>
    </row>
    <row r="15851" spans="24:24" x14ac:dyDescent="0.35">
      <c r="X15851" s="8"/>
    </row>
    <row r="15852" spans="24:24" x14ac:dyDescent="0.35">
      <c r="X15852" s="8"/>
    </row>
    <row r="15853" spans="24:24" x14ac:dyDescent="0.35">
      <c r="X15853" s="8"/>
    </row>
    <row r="15854" spans="24:24" x14ac:dyDescent="0.35">
      <c r="X15854" s="8"/>
    </row>
    <row r="15855" spans="24:24" x14ac:dyDescent="0.35">
      <c r="X15855" s="8"/>
    </row>
    <row r="15856" spans="24:24" x14ac:dyDescent="0.35">
      <c r="X15856" s="8"/>
    </row>
    <row r="15857" spans="24:24" x14ac:dyDescent="0.35">
      <c r="X15857" s="8"/>
    </row>
    <row r="15858" spans="24:24" x14ac:dyDescent="0.35">
      <c r="X15858" s="8"/>
    </row>
    <row r="15859" spans="24:24" x14ac:dyDescent="0.35">
      <c r="X15859" s="8"/>
    </row>
    <row r="15860" spans="24:24" x14ac:dyDescent="0.35">
      <c r="X15860" s="8"/>
    </row>
    <row r="15861" spans="24:24" x14ac:dyDescent="0.35">
      <c r="X15861" s="8"/>
    </row>
    <row r="15862" spans="24:24" x14ac:dyDescent="0.35">
      <c r="X15862" s="8"/>
    </row>
    <row r="15863" spans="24:24" x14ac:dyDescent="0.35">
      <c r="X15863" s="8"/>
    </row>
    <row r="15864" spans="24:24" x14ac:dyDescent="0.35">
      <c r="X15864" s="8"/>
    </row>
    <row r="15865" spans="24:24" x14ac:dyDescent="0.35">
      <c r="X15865" s="8"/>
    </row>
    <row r="15866" spans="24:24" x14ac:dyDescent="0.35">
      <c r="X15866" s="8"/>
    </row>
    <row r="15867" spans="24:24" x14ac:dyDescent="0.35">
      <c r="X15867" s="8"/>
    </row>
    <row r="15868" spans="24:24" x14ac:dyDescent="0.35">
      <c r="X15868" s="8"/>
    </row>
    <row r="15869" spans="24:24" x14ac:dyDescent="0.35">
      <c r="X15869" s="8"/>
    </row>
    <row r="15870" spans="24:24" x14ac:dyDescent="0.35">
      <c r="X15870" s="8"/>
    </row>
    <row r="15871" spans="24:24" x14ac:dyDescent="0.35">
      <c r="X15871" s="8"/>
    </row>
    <row r="15872" spans="24:24" x14ac:dyDescent="0.35">
      <c r="X15872" s="8"/>
    </row>
    <row r="15873" spans="24:24" x14ac:dyDescent="0.35">
      <c r="X15873" s="8"/>
    </row>
    <row r="15874" spans="24:24" x14ac:dyDescent="0.35">
      <c r="X15874" s="8"/>
    </row>
    <row r="15875" spans="24:24" x14ac:dyDescent="0.35">
      <c r="X15875" s="8"/>
    </row>
    <row r="15876" spans="24:24" x14ac:dyDescent="0.35">
      <c r="X15876" s="8"/>
    </row>
    <row r="15877" spans="24:24" x14ac:dyDescent="0.35">
      <c r="X15877" s="8"/>
    </row>
    <row r="15878" spans="24:24" x14ac:dyDescent="0.35">
      <c r="X15878" s="8"/>
    </row>
    <row r="15879" spans="24:24" x14ac:dyDescent="0.35">
      <c r="X15879" s="8"/>
    </row>
    <row r="15880" spans="24:24" x14ac:dyDescent="0.35">
      <c r="X15880" s="8"/>
    </row>
    <row r="15881" spans="24:24" x14ac:dyDescent="0.35">
      <c r="X15881" s="8"/>
    </row>
    <row r="15882" spans="24:24" x14ac:dyDescent="0.35">
      <c r="X15882" s="8"/>
    </row>
    <row r="15883" spans="24:24" x14ac:dyDescent="0.35">
      <c r="X15883" s="8"/>
    </row>
    <row r="15884" spans="24:24" x14ac:dyDescent="0.35">
      <c r="X15884" s="8"/>
    </row>
    <row r="15885" spans="24:24" x14ac:dyDescent="0.35">
      <c r="X15885" s="8"/>
    </row>
    <row r="15886" spans="24:24" x14ac:dyDescent="0.35">
      <c r="X15886" s="8"/>
    </row>
    <row r="15887" spans="24:24" x14ac:dyDescent="0.35">
      <c r="X15887" s="8"/>
    </row>
    <row r="15888" spans="24:24" x14ac:dyDescent="0.35">
      <c r="X15888" s="8"/>
    </row>
    <row r="15889" spans="24:24" x14ac:dyDescent="0.35">
      <c r="X15889" s="8"/>
    </row>
    <row r="15890" spans="24:24" x14ac:dyDescent="0.35">
      <c r="X15890" s="8"/>
    </row>
    <row r="15891" spans="24:24" x14ac:dyDescent="0.35">
      <c r="X15891" s="8"/>
    </row>
    <row r="15892" spans="24:24" x14ac:dyDescent="0.35">
      <c r="X15892" s="8"/>
    </row>
    <row r="15893" spans="24:24" x14ac:dyDescent="0.35">
      <c r="X15893" s="8"/>
    </row>
    <row r="15894" spans="24:24" x14ac:dyDescent="0.35">
      <c r="X15894" s="8"/>
    </row>
    <row r="15895" spans="24:24" x14ac:dyDescent="0.35">
      <c r="X15895" s="8"/>
    </row>
    <row r="15896" spans="24:24" x14ac:dyDescent="0.35">
      <c r="X15896" s="8"/>
    </row>
    <row r="15897" spans="24:24" x14ac:dyDescent="0.35">
      <c r="X15897" s="8"/>
    </row>
    <row r="15898" spans="24:24" x14ac:dyDescent="0.35">
      <c r="X15898" s="8"/>
    </row>
    <row r="15899" spans="24:24" x14ac:dyDescent="0.35">
      <c r="X15899" s="8"/>
    </row>
    <row r="15900" spans="24:24" x14ac:dyDescent="0.35">
      <c r="X15900" s="8"/>
    </row>
    <row r="15901" spans="24:24" x14ac:dyDescent="0.35">
      <c r="X15901" s="8"/>
    </row>
    <row r="15902" spans="24:24" x14ac:dyDescent="0.35">
      <c r="X15902" s="8"/>
    </row>
    <row r="15903" spans="24:24" x14ac:dyDescent="0.35">
      <c r="X15903" s="8"/>
    </row>
    <row r="15904" spans="24:24" x14ac:dyDescent="0.35">
      <c r="X15904" s="8"/>
    </row>
    <row r="15905" spans="24:24" x14ac:dyDescent="0.35">
      <c r="X15905" s="8"/>
    </row>
    <row r="15906" spans="24:24" x14ac:dyDescent="0.35">
      <c r="X15906" s="8"/>
    </row>
    <row r="15907" spans="24:24" x14ac:dyDescent="0.35">
      <c r="X15907" s="8"/>
    </row>
    <row r="15908" spans="24:24" x14ac:dyDescent="0.35">
      <c r="X15908" s="8"/>
    </row>
    <row r="15909" spans="24:24" x14ac:dyDescent="0.35">
      <c r="X15909" s="8"/>
    </row>
    <row r="15910" spans="24:24" x14ac:dyDescent="0.35">
      <c r="X15910" s="8"/>
    </row>
    <row r="15911" spans="24:24" x14ac:dyDescent="0.35">
      <c r="X15911" s="8"/>
    </row>
    <row r="15912" spans="24:24" x14ac:dyDescent="0.35">
      <c r="X15912" s="8"/>
    </row>
    <row r="15913" spans="24:24" x14ac:dyDescent="0.35">
      <c r="X15913" s="8"/>
    </row>
    <row r="15914" spans="24:24" x14ac:dyDescent="0.35">
      <c r="X15914" s="8"/>
    </row>
    <row r="15915" spans="24:24" x14ac:dyDescent="0.35">
      <c r="X15915" s="8"/>
    </row>
    <row r="15916" spans="24:24" x14ac:dyDescent="0.35">
      <c r="X15916" s="8"/>
    </row>
    <row r="15917" spans="24:24" x14ac:dyDescent="0.35">
      <c r="X15917" s="8"/>
    </row>
    <row r="15918" spans="24:24" x14ac:dyDescent="0.35">
      <c r="X15918" s="8"/>
    </row>
    <row r="15919" spans="24:24" x14ac:dyDescent="0.35">
      <c r="X15919" s="8"/>
    </row>
    <row r="15920" spans="24:24" x14ac:dyDescent="0.35">
      <c r="X15920" s="8"/>
    </row>
    <row r="15921" spans="24:24" x14ac:dyDescent="0.35">
      <c r="X15921" s="8"/>
    </row>
    <row r="15922" spans="24:24" x14ac:dyDescent="0.35">
      <c r="X15922" s="8"/>
    </row>
    <row r="15923" spans="24:24" x14ac:dyDescent="0.35">
      <c r="X15923" s="8"/>
    </row>
    <row r="15924" spans="24:24" x14ac:dyDescent="0.35">
      <c r="X15924" s="8"/>
    </row>
    <row r="15925" spans="24:24" x14ac:dyDescent="0.35">
      <c r="X15925" s="8"/>
    </row>
    <row r="15926" spans="24:24" x14ac:dyDescent="0.35">
      <c r="X15926" s="8"/>
    </row>
    <row r="15927" spans="24:24" x14ac:dyDescent="0.35">
      <c r="X15927" s="8"/>
    </row>
    <row r="15928" spans="24:24" x14ac:dyDescent="0.35">
      <c r="X15928" s="8"/>
    </row>
    <row r="15929" spans="24:24" x14ac:dyDescent="0.35">
      <c r="X15929" s="8"/>
    </row>
    <row r="15930" spans="24:24" x14ac:dyDescent="0.35">
      <c r="X15930" s="8"/>
    </row>
    <row r="15931" spans="24:24" x14ac:dyDescent="0.35">
      <c r="X15931" s="8"/>
    </row>
    <row r="15932" spans="24:24" x14ac:dyDescent="0.35">
      <c r="X15932" s="8"/>
    </row>
    <row r="15933" spans="24:24" x14ac:dyDescent="0.35">
      <c r="X15933" s="8"/>
    </row>
    <row r="15934" spans="24:24" x14ac:dyDescent="0.35">
      <c r="X15934" s="8"/>
    </row>
    <row r="15935" spans="24:24" x14ac:dyDescent="0.35">
      <c r="X15935" s="8"/>
    </row>
    <row r="15936" spans="24:24" x14ac:dyDescent="0.35">
      <c r="X15936" s="8"/>
    </row>
    <row r="15937" spans="24:24" x14ac:dyDescent="0.35">
      <c r="X15937" s="8"/>
    </row>
    <row r="15938" spans="24:24" x14ac:dyDescent="0.35">
      <c r="X15938" s="8"/>
    </row>
    <row r="15939" spans="24:24" x14ac:dyDescent="0.35">
      <c r="X15939" s="8"/>
    </row>
    <row r="15940" spans="24:24" x14ac:dyDescent="0.35">
      <c r="X15940" s="8"/>
    </row>
    <row r="15941" spans="24:24" x14ac:dyDescent="0.35">
      <c r="X15941" s="8"/>
    </row>
    <row r="15942" spans="24:24" x14ac:dyDescent="0.35">
      <c r="X15942" s="8"/>
    </row>
    <row r="15943" spans="24:24" x14ac:dyDescent="0.35">
      <c r="X15943" s="8"/>
    </row>
    <row r="15944" spans="24:24" x14ac:dyDescent="0.35">
      <c r="X15944" s="8"/>
    </row>
    <row r="15945" spans="24:24" x14ac:dyDescent="0.35">
      <c r="X15945" s="8"/>
    </row>
    <row r="15946" spans="24:24" x14ac:dyDescent="0.35">
      <c r="X15946" s="8"/>
    </row>
    <row r="15947" spans="24:24" x14ac:dyDescent="0.35">
      <c r="X15947" s="8"/>
    </row>
    <row r="15948" spans="24:24" x14ac:dyDescent="0.35">
      <c r="X15948" s="8"/>
    </row>
    <row r="15949" spans="24:24" x14ac:dyDescent="0.35">
      <c r="X15949" s="8"/>
    </row>
    <row r="15950" spans="24:24" x14ac:dyDescent="0.35">
      <c r="X15950" s="8"/>
    </row>
    <row r="15951" spans="24:24" x14ac:dyDescent="0.35">
      <c r="X15951" s="8"/>
    </row>
    <row r="15952" spans="24:24" x14ac:dyDescent="0.35">
      <c r="X15952" s="8"/>
    </row>
    <row r="15953" spans="24:24" x14ac:dyDescent="0.35">
      <c r="X15953" s="8"/>
    </row>
    <row r="15954" spans="24:24" x14ac:dyDescent="0.35">
      <c r="X15954" s="8"/>
    </row>
    <row r="15955" spans="24:24" x14ac:dyDescent="0.35">
      <c r="X15955" s="8"/>
    </row>
    <row r="15956" spans="24:24" x14ac:dyDescent="0.35">
      <c r="X15956" s="8"/>
    </row>
    <row r="15957" spans="24:24" x14ac:dyDescent="0.35">
      <c r="X15957" s="8"/>
    </row>
    <row r="15958" spans="24:24" x14ac:dyDescent="0.35">
      <c r="X15958" s="8"/>
    </row>
    <row r="15959" spans="24:24" x14ac:dyDescent="0.35">
      <c r="X15959" s="8"/>
    </row>
    <row r="15960" spans="24:24" x14ac:dyDescent="0.35">
      <c r="X15960" s="8"/>
    </row>
    <row r="15961" spans="24:24" x14ac:dyDescent="0.35">
      <c r="X15961" s="8"/>
    </row>
    <row r="15962" spans="24:24" x14ac:dyDescent="0.35">
      <c r="X15962" s="8"/>
    </row>
    <row r="15963" spans="24:24" x14ac:dyDescent="0.35">
      <c r="X15963" s="8"/>
    </row>
    <row r="15964" spans="24:24" x14ac:dyDescent="0.35">
      <c r="X15964" s="8"/>
    </row>
    <row r="15965" spans="24:24" x14ac:dyDescent="0.35">
      <c r="X15965" s="8"/>
    </row>
    <row r="15966" spans="24:24" x14ac:dyDescent="0.35">
      <c r="X15966" s="8"/>
    </row>
    <row r="15967" spans="24:24" x14ac:dyDescent="0.35">
      <c r="X15967" s="8"/>
    </row>
    <row r="15968" spans="24:24" x14ac:dyDescent="0.35">
      <c r="X15968" s="8"/>
    </row>
    <row r="15969" spans="24:24" x14ac:dyDescent="0.35">
      <c r="X15969" s="8"/>
    </row>
    <row r="15970" spans="24:24" x14ac:dyDescent="0.35">
      <c r="X15970" s="8"/>
    </row>
    <row r="15971" spans="24:24" x14ac:dyDescent="0.35">
      <c r="X15971" s="8"/>
    </row>
    <row r="15972" spans="24:24" x14ac:dyDescent="0.35">
      <c r="X15972" s="8"/>
    </row>
    <row r="15973" spans="24:24" x14ac:dyDescent="0.35">
      <c r="X15973" s="8"/>
    </row>
    <row r="15974" spans="24:24" x14ac:dyDescent="0.35">
      <c r="X15974" s="8"/>
    </row>
    <row r="15975" spans="24:24" x14ac:dyDescent="0.35">
      <c r="X15975" s="8"/>
    </row>
    <row r="15976" spans="24:24" x14ac:dyDescent="0.35">
      <c r="X15976" s="8"/>
    </row>
    <row r="15977" spans="24:24" x14ac:dyDescent="0.35">
      <c r="X15977" s="8"/>
    </row>
    <row r="15978" spans="24:24" x14ac:dyDescent="0.35">
      <c r="X15978" s="8"/>
    </row>
    <row r="15979" spans="24:24" x14ac:dyDescent="0.35">
      <c r="X15979" s="8"/>
    </row>
    <row r="15980" spans="24:24" x14ac:dyDescent="0.35">
      <c r="X15980" s="8"/>
    </row>
    <row r="15981" spans="24:24" x14ac:dyDescent="0.35">
      <c r="X15981" s="8"/>
    </row>
    <row r="15982" spans="24:24" x14ac:dyDescent="0.35">
      <c r="X15982" s="8"/>
    </row>
    <row r="15983" spans="24:24" x14ac:dyDescent="0.35">
      <c r="X15983" s="8"/>
    </row>
    <row r="15984" spans="24:24" x14ac:dyDescent="0.35">
      <c r="X15984" s="8"/>
    </row>
    <row r="15985" spans="24:24" x14ac:dyDescent="0.35">
      <c r="X15985" s="8"/>
    </row>
    <row r="15986" spans="24:24" x14ac:dyDescent="0.35">
      <c r="X15986" s="8"/>
    </row>
    <row r="15987" spans="24:24" x14ac:dyDescent="0.35">
      <c r="X15987" s="8"/>
    </row>
    <row r="15988" spans="24:24" x14ac:dyDescent="0.35">
      <c r="X15988" s="8"/>
    </row>
    <row r="15989" spans="24:24" x14ac:dyDescent="0.35">
      <c r="X15989" s="8"/>
    </row>
    <row r="15990" spans="24:24" x14ac:dyDescent="0.35">
      <c r="X15990" s="8"/>
    </row>
    <row r="15991" spans="24:24" x14ac:dyDescent="0.35">
      <c r="X15991" s="8"/>
    </row>
    <row r="15992" spans="24:24" x14ac:dyDescent="0.35">
      <c r="X15992" s="8"/>
    </row>
    <row r="15993" spans="24:24" x14ac:dyDescent="0.35">
      <c r="X15993" s="8"/>
    </row>
    <row r="15994" spans="24:24" x14ac:dyDescent="0.35">
      <c r="X15994" s="8"/>
    </row>
    <row r="15995" spans="24:24" x14ac:dyDescent="0.35">
      <c r="X15995" s="8"/>
    </row>
    <row r="15996" spans="24:24" x14ac:dyDescent="0.35">
      <c r="X15996" s="8"/>
    </row>
    <row r="15997" spans="24:24" x14ac:dyDescent="0.35">
      <c r="X15997" s="8"/>
    </row>
    <row r="15998" spans="24:24" x14ac:dyDescent="0.35">
      <c r="X15998" s="8"/>
    </row>
    <row r="15999" spans="24:24" x14ac:dyDescent="0.35">
      <c r="X15999" s="8"/>
    </row>
    <row r="16000" spans="24:24" x14ac:dyDescent="0.35">
      <c r="X16000" s="8"/>
    </row>
    <row r="16001" spans="24:24" x14ac:dyDescent="0.35">
      <c r="X16001" s="8"/>
    </row>
    <row r="16002" spans="24:24" x14ac:dyDescent="0.35">
      <c r="X16002" s="8"/>
    </row>
    <row r="16003" spans="24:24" x14ac:dyDescent="0.35">
      <c r="X16003" s="8"/>
    </row>
    <row r="16004" spans="24:24" x14ac:dyDescent="0.35">
      <c r="X16004" s="8"/>
    </row>
    <row r="16005" spans="24:24" x14ac:dyDescent="0.35">
      <c r="X16005" s="8"/>
    </row>
    <row r="16006" spans="24:24" x14ac:dyDescent="0.35">
      <c r="X16006" s="8"/>
    </row>
    <row r="16007" spans="24:24" x14ac:dyDescent="0.35">
      <c r="X16007" s="8"/>
    </row>
    <row r="16008" spans="24:24" x14ac:dyDescent="0.35">
      <c r="X16008" s="8"/>
    </row>
    <row r="16009" spans="24:24" x14ac:dyDescent="0.35">
      <c r="X16009" s="8"/>
    </row>
    <row r="16010" spans="24:24" x14ac:dyDescent="0.35">
      <c r="X16010" s="8"/>
    </row>
    <row r="16011" spans="24:24" x14ac:dyDescent="0.35">
      <c r="X16011" s="8"/>
    </row>
    <row r="16012" spans="24:24" x14ac:dyDescent="0.35">
      <c r="X16012" s="8"/>
    </row>
    <row r="16013" spans="24:24" x14ac:dyDescent="0.35">
      <c r="X16013" s="8"/>
    </row>
    <row r="16014" spans="24:24" x14ac:dyDescent="0.35">
      <c r="X16014" s="8"/>
    </row>
    <row r="16015" spans="24:24" x14ac:dyDescent="0.35">
      <c r="X16015" s="8"/>
    </row>
    <row r="16016" spans="24:24" x14ac:dyDescent="0.35">
      <c r="X16016" s="8"/>
    </row>
    <row r="16017" spans="24:24" x14ac:dyDescent="0.35">
      <c r="X16017" s="8"/>
    </row>
    <row r="16018" spans="24:24" x14ac:dyDescent="0.35">
      <c r="X16018" s="8"/>
    </row>
    <row r="16019" spans="24:24" x14ac:dyDescent="0.35">
      <c r="X16019" s="8"/>
    </row>
    <row r="16020" spans="24:24" x14ac:dyDescent="0.35">
      <c r="X16020" s="8"/>
    </row>
    <row r="16021" spans="24:24" x14ac:dyDescent="0.35">
      <c r="X16021" s="8"/>
    </row>
    <row r="16022" spans="24:24" x14ac:dyDescent="0.35">
      <c r="X16022" s="8"/>
    </row>
    <row r="16023" spans="24:24" x14ac:dyDescent="0.35">
      <c r="X16023" s="8"/>
    </row>
    <row r="16024" spans="24:24" x14ac:dyDescent="0.35">
      <c r="X16024" s="8"/>
    </row>
    <row r="16025" spans="24:24" x14ac:dyDescent="0.35">
      <c r="X16025" s="8"/>
    </row>
    <row r="16026" spans="24:24" x14ac:dyDescent="0.35">
      <c r="X16026" s="8"/>
    </row>
    <row r="16027" spans="24:24" x14ac:dyDescent="0.35">
      <c r="X16027" s="8"/>
    </row>
    <row r="16028" spans="24:24" x14ac:dyDescent="0.35">
      <c r="X16028" s="8"/>
    </row>
    <row r="16029" spans="24:24" x14ac:dyDescent="0.35">
      <c r="X16029" s="8"/>
    </row>
    <row r="16030" spans="24:24" x14ac:dyDescent="0.35">
      <c r="X16030" s="8"/>
    </row>
    <row r="16031" spans="24:24" x14ac:dyDescent="0.35">
      <c r="X16031" s="8"/>
    </row>
    <row r="16032" spans="24:24" x14ac:dyDescent="0.35">
      <c r="X16032" s="8"/>
    </row>
    <row r="16033" spans="24:24" x14ac:dyDescent="0.35">
      <c r="X16033" s="8"/>
    </row>
    <row r="16034" spans="24:24" x14ac:dyDescent="0.35">
      <c r="X16034" s="8"/>
    </row>
    <row r="16035" spans="24:24" x14ac:dyDescent="0.35">
      <c r="X16035" s="8"/>
    </row>
    <row r="16036" spans="24:24" x14ac:dyDescent="0.35">
      <c r="X16036" s="8"/>
    </row>
    <row r="16037" spans="24:24" x14ac:dyDescent="0.35">
      <c r="X16037" s="8"/>
    </row>
    <row r="16038" spans="24:24" x14ac:dyDescent="0.35">
      <c r="X16038" s="8"/>
    </row>
    <row r="16039" spans="24:24" x14ac:dyDescent="0.35">
      <c r="X16039" s="8"/>
    </row>
    <row r="16040" spans="24:24" x14ac:dyDescent="0.35">
      <c r="X16040" s="8"/>
    </row>
    <row r="16041" spans="24:24" x14ac:dyDescent="0.35">
      <c r="X16041" s="8"/>
    </row>
    <row r="16042" spans="24:24" x14ac:dyDescent="0.35">
      <c r="X16042" s="8"/>
    </row>
    <row r="16043" spans="24:24" x14ac:dyDescent="0.35">
      <c r="X16043" s="8"/>
    </row>
    <row r="16044" spans="24:24" x14ac:dyDescent="0.35">
      <c r="X16044" s="8"/>
    </row>
    <row r="16045" spans="24:24" x14ac:dyDescent="0.35">
      <c r="X16045" s="8"/>
    </row>
    <row r="16046" spans="24:24" x14ac:dyDescent="0.35">
      <c r="X16046" s="8"/>
    </row>
    <row r="16047" spans="24:24" x14ac:dyDescent="0.35">
      <c r="X16047" s="8"/>
    </row>
    <row r="16048" spans="24:24" x14ac:dyDescent="0.35">
      <c r="X16048" s="8"/>
    </row>
    <row r="16049" spans="24:24" x14ac:dyDescent="0.35">
      <c r="X16049" s="8"/>
    </row>
    <row r="16050" spans="24:24" x14ac:dyDescent="0.35">
      <c r="X16050" s="8"/>
    </row>
    <row r="16051" spans="24:24" x14ac:dyDescent="0.35">
      <c r="X16051" s="8"/>
    </row>
    <row r="16052" spans="24:24" x14ac:dyDescent="0.35">
      <c r="X16052" s="8"/>
    </row>
    <row r="16053" spans="24:24" x14ac:dyDescent="0.35">
      <c r="X16053" s="8"/>
    </row>
    <row r="16054" spans="24:24" x14ac:dyDescent="0.35">
      <c r="X16054" s="8"/>
    </row>
    <row r="16055" spans="24:24" x14ac:dyDescent="0.35">
      <c r="X16055" s="8"/>
    </row>
    <row r="16056" spans="24:24" x14ac:dyDescent="0.35">
      <c r="X16056" s="8"/>
    </row>
    <row r="16057" spans="24:24" x14ac:dyDescent="0.35">
      <c r="X16057" s="8"/>
    </row>
    <row r="16058" spans="24:24" x14ac:dyDescent="0.35">
      <c r="X16058" s="8"/>
    </row>
    <row r="16059" spans="24:24" x14ac:dyDescent="0.35">
      <c r="X16059" s="8"/>
    </row>
    <row r="16060" spans="24:24" x14ac:dyDescent="0.35">
      <c r="X16060" s="8"/>
    </row>
    <row r="16061" spans="24:24" x14ac:dyDescent="0.35">
      <c r="X16061" s="8"/>
    </row>
    <row r="16062" spans="24:24" x14ac:dyDescent="0.35">
      <c r="X16062" s="8"/>
    </row>
    <row r="16063" spans="24:24" x14ac:dyDescent="0.35">
      <c r="X16063" s="8"/>
    </row>
    <row r="16064" spans="24:24" x14ac:dyDescent="0.35">
      <c r="X16064" s="8"/>
    </row>
    <row r="16065" spans="24:24" x14ac:dyDescent="0.35">
      <c r="X16065" s="8"/>
    </row>
    <row r="16066" spans="24:24" x14ac:dyDescent="0.35">
      <c r="X16066" s="8"/>
    </row>
    <row r="16067" spans="24:24" x14ac:dyDescent="0.35">
      <c r="X16067" s="8"/>
    </row>
    <row r="16068" spans="24:24" x14ac:dyDescent="0.35">
      <c r="X16068" s="8"/>
    </row>
    <row r="16069" spans="24:24" x14ac:dyDescent="0.35">
      <c r="X16069" s="8"/>
    </row>
    <row r="16070" spans="24:24" x14ac:dyDescent="0.35">
      <c r="X16070" s="8"/>
    </row>
    <row r="16071" spans="24:24" x14ac:dyDescent="0.35">
      <c r="X16071" s="8"/>
    </row>
    <row r="16072" spans="24:24" x14ac:dyDescent="0.35">
      <c r="X16072" s="8"/>
    </row>
    <row r="16073" spans="24:24" x14ac:dyDescent="0.35">
      <c r="X16073" s="8"/>
    </row>
    <row r="16074" spans="24:24" x14ac:dyDescent="0.35">
      <c r="X16074" s="8"/>
    </row>
    <row r="16075" spans="24:24" x14ac:dyDescent="0.35">
      <c r="X16075" s="8"/>
    </row>
    <row r="16076" spans="24:24" x14ac:dyDescent="0.35">
      <c r="X16076" s="8"/>
    </row>
    <row r="16077" spans="24:24" x14ac:dyDescent="0.35">
      <c r="X16077" s="8"/>
    </row>
    <row r="16078" spans="24:24" x14ac:dyDescent="0.35">
      <c r="X16078" s="8"/>
    </row>
    <row r="16079" spans="24:24" x14ac:dyDescent="0.35">
      <c r="X16079" s="8"/>
    </row>
    <row r="16080" spans="24:24" x14ac:dyDescent="0.35">
      <c r="X16080" s="8"/>
    </row>
    <row r="16081" spans="24:24" x14ac:dyDescent="0.35">
      <c r="X16081" s="8"/>
    </row>
    <row r="16082" spans="24:24" x14ac:dyDescent="0.35">
      <c r="X16082" s="8"/>
    </row>
    <row r="16083" spans="24:24" x14ac:dyDescent="0.35">
      <c r="X16083" s="8"/>
    </row>
    <row r="16084" spans="24:24" x14ac:dyDescent="0.35">
      <c r="X16084" s="8"/>
    </row>
    <row r="16085" spans="24:24" x14ac:dyDescent="0.35">
      <c r="X16085" s="8"/>
    </row>
    <row r="16086" spans="24:24" x14ac:dyDescent="0.35">
      <c r="X16086" s="8"/>
    </row>
    <row r="16087" spans="24:24" x14ac:dyDescent="0.35">
      <c r="X16087" s="8"/>
    </row>
    <row r="16088" spans="24:24" x14ac:dyDescent="0.35">
      <c r="X16088" s="8"/>
    </row>
    <row r="16089" spans="24:24" x14ac:dyDescent="0.35">
      <c r="X16089" s="8"/>
    </row>
    <row r="16090" spans="24:24" x14ac:dyDescent="0.35">
      <c r="X16090" s="8"/>
    </row>
    <row r="16091" spans="24:24" x14ac:dyDescent="0.35">
      <c r="X16091" s="8"/>
    </row>
    <row r="16092" spans="24:24" x14ac:dyDescent="0.35">
      <c r="X16092" s="8"/>
    </row>
    <row r="16093" spans="24:24" x14ac:dyDescent="0.35">
      <c r="X16093" s="8"/>
    </row>
    <row r="16094" spans="24:24" x14ac:dyDescent="0.35">
      <c r="X16094" s="8"/>
    </row>
    <row r="16095" spans="24:24" x14ac:dyDescent="0.35">
      <c r="X16095" s="8"/>
    </row>
    <row r="16096" spans="24:24" x14ac:dyDescent="0.35">
      <c r="X16096" s="8"/>
    </row>
    <row r="16097" spans="24:24" x14ac:dyDescent="0.35">
      <c r="X16097" s="8"/>
    </row>
    <row r="16098" spans="24:24" x14ac:dyDescent="0.35">
      <c r="X16098" s="8"/>
    </row>
    <row r="16099" spans="24:24" x14ac:dyDescent="0.35">
      <c r="X16099" s="8"/>
    </row>
    <row r="16100" spans="24:24" x14ac:dyDescent="0.35">
      <c r="X16100" s="8"/>
    </row>
    <row r="16101" spans="24:24" x14ac:dyDescent="0.35">
      <c r="X16101" s="8"/>
    </row>
    <row r="16102" spans="24:24" x14ac:dyDescent="0.35">
      <c r="X16102" s="8"/>
    </row>
    <row r="16103" spans="24:24" x14ac:dyDescent="0.35">
      <c r="X16103" s="8"/>
    </row>
    <row r="16104" spans="24:24" x14ac:dyDescent="0.35">
      <c r="X16104" s="8"/>
    </row>
    <row r="16105" spans="24:24" x14ac:dyDescent="0.35">
      <c r="X16105" s="8"/>
    </row>
    <row r="16106" spans="24:24" x14ac:dyDescent="0.35">
      <c r="X16106" s="8"/>
    </row>
    <row r="16107" spans="24:24" x14ac:dyDescent="0.35">
      <c r="X16107" s="8"/>
    </row>
    <row r="16108" spans="24:24" x14ac:dyDescent="0.35">
      <c r="X16108" s="8"/>
    </row>
    <row r="16109" spans="24:24" x14ac:dyDescent="0.35">
      <c r="X16109" s="8"/>
    </row>
    <row r="16110" spans="24:24" x14ac:dyDescent="0.35">
      <c r="X16110" s="8"/>
    </row>
    <row r="16111" spans="24:24" x14ac:dyDescent="0.35">
      <c r="X16111" s="8"/>
    </row>
    <row r="16112" spans="24:24" x14ac:dyDescent="0.35">
      <c r="X16112" s="8"/>
    </row>
    <row r="16113" spans="24:24" x14ac:dyDescent="0.35">
      <c r="X16113" s="8"/>
    </row>
    <row r="16114" spans="24:24" x14ac:dyDescent="0.35">
      <c r="X16114" s="8"/>
    </row>
    <row r="16115" spans="24:24" x14ac:dyDescent="0.35">
      <c r="X16115" s="8"/>
    </row>
    <row r="16116" spans="24:24" x14ac:dyDescent="0.35">
      <c r="X16116" s="8"/>
    </row>
    <row r="16117" spans="24:24" x14ac:dyDescent="0.35">
      <c r="X16117" s="8"/>
    </row>
    <row r="16118" spans="24:24" x14ac:dyDescent="0.35">
      <c r="X16118" s="8"/>
    </row>
    <row r="16119" spans="24:24" x14ac:dyDescent="0.35">
      <c r="X16119" s="8"/>
    </row>
    <row r="16120" spans="24:24" x14ac:dyDescent="0.35">
      <c r="X16120" s="8"/>
    </row>
    <row r="16121" spans="24:24" x14ac:dyDescent="0.35">
      <c r="X16121" s="8"/>
    </row>
    <row r="16122" spans="24:24" x14ac:dyDescent="0.35">
      <c r="X16122" s="8"/>
    </row>
    <row r="16123" spans="24:24" x14ac:dyDescent="0.35">
      <c r="X16123" s="8"/>
    </row>
    <row r="16124" spans="24:24" x14ac:dyDescent="0.35">
      <c r="X16124" s="8"/>
    </row>
    <row r="16125" spans="24:24" x14ac:dyDescent="0.35">
      <c r="X16125" s="8"/>
    </row>
    <row r="16126" spans="24:24" x14ac:dyDescent="0.35">
      <c r="X16126" s="8"/>
    </row>
    <row r="16127" spans="24:24" x14ac:dyDescent="0.35">
      <c r="X16127" s="8"/>
    </row>
    <row r="16128" spans="24:24" x14ac:dyDescent="0.35">
      <c r="X16128" s="8"/>
    </row>
    <row r="16129" spans="24:24" x14ac:dyDescent="0.35">
      <c r="X16129" s="8"/>
    </row>
    <row r="16130" spans="24:24" x14ac:dyDescent="0.35">
      <c r="X16130" s="8"/>
    </row>
    <row r="16131" spans="24:24" x14ac:dyDescent="0.35">
      <c r="X16131" s="8"/>
    </row>
    <row r="16132" spans="24:24" x14ac:dyDescent="0.35">
      <c r="X16132" s="8"/>
    </row>
    <row r="16133" spans="24:24" x14ac:dyDescent="0.35">
      <c r="X16133" s="8"/>
    </row>
    <row r="16134" spans="24:24" x14ac:dyDescent="0.35">
      <c r="X16134" s="8"/>
    </row>
    <row r="16135" spans="24:24" x14ac:dyDescent="0.35">
      <c r="X16135" s="8"/>
    </row>
    <row r="16136" spans="24:24" x14ac:dyDescent="0.35">
      <c r="X16136" s="8"/>
    </row>
    <row r="16137" spans="24:24" x14ac:dyDescent="0.35">
      <c r="X16137" s="8"/>
    </row>
    <row r="16138" spans="24:24" x14ac:dyDescent="0.35">
      <c r="X16138" s="8"/>
    </row>
    <row r="16139" spans="24:24" x14ac:dyDescent="0.35">
      <c r="X16139" s="8"/>
    </row>
    <row r="16140" spans="24:24" x14ac:dyDescent="0.35">
      <c r="X16140" s="8"/>
    </row>
    <row r="16141" spans="24:24" x14ac:dyDescent="0.35">
      <c r="X16141" s="8"/>
    </row>
    <row r="16142" spans="24:24" x14ac:dyDescent="0.35">
      <c r="X16142" s="8"/>
    </row>
    <row r="16143" spans="24:24" x14ac:dyDescent="0.35">
      <c r="X16143" s="8"/>
    </row>
    <row r="16144" spans="24:24" x14ac:dyDescent="0.35">
      <c r="X16144" s="8"/>
    </row>
    <row r="16145" spans="24:24" x14ac:dyDescent="0.35">
      <c r="X16145" s="8"/>
    </row>
    <row r="16146" spans="24:24" x14ac:dyDescent="0.35">
      <c r="X16146" s="8"/>
    </row>
    <row r="16147" spans="24:24" x14ac:dyDescent="0.35">
      <c r="X16147" s="8"/>
    </row>
    <row r="16148" spans="24:24" x14ac:dyDescent="0.35">
      <c r="X16148" s="8"/>
    </row>
    <row r="16149" spans="24:24" x14ac:dyDescent="0.35">
      <c r="X16149" s="8"/>
    </row>
    <row r="16150" spans="24:24" x14ac:dyDescent="0.35">
      <c r="X16150" s="8"/>
    </row>
    <row r="16151" spans="24:24" x14ac:dyDescent="0.35">
      <c r="X16151" s="8"/>
    </row>
    <row r="16152" spans="24:24" x14ac:dyDescent="0.35">
      <c r="X16152" s="8"/>
    </row>
    <row r="16153" spans="24:24" x14ac:dyDescent="0.35">
      <c r="X16153" s="8"/>
    </row>
    <row r="16154" spans="24:24" x14ac:dyDescent="0.35">
      <c r="X16154" s="8"/>
    </row>
    <row r="16155" spans="24:24" x14ac:dyDescent="0.35">
      <c r="X16155" s="8"/>
    </row>
    <row r="16156" spans="24:24" x14ac:dyDescent="0.35">
      <c r="X16156" s="8"/>
    </row>
    <row r="16157" spans="24:24" x14ac:dyDescent="0.35">
      <c r="X16157" s="8"/>
    </row>
    <row r="16158" spans="24:24" x14ac:dyDescent="0.35">
      <c r="X16158" s="8"/>
    </row>
    <row r="16159" spans="24:24" x14ac:dyDescent="0.35">
      <c r="X16159" s="8"/>
    </row>
    <row r="16160" spans="24:24" x14ac:dyDescent="0.35">
      <c r="X16160" s="8"/>
    </row>
    <row r="16161" spans="24:24" x14ac:dyDescent="0.35">
      <c r="X16161" s="8"/>
    </row>
    <row r="16162" spans="24:24" x14ac:dyDescent="0.35">
      <c r="X16162" s="8"/>
    </row>
    <row r="16163" spans="24:24" x14ac:dyDescent="0.35">
      <c r="X16163" s="8"/>
    </row>
    <row r="16164" spans="24:24" x14ac:dyDescent="0.35">
      <c r="X16164" s="8"/>
    </row>
    <row r="16165" spans="24:24" x14ac:dyDescent="0.35">
      <c r="X16165" s="8"/>
    </row>
    <row r="16166" spans="24:24" x14ac:dyDescent="0.35">
      <c r="X16166" s="8"/>
    </row>
    <row r="16167" spans="24:24" x14ac:dyDescent="0.35">
      <c r="X16167" s="8"/>
    </row>
    <row r="16168" spans="24:24" x14ac:dyDescent="0.35">
      <c r="X16168" s="8"/>
    </row>
    <row r="16169" spans="24:24" x14ac:dyDescent="0.35">
      <c r="X16169" s="8"/>
    </row>
    <row r="16170" spans="24:24" x14ac:dyDescent="0.35">
      <c r="X16170" s="8"/>
    </row>
    <row r="16171" spans="24:24" x14ac:dyDescent="0.35">
      <c r="X16171" s="8"/>
    </row>
    <row r="16172" spans="24:24" x14ac:dyDescent="0.35">
      <c r="X16172" s="8"/>
    </row>
    <row r="16173" spans="24:24" x14ac:dyDescent="0.35">
      <c r="X16173" s="8"/>
    </row>
    <row r="16174" spans="24:24" x14ac:dyDescent="0.35">
      <c r="X16174" s="8"/>
    </row>
    <row r="16175" spans="24:24" x14ac:dyDescent="0.35">
      <c r="X16175" s="8"/>
    </row>
    <row r="16176" spans="24:24" x14ac:dyDescent="0.35">
      <c r="X16176" s="8"/>
    </row>
    <row r="16177" spans="24:24" x14ac:dyDescent="0.35">
      <c r="X16177" s="8"/>
    </row>
    <row r="16178" spans="24:24" x14ac:dyDescent="0.35">
      <c r="X16178" s="8"/>
    </row>
    <row r="16179" spans="24:24" x14ac:dyDescent="0.35">
      <c r="X16179" s="8"/>
    </row>
    <row r="16180" spans="24:24" x14ac:dyDescent="0.35">
      <c r="X16180" s="8"/>
    </row>
    <row r="16181" spans="24:24" x14ac:dyDescent="0.35">
      <c r="X16181" s="8"/>
    </row>
    <row r="16182" spans="24:24" x14ac:dyDescent="0.35">
      <c r="X16182" s="8"/>
    </row>
    <row r="16183" spans="24:24" x14ac:dyDescent="0.35">
      <c r="X16183" s="8"/>
    </row>
    <row r="16184" spans="24:24" x14ac:dyDescent="0.35">
      <c r="X16184" s="8"/>
    </row>
    <row r="16185" spans="24:24" x14ac:dyDescent="0.35">
      <c r="X16185" s="8"/>
    </row>
    <row r="16186" spans="24:24" x14ac:dyDescent="0.35">
      <c r="X16186" s="8"/>
    </row>
    <row r="16187" spans="24:24" x14ac:dyDescent="0.35">
      <c r="X16187" s="8"/>
    </row>
    <row r="16188" spans="24:24" x14ac:dyDescent="0.35">
      <c r="X16188" s="8"/>
    </row>
    <row r="16189" spans="24:24" x14ac:dyDescent="0.35">
      <c r="X16189" s="8"/>
    </row>
    <row r="16190" spans="24:24" x14ac:dyDescent="0.35">
      <c r="X16190" s="8"/>
    </row>
    <row r="16191" spans="24:24" x14ac:dyDescent="0.35">
      <c r="X16191" s="8"/>
    </row>
    <row r="16192" spans="24:24" x14ac:dyDescent="0.35">
      <c r="X16192" s="8"/>
    </row>
    <row r="16193" spans="24:24" x14ac:dyDescent="0.35">
      <c r="X16193" s="8"/>
    </row>
    <row r="16194" spans="24:24" x14ac:dyDescent="0.35">
      <c r="X16194" s="8"/>
    </row>
    <row r="16195" spans="24:24" x14ac:dyDescent="0.35">
      <c r="X16195" s="8"/>
    </row>
    <row r="16196" spans="24:24" x14ac:dyDescent="0.35">
      <c r="X16196" s="8"/>
    </row>
    <row r="16197" spans="24:24" x14ac:dyDescent="0.35">
      <c r="X16197" s="8"/>
    </row>
    <row r="16198" spans="24:24" x14ac:dyDescent="0.35">
      <c r="X16198" s="8"/>
    </row>
    <row r="16199" spans="24:24" x14ac:dyDescent="0.35">
      <c r="X16199" s="8"/>
    </row>
    <row r="16200" spans="24:24" x14ac:dyDescent="0.35">
      <c r="X16200" s="8"/>
    </row>
    <row r="16201" spans="24:24" x14ac:dyDescent="0.35">
      <c r="X16201" s="8"/>
    </row>
    <row r="16202" spans="24:24" x14ac:dyDescent="0.35">
      <c r="X16202" s="8"/>
    </row>
    <row r="16203" spans="24:24" x14ac:dyDescent="0.35">
      <c r="X16203" s="8"/>
    </row>
    <row r="16204" spans="24:24" x14ac:dyDescent="0.35">
      <c r="X16204" s="8"/>
    </row>
    <row r="16205" spans="24:24" x14ac:dyDescent="0.35">
      <c r="X16205" s="8"/>
    </row>
    <row r="16206" spans="24:24" x14ac:dyDescent="0.35">
      <c r="X16206" s="8"/>
    </row>
    <row r="16207" spans="24:24" x14ac:dyDescent="0.35">
      <c r="X16207" s="8"/>
    </row>
    <row r="16208" spans="24:24" x14ac:dyDescent="0.35">
      <c r="X16208" s="8"/>
    </row>
    <row r="16209" spans="24:24" x14ac:dyDescent="0.35">
      <c r="X16209" s="8"/>
    </row>
    <row r="16210" spans="24:24" x14ac:dyDescent="0.35">
      <c r="X16210" s="8"/>
    </row>
    <row r="16211" spans="24:24" x14ac:dyDescent="0.35">
      <c r="X16211" s="8"/>
    </row>
    <row r="16212" spans="24:24" x14ac:dyDescent="0.35">
      <c r="X16212" s="8"/>
    </row>
    <row r="16213" spans="24:24" x14ac:dyDescent="0.35">
      <c r="X16213" s="8"/>
    </row>
    <row r="16214" spans="24:24" x14ac:dyDescent="0.35">
      <c r="X16214" s="8"/>
    </row>
    <row r="16215" spans="24:24" x14ac:dyDescent="0.35">
      <c r="X16215" s="8"/>
    </row>
    <row r="16216" spans="24:24" x14ac:dyDescent="0.35">
      <c r="X16216" s="8"/>
    </row>
    <row r="16217" spans="24:24" x14ac:dyDescent="0.35">
      <c r="X16217" s="8"/>
    </row>
    <row r="16218" spans="24:24" x14ac:dyDescent="0.35">
      <c r="X16218" s="8"/>
    </row>
    <row r="16219" spans="24:24" x14ac:dyDescent="0.35">
      <c r="X16219" s="8"/>
    </row>
    <row r="16220" spans="24:24" x14ac:dyDescent="0.35">
      <c r="X16220" s="8"/>
    </row>
    <row r="16221" spans="24:24" x14ac:dyDescent="0.35">
      <c r="X16221" s="8"/>
    </row>
    <row r="16222" spans="24:24" x14ac:dyDescent="0.35">
      <c r="X16222" s="8"/>
    </row>
    <row r="16223" spans="24:24" x14ac:dyDescent="0.35">
      <c r="X16223" s="8"/>
    </row>
    <row r="16224" spans="24:24" x14ac:dyDescent="0.35">
      <c r="X16224" s="8"/>
    </row>
    <row r="16225" spans="24:24" x14ac:dyDescent="0.35">
      <c r="X16225" s="8"/>
    </row>
    <row r="16226" spans="24:24" x14ac:dyDescent="0.35">
      <c r="X16226" s="8"/>
    </row>
    <row r="16227" spans="24:24" x14ac:dyDescent="0.35">
      <c r="X16227" s="8"/>
    </row>
    <row r="16228" spans="24:24" x14ac:dyDescent="0.35">
      <c r="X16228" s="8"/>
    </row>
    <row r="16229" spans="24:24" x14ac:dyDescent="0.35">
      <c r="X16229" s="8"/>
    </row>
    <row r="16230" spans="24:24" x14ac:dyDescent="0.35">
      <c r="X16230" s="8"/>
    </row>
    <row r="16231" spans="24:24" x14ac:dyDescent="0.35">
      <c r="X16231" s="8"/>
    </row>
    <row r="16232" spans="24:24" x14ac:dyDescent="0.35">
      <c r="X16232" s="8"/>
    </row>
    <row r="16233" spans="24:24" x14ac:dyDescent="0.35">
      <c r="X16233" s="8"/>
    </row>
    <row r="16234" spans="24:24" x14ac:dyDescent="0.35">
      <c r="X16234" s="8"/>
    </row>
    <row r="16235" spans="24:24" x14ac:dyDescent="0.35">
      <c r="X16235" s="8"/>
    </row>
    <row r="16236" spans="24:24" x14ac:dyDescent="0.35">
      <c r="X16236" s="8"/>
    </row>
    <row r="16237" spans="24:24" x14ac:dyDescent="0.35">
      <c r="X16237" s="8"/>
    </row>
    <row r="16238" spans="24:24" x14ac:dyDescent="0.35">
      <c r="X16238" s="8"/>
    </row>
    <row r="16239" spans="24:24" x14ac:dyDescent="0.35">
      <c r="X16239" s="8"/>
    </row>
    <row r="16240" spans="24:24" x14ac:dyDescent="0.35">
      <c r="X16240" s="8"/>
    </row>
    <row r="16241" spans="24:24" x14ac:dyDescent="0.35">
      <c r="X16241" s="8"/>
    </row>
    <row r="16242" spans="24:24" x14ac:dyDescent="0.35">
      <c r="X16242" s="8"/>
    </row>
    <row r="16243" spans="24:24" x14ac:dyDescent="0.35">
      <c r="X16243" s="8"/>
    </row>
    <row r="16244" spans="24:24" x14ac:dyDescent="0.35">
      <c r="X16244" s="8"/>
    </row>
    <row r="16245" spans="24:24" x14ac:dyDescent="0.35">
      <c r="X16245" s="8"/>
    </row>
    <row r="16246" spans="24:24" x14ac:dyDescent="0.35">
      <c r="X16246" s="8"/>
    </row>
    <row r="16247" spans="24:24" x14ac:dyDescent="0.35">
      <c r="X16247" s="8"/>
    </row>
    <row r="16248" spans="24:24" x14ac:dyDescent="0.35">
      <c r="X16248" s="8"/>
    </row>
    <row r="16249" spans="24:24" x14ac:dyDescent="0.35">
      <c r="X16249" s="8"/>
    </row>
    <row r="16250" spans="24:24" x14ac:dyDescent="0.35">
      <c r="X16250" s="8"/>
    </row>
    <row r="16251" spans="24:24" x14ac:dyDescent="0.35">
      <c r="X16251" s="8"/>
    </row>
    <row r="16252" spans="24:24" x14ac:dyDescent="0.35">
      <c r="X16252" s="8"/>
    </row>
    <row r="16253" spans="24:24" x14ac:dyDescent="0.35">
      <c r="X16253" s="8"/>
    </row>
    <row r="16254" spans="24:24" x14ac:dyDescent="0.35">
      <c r="X16254" s="8"/>
    </row>
    <row r="16255" spans="24:24" x14ac:dyDescent="0.35">
      <c r="X16255" s="8"/>
    </row>
    <row r="16256" spans="24:24" x14ac:dyDescent="0.35">
      <c r="X16256" s="8"/>
    </row>
    <row r="16257" spans="24:24" x14ac:dyDescent="0.35">
      <c r="X16257" s="8"/>
    </row>
    <row r="16258" spans="24:24" x14ac:dyDescent="0.35">
      <c r="X16258" s="8"/>
    </row>
    <row r="16259" spans="24:24" x14ac:dyDescent="0.35">
      <c r="X16259" s="8"/>
    </row>
    <row r="16260" spans="24:24" x14ac:dyDescent="0.35">
      <c r="X16260" s="8"/>
    </row>
    <row r="16261" spans="24:24" x14ac:dyDescent="0.35">
      <c r="X16261" s="8"/>
    </row>
    <row r="16262" spans="24:24" x14ac:dyDescent="0.35">
      <c r="X16262" s="8"/>
    </row>
    <row r="16263" spans="24:24" x14ac:dyDescent="0.35">
      <c r="X16263" s="8"/>
    </row>
    <row r="16264" spans="24:24" x14ac:dyDescent="0.35">
      <c r="X16264" s="8"/>
    </row>
    <row r="16265" spans="24:24" x14ac:dyDescent="0.35">
      <c r="X16265" s="8"/>
    </row>
    <row r="16266" spans="24:24" x14ac:dyDescent="0.35">
      <c r="X16266" s="8"/>
    </row>
    <row r="16267" spans="24:24" x14ac:dyDescent="0.35">
      <c r="X16267" s="8"/>
    </row>
    <row r="16268" spans="24:24" x14ac:dyDescent="0.35">
      <c r="X16268" s="8"/>
    </row>
    <row r="16269" spans="24:24" x14ac:dyDescent="0.35">
      <c r="X16269" s="8"/>
    </row>
    <row r="16270" spans="24:24" x14ac:dyDescent="0.35">
      <c r="X16270" s="8"/>
    </row>
    <row r="16271" spans="24:24" x14ac:dyDescent="0.35">
      <c r="X16271" s="8"/>
    </row>
    <row r="16272" spans="24:24" x14ac:dyDescent="0.35">
      <c r="X16272" s="8"/>
    </row>
    <row r="16273" spans="24:24" x14ac:dyDescent="0.35">
      <c r="X16273" s="8"/>
    </row>
    <row r="16274" spans="24:24" x14ac:dyDescent="0.35">
      <c r="X16274" s="8"/>
    </row>
    <row r="16275" spans="24:24" x14ac:dyDescent="0.35">
      <c r="X16275" s="8"/>
    </row>
    <row r="16276" spans="24:24" x14ac:dyDescent="0.35">
      <c r="X16276" s="8"/>
    </row>
    <row r="16277" spans="24:24" x14ac:dyDescent="0.35">
      <c r="X16277" s="8"/>
    </row>
    <row r="16278" spans="24:24" x14ac:dyDescent="0.35">
      <c r="X16278" s="8"/>
    </row>
    <row r="16279" spans="24:24" x14ac:dyDescent="0.35">
      <c r="X16279" s="8"/>
    </row>
    <row r="16280" spans="24:24" x14ac:dyDescent="0.35">
      <c r="X16280" s="8"/>
    </row>
    <row r="16281" spans="24:24" x14ac:dyDescent="0.35">
      <c r="X16281" s="8"/>
    </row>
    <row r="16282" spans="24:24" x14ac:dyDescent="0.35">
      <c r="X16282" s="8"/>
    </row>
    <row r="16283" spans="24:24" x14ac:dyDescent="0.35">
      <c r="X16283" s="8"/>
    </row>
    <row r="16284" spans="24:24" x14ac:dyDescent="0.35">
      <c r="X16284" s="8"/>
    </row>
    <row r="16285" spans="24:24" x14ac:dyDescent="0.35">
      <c r="X16285" s="8"/>
    </row>
    <row r="16286" spans="24:24" x14ac:dyDescent="0.35">
      <c r="X16286" s="8"/>
    </row>
    <row r="16287" spans="24:24" x14ac:dyDescent="0.35">
      <c r="X16287" s="8"/>
    </row>
    <row r="16288" spans="24:24" x14ac:dyDescent="0.35">
      <c r="X16288" s="8"/>
    </row>
    <row r="16289" spans="24:24" x14ac:dyDescent="0.35">
      <c r="X16289" s="8"/>
    </row>
    <row r="16290" spans="24:24" x14ac:dyDescent="0.35">
      <c r="X16290" s="8"/>
    </row>
    <row r="16291" spans="24:24" x14ac:dyDescent="0.35">
      <c r="X16291" s="8"/>
    </row>
    <row r="16292" spans="24:24" x14ac:dyDescent="0.35">
      <c r="X16292" s="8"/>
    </row>
    <row r="16293" spans="24:24" x14ac:dyDescent="0.35">
      <c r="X16293" s="8"/>
    </row>
    <row r="16294" spans="24:24" x14ac:dyDescent="0.35">
      <c r="X16294" s="8"/>
    </row>
    <row r="16295" spans="24:24" x14ac:dyDescent="0.35">
      <c r="X16295" s="8"/>
    </row>
    <row r="16296" spans="24:24" x14ac:dyDescent="0.35">
      <c r="X16296" s="8"/>
    </row>
    <row r="16297" spans="24:24" x14ac:dyDescent="0.35">
      <c r="X16297" s="8"/>
    </row>
    <row r="16298" spans="24:24" x14ac:dyDescent="0.35">
      <c r="X16298" s="8"/>
    </row>
    <row r="16299" spans="24:24" x14ac:dyDescent="0.35">
      <c r="X16299" s="8"/>
    </row>
    <row r="16300" spans="24:24" x14ac:dyDescent="0.35">
      <c r="X16300" s="8"/>
    </row>
    <row r="16301" spans="24:24" x14ac:dyDescent="0.35">
      <c r="X16301" s="8"/>
    </row>
    <row r="16302" spans="24:24" x14ac:dyDescent="0.35">
      <c r="X16302" s="8"/>
    </row>
    <row r="16303" spans="24:24" x14ac:dyDescent="0.35">
      <c r="X16303" s="8"/>
    </row>
    <row r="16304" spans="24:24" x14ac:dyDescent="0.35">
      <c r="X16304" s="8"/>
    </row>
    <row r="16305" spans="24:24" x14ac:dyDescent="0.35">
      <c r="X16305" s="8"/>
    </row>
    <row r="16306" spans="24:24" x14ac:dyDescent="0.35">
      <c r="X16306" s="8"/>
    </row>
    <row r="16307" spans="24:24" x14ac:dyDescent="0.35">
      <c r="X16307" s="8"/>
    </row>
    <row r="16308" spans="24:24" x14ac:dyDescent="0.35">
      <c r="X16308" s="8"/>
    </row>
    <row r="16309" spans="24:24" x14ac:dyDescent="0.35">
      <c r="X16309" s="8"/>
    </row>
    <row r="16310" spans="24:24" x14ac:dyDescent="0.35">
      <c r="X16310" s="8"/>
    </row>
    <row r="16311" spans="24:24" x14ac:dyDescent="0.35">
      <c r="X16311" s="8"/>
    </row>
    <row r="16312" spans="24:24" x14ac:dyDescent="0.35">
      <c r="X16312" s="8"/>
    </row>
    <row r="16313" spans="24:24" x14ac:dyDescent="0.35">
      <c r="X16313" s="8"/>
    </row>
    <row r="16314" spans="24:24" x14ac:dyDescent="0.35">
      <c r="X16314" s="8"/>
    </row>
    <row r="16315" spans="24:24" x14ac:dyDescent="0.35">
      <c r="X16315" s="8"/>
    </row>
    <row r="16316" spans="24:24" x14ac:dyDescent="0.35">
      <c r="X16316" s="8"/>
    </row>
    <row r="16317" spans="24:24" x14ac:dyDescent="0.35">
      <c r="X16317" s="8"/>
    </row>
    <row r="16318" spans="24:24" x14ac:dyDescent="0.35">
      <c r="X16318" s="8"/>
    </row>
    <row r="16319" spans="24:24" x14ac:dyDescent="0.35">
      <c r="X16319" s="8"/>
    </row>
    <row r="16320" spans="24:24" x14ac:dyDescent="0.35">
      <c r="X16320" s="8"/>
    </row>
    <row r="16321" spans="24:24" x14ac:dyDescent="0.35">
      <c r="X16321" s="8"/>
    </row>
    <row r="16322" spans="24:24" x14ac:dyDescent="0.35">
      <c r="X16322" s="8"/>
    </row>
    <row r="16323" spans="24:24" x14ac:dyDescent="0.35">
      <c r="X16323" s="8"/>
    </row>
    <row r="16324" spans="24:24" x14ac:dyDescent="0.35">
      <c r="X16324" s="8"/>
    </row>
    <row r="16325" spans="24:24" x14ac:dyDescent="0.35">
      <c r="X16325" s="8"/>
    </row>
    <row r="16326" spans="24:24" x14ac:dyDescent="0.35">
      <c r="X16326" s="8"/>
    </row>
    <row r="16327" spans="24:24" x14ac:dyDescent="0.35">
      <c r="X16327" s="8"/>
    </row>
    <row r="16328" spans="24:24" x14ac:dyDescent="0.35">
      <c r="X16328" s="8"/>
    </row>
    <row r="16329" spans="24:24" x14ac:dyDescent="0.35">
      <c r="X16329" s="8"/>
    </row>
    <row r="16330" spans="24:24" x14ac:dyDescent="0.35">
      <c r="X16330" s="8"/>
    </row>
    <row r="16331" spans="24:24" x14ac:dyDescent="0.35">
      <c r="X16331" s="8"/>
    </row>
    <row r="16332" spans="24:24" x14ac:dyDescent="0.35">
      <c r="X16332" s="8"/>
    </row>
    <row r="16333" spans="24:24" x14ac:dyDescent="0.35">
      <c r="X16333" s="8"/>
    </row>
    <row r="16334" spans="24:24" x14ac:dyDescent="0.35">
      <c r="X16334" s="8"/>
    </row>
    <row r="16335" spans="24:24" x14ac:dyDescent="0.35">
      <c r="X16335" s="8"/>
    </row>
    <row r="16336" spans="24:24" x14ac:dyDescent="0.35">
      <c r="X16336" s="8"/>
    </row>
    <row r="16337" spans="24:24" x14ac:dyDescent="0.35">
      <c r="X16337" s="8"/>
    </row>
    <row r="16338" spans="24:24" x14ac:dyDescent="0.35">
      <c r="X16338" s="8"/>
    </row>
    <row r="16339" spans="24:24" x14ac:dyDescent="0.35">
      <c r="X16339" s="8"/>
    </row>
    <row r="16340" spans="24:24" x14ac:dyDescent="0.35">
      <c r="X16340" s="8"/>
    </row>
    <row r="16341" spans="24:24" x14ac:dyDescent="0.35">
      <c r="X16341" s="8"/>
    </row>
    <row r="16342" spans="24:24" x14ac:dyDescent="0.35">
      <c r="X16342" s="8"/>
    </row>
    <row r="16343" spans="24:24" x14ac:dyDescent="0.35">
      <c r="X16343" s="8"/>
    </row>
    <row r="16344" spans="24:24" x14ac:dyDescent="0.35">
      <c r="X16344" s="8"/>
    </row>
    <row r="16345" spans="24:24" x14ac:dyDescent="0.35">
      <c r="X16345" s="8"/>
    </row>
    <row r="16346" spans="24:24" x14ac:dyDescent="0.35">
      <c r="X16346" s="8"/>
    </row>
    <row r="16347" spans="24:24" x14ac:dyDescent="0.35">
      <c r="X16347" s="8"/>
    </row>
    <row r="16348" spans="24:24" x14ac:dyDescent="0.35">
      <c r="X16348" s="8"/>
    </row>
    <row r="16349" spans="24:24" x14ac:dyDescent="0.35">
      <c r="X16349" s="8"/>
    </row>
    <row r="16350" spans="24:24" x14ac:dyDescent="0.35">
      <c r="X16350" s="8"/>
    </row>
    <row r="16351" spans="24:24" x14ac:dyDescent="0.35">
      <c r="X16351" s="8"/>
    </row>
    <row r="16352" spans="24:24" x14ac:dyDescent="0.35">
      <c r="X16352" s="8"/>
    </row>
    <row r="16353" spans="24:24" x14ac:dyDescent="0.35">
      <c r="X16353" s="8"/>
    </row>
    <row r="16354" spans="24:24" x14ac:dyDescent="0.35">
      <c r="X16354" s="8"/>
    </row>
    <row r="16355" spans="24:24" x14ac:dyDescent="0.35">
      <c r="X16355" s="8"/>
    </row>
    <row r="16356" spans="24:24" x14ac:dyDescent="0.35">
      <c r="X16356" s="8"/>
    </row>
    <row r="16357" spans="24:24" x14ac:dyDescent="0.35">
      <c r="X16357" s="8"/>
    </row>
    <row r="16358" spans="24:24" x14ac:dyDescent="0.35">
      <c r="X16358" s="8"/>
    </row>
    <row r="16359" spans="24:24" x14ac:dyDescent="0.35">
      <c r="X16359" s="8"/>
    </row>
    <row r="16360" spans="24:24" x14ac:dyDescent="0.35">
      <c r="X16360" s="8"/>
    </row>
    <row r="16361" spans="24:24" x14ac:dyDescent="0.35">
      <c r="X16361" s="8"/>
    </row>
    <row r="16362" spans="24:24" x14ac:dyDescent="0.35">
      <c r="X16362" s="8"/>
    </row>
    <row r="16363" spans="24:24" x14ac:dyDescent="0.35">
      <c r="X16363" s="8"/>
    </row>
    <row r="16364" spans="24:24" x14ac:dyDescent="0.35">
      <c r="X16364" s="8"/>
    </row>
    <row r="16365" spans="24:24" x14ac:dyDescent="0.35">
      <c r="X16365" s="8"/>
    </row>
    <row r="16366" spans="24:24" x14ac:dyDescent="0.35">
      <c r="X16366" s="8"/>
    </row>
    <row r="16367" spans="24:24" x14ac:dyDescent="0.35">
      <c r="X16367" s="8"/>
    </row>
    <row r="16368" spans="24:24" x14ac:dyDescent="0.35">
      <c r="X16368" s="8"/>
    </row>
    <row r="16369" spans="24:24" x14ac:dyDescent="0.35">
      <c r="X16369" s="8"/>
    </row>
    <row r="16370" spans="24:24" x14ac:dyDescent="0.35">
      <c r="X16370" s="8"/>
    </row>
    <row r="16371" spans="24:24" x14ac:dyDescent="0.35">
      <c r="X16371" s="8"/>
    </row>
    <row r="16372" spans="24:24" x14ac:dyDescent="0.35">
      <c r="X16372" s="8"/>
    </row>
    <row r="16373" spans="24:24" x14ac:dyDescent="0.35">
      <c r="X16373" s="8"/>
    </row>
    <row r="16374" spans="24:24" x14ac:dyDescent="0.35">
      <c r="X16374" s="8"/>
    </row>
    <row r="16375" spans="24:24" x14ac:dyDescent="0.35">
      <c r="X16375" s="8"/>
    </row>
    <row r="16376" spans="24:24" x14ac:dyDescent="0.35">
      <c r="X16376" s="8"/>
    </row>
    <row r="16377" spans="24:24" x14ac:dyDescent="0.35">
      <c r="X16377" s="8"/>
    </row>
    <row r="16378" spans="24:24" x14ac:dyDescent="0.35">
      <c r="X16378" s="8"/>
    </row>
    <row r="16379" spans="24:24" x14ac:dyDescent="0.35">
      <c r="X16379" s="8"/>
    </row>
    <row r="16380" spans="24:24" x14ac:dyDescent="0.35">
      <c r="X16380" s="8"/>
    </row>
    <row r="16381" spans="24:24" x14ac:dyDescent="0.35">
      <c r="X16381" s="8"/>
    </row>
    <row r="16382" spans="24:24" x14ac:dyDescent="0.35">
      <c r="X16382" s="8"/>
    </row>
    <row r="16383" spans="24:24" x14ac:dyDescent="0.35">
      <c r="X16383" s="8"/>
    </row>
    <row r="16384" spans="24:24" x14ac:dyDescent="0.35">
      <c r="X16384" s="8"/>
    </row>
  </sheetData>
  <dataValidations count="4">
    <dataValidation type="list" allowBlank="1" showInputMessage="1" showErrorMessage="1" sqref="V45" xr:uid="{0C288C0F-5301-418B-B711-D43EAD90AADB}">
      <formula1>"TXT,CNT,CLK,COM"</formula1>
    </dataValidation>
    <dataValidation type="list" allowBlank="1" showInputMessage="1" showErrorMessage="1" sqref="V30 V27" xr:uid="{C8CDBEF0-0A4B-4298-AFBD-3F41CC9DF99B}">
      <formula1>"X,'"</formula1>
    </dataValidation>
    <dataValidation type="custom" allowBlank="1" showInputMessage="1" showErrorMessage="1" error="Defaulted to value &quot;01&quot;" sqref="Z6" xr:uid="{33E018AE-CAB2-4B8A-A8B8-E6E18CA54794}">
      <formula1>Z$5="01"</formula1>
    </dataValidation>
    <dataValidation type="custom" allowBlank="1" showInputMessage="1" showErrorMessage="1" error="Defaulted to value &quot;03&quot;" sqref="Z5" xr:uid="{B27678C1-939D-43E7-9E62-BD4C64640B7B}">
      <formula1>Z$5="03"</formula1>
    </dataValidation>
  </dataValidations>
  <pageMargins left="0.7" right="0.7" top="0.75" bottom="0.75" header="0.3" footer="0.3"/>
  <pageSetup orientation="portrait" horizontalDpi="300" verticalDpi="300" r:id="rId1"/>
  <headerFooter>
    <oddFooter>&amp;L&amp;1#&amp;"Calibri"&amp;10&amp;K000000Classification: Internal</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E05B-DF9F-46E5-82EE-5608CC28502E}">
  <sheetPr codeName="Sheet2">
    <tabColor theme="9"/>
  </sheetPr>
  <dimension ref="B1:B76"/>
  <sheetViews>
    <sheetView topLeftCell="A24" zoomScale="85" zoomScaleNormal="85" workbookViewId="0">
      <selection activeCell="B73" sqref="B73"/>
    </sheetView>
  </sheetViews>
  <sheetFormatPr defaultRowHeight="14.5" x14ac:dyDescent="0.35"/>
  <cols>
    <col min="2" max="2" width="68.81640625" bestFit="1" customWidth="1"/>
  </cols>
  <sheetData>
    <row r="1" spans="2:2" ht="15.5" x14ac:dyDescent="0.35">
      <c r="B1" s="1" t="s">
        <v>0</v>
      </c>
    </row>
    <row r="2" spans="2:2" x14ac:dyDescent="0.35">
      <c r="B2" t="s">
        <v>1</v>
      </c>
    </row>
    <row r="3" spans="2:2" x14ac:dyDescent="0.35">
      <c r="B3" t="s">
        <v>2</v>
      </c>
    </row>
    <row r="4" spans="2:2" x14ac:dyDescent="0.35">
      <c r="B4" s="18" t="s">
        <v>3</v>
      </c>
    </row>
    <row r="6" spans="2:2" x14ac:dyDescent="0.35">
      <c r="B6" s="2" t="s">
        <v>4</v>
      </c>
    </row>
    <row r="30" spans="2:2" x14ac:dyDescent="0.35">
      <c r="B30" s="2" t="s">
        <v>5</v>
      </c>
    </row>
    <row r="31" spans="2:2" x14ac:dyDescent="0.35">
      <c r="B31" t="s">
        <v>6</v>
      </c>
    </row>
    <row r="32" spans="2:2" x14ac:dyDescent="0.35">
      <c r="B32" t="s">
        <v>7</v>
      </c>
    </row>
    <row r="33" spans="2:2" ht="29" x14ac:dyDescent="0.35">
      <c r="B33" s="3" t="s">
        <v>8</v>
      </c>
    </row>
    <row r="34" spans="2:2" ht="29" x14ac:dyDescent="0.35">
      <c r="B34" s="3" t="s">
        <v>9</v>
      </c>
    </row>
    <row r="35" spans="2:2" x14ac:dyDescent="0.35">
      <c r="B35" t="s">
        <v>10</v>
      </c>
    </row>
    <row r="36" spans="2:2" x14ac:dyDescent="0.35">
      <c r="B36" t="s">
        <v>11</v>
      </c>
    </row>
    <row r="39" spans="2:2" x14ac:dyDescent="0.35">
      <c r="B39" s="2" t="s">
        <v>12</v>
      </c>
    </row>
    <row r="40" spans="2:2" ht="43.5" x14ac:dyDescent="0.35">
      <c r="B40" s="3" t="s">
        <v>13</v>
      </c>
    </row>
    <row r="58" spans="2:2" x14ac:dyDescent="0.35">
      <c r="B58" s="2" t="s">
        <v>14</v>
      </c>
    </row>
    <row r="70" spans="2:2" x14ac:dyDescent="0.35">
      <c r="B70" s="17" t="s">
        <v>15</v>
      </c>
    </row>
    <row r="71" spans="2:2" x14ac:dyDescent="0.35">
      <c r="B71" s="14" t="s">
        <v>16</v>
      </c>
    </row>
    <row r="72" spans="2:2" x14ac:dyDescent="0.35">
      <c r="B72" s="13" t="s">
        <v>17</v>
      </c>
    </row>
    <row r="73" spans="2:2" x14ac:dyDescent="0.35">
      <c r="B73" s="49" t="s">
        <v>18</v>
      </c>
    </row>
    <row r="74" spans="2:2" x14ac:dyDescent="0.35">
      <c r="B74" s="15" t="s">
        <v>19</v>
      </c>
    </row>
    <row r="75" spans="2:2" x14ac:dyDescent="0.35">
      <c r="B75" s="16" t="s">
        <v>20</v>
      </c>
    </row>
    <row r="76" spans="2:2" x14ac:dyDescent="0.35">
      <c r="B76" s="64" t="s">
        <v>1697</v>
      </c>
    </row>
  </sheetData>
  <pageMargins left="0.7" right="0.7" top="0.75" bottom="0.75" header="0.3" footer="0.3"/>
  <pageSetup orientation="portrait" horizontalDpi="300" verticalDpi="300" r:id="rId1"/>
  <headerFooter>
    <oddFooter>&amp;L&amp;1#&amp;"Calibri"&amp;10&amp;K000000Classification: Internal</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C6AB8-0CDB-4817-9A3A-F01F7AD5D891}">
  <sheetPr codeName="BIT_UPLOAD"/>
  <dimension ref="A1:CD23"/>
  <sheetViews>
    <sheetView tabSelected="1" zoomScale="85" zoomScaleNormal="85" workbookViewId="0"/>
  </sheetViews>
  <sheetFormatPr defaultColWidth="9.1796875" defaultRowHeight="14.5" x14ac:dyDescent="0.35"/>
  <cols>
    <col min="1" max="1" width="4.1796875" style="27" bestFit="1" customWidth="1"/>
    <col min="2" max="2" width="11.81640625" style="27" bestFit="1" customWidth="1"/>
    <col min="3" max="3" width="16.6328125" style="27" customWidth="1"/>
    <col min="4" max="4" width="19.6328125" style="27" customWidth="1"/>
    <col min="5" max="5" width="20.08984375" style="27" customWidth="1"/>
    <col min="6" max="6" width="21.453125" style="27" customWidth="1"/>
    <col min="7" max="7" width="19" style="27" customWidth="1"/>
    <col min="8" max="8" width="18.1796875" style="27" customWidth="1"/>
    <col min="9" max="9" width="17.1796875" style="27" customWidth="1"/>
    <col min="10" max="10" width="22" style="27" bestFit="1" customWidth="1"/>
    <col min="11" max="11" width="20.54296875" style="27" bestFit="1" customWidth="1"/>
    <col min="12" max="12" width="13.90625" style="27" customWidth="1"/>
    <col min="13" max="13" width="37.81640625" style="27" customWidth="1"/>
    <col min="14" max="14" width="19" style="27" bestFit="1" customWidth="1"/>
    <col min="15" max="15" width="13.1796875" style="27" customWidth="1"/>
    <col min="16" max="17" width="15.54296875" style="27" customWidth="1"/>
    <col min="18" max="18" width="18.1796875" style="27" customWidth="1"/>
    <col min="19" max="19" width="13.1796875" style="27" customWidth="1"/>
    <col min="20" max="20" width="15.54296875" style="27" customWidth="1"/>
    <col min="21" max="21" width="16.08984375" style="27" customWidth="1"/>
    <col min="22" max="22" width="12.453125" style="27" bestFit="1" customWidth="1"/>
    <col min="23" max="23" width="17.81640625" style="27" bestFit="1" customWidth="1"/>
    <col min="24" max="24" width="14.1796875" style="27" customWidth="1"/>
    <col min="25" max="25" width="20" style="27" customWidth="1"/>
    <col min="26" max="26" width="17.453125" style="27" bestFit="1" customWidth="1"/>
    <col min="27" max="27" width="17.453125" style="27" customWidth="1"/>
    <col min="28" max="28" width="9.81640625" style="27" customWidth="1"/>
    <col min="29" max="29" width="22.1796875" style="27" customWidth="1"/>
    <col min="30" max="30" width="17.81640625" style="27" bestFit="1" customWidth="1"/>
    <col min="31" max="31" width="18.453125" style="27" bestFit="1" customWidth="1"/>
    <col min="32" max="32" width="19.453125" style="27" bestFit="1" customWidth="1"/>
    <col min="33" max="33" width="17.81640625" style="27" customWidth="1"/>
    <col min="34" max="34" width="19.453125" style="27" bestFit="1" customWidth="1"/>
    <col min="35" max="35" width="12.81640625" style="27" customWidth="1"/>
    <col min="36" max="36" width="20.54296875" style="27" customWidth="1"/>
    <col min="37" max="38" width="16" style="27" bestFit="1" customWidth="1"/>
    <col min="39" max="39" width="16.453125" style="27" customWidth="1"/>
    <col min="40" max="41" width="14.81640625" style="27" customWidth="1"/>
    <col min="42" max="42" width="15.81640625" style="27" customWidth="1"/>
    <col min="43" max="43" width="15.1796875" style="27" customWidth="1"/>
    <col min="44" max="44" width="18" style="27" customWidth="1"/>
    <col min="45" max="46" width="16.453125" style="27" customWidth="1"/>
    <col min="47" max="47" width="16.1796875" style="27" customWidth="1"/>
    <col min="48" max="48" width="18.1796875" style="27" customWidth="1"/>
    <col min="49" max="49" width="13.81640625" style="27" customWidth="1"/>
    <col min="50" max="50" width="17.1796875" style="27" customWidth="1"/>
    <col min="51" max="51" width="15.453125" style="27" customWidth="1"/>
    <col min="52" max="52" width="14.453125" style="27" customWidth="1"/>
    <col min="53" max="53" width="13.1796875" style="27" customWidth="1"/>
    <col min="54" max="54" width="12.1796875" style="27" customWidth="1"/>
    <col min="55" max="55" width="13.1796875" style="27" customWidth="1"/>
    <col min="56" max="56" width="12.81640625" style="27" customWidth="1"/>
    <col min="57" max="57" width="9.1796875" style="27"/>
    <col min="58" max="58" width="12.54296875" style="27" customWidth="1"/>
    <col min="59" max="59" width="13.1796875" style="27" customWidth="1"/>
    <col min="60" max="60" width="12.81640625" style="27" customWidth="1"/>
    <col min="61" max="61" width="18.1796875" style="27" customWidth="1"/>
    <col min="62" max="62" width="23.1796875" style="27" customWidth="1"/>
    <col min="63" max="63" width="19.453125" style="27" customWidth="1"/>
    <col min="64" max="64" width="20.1796875" style="27" customWidth="1"/>
    <col min="65" max="65" width="15.453125" style="27" customWidth="1"/>
    <col min="66" max="66" width="20.453125" style="27" customWidth="1"/>
    <col min="67" max="67" width="14.1796875" style="27" customWidth="1"/>
    <col min="68" max="68" width="17.54296875" style="27" customWidth="1"/>
    <col min="69" max="69" width="19.1796875" style="27" customWidth="1"/>
    <col min="70" max="70" width="24" style="27" customWidth="1"/>
    <col min="71" max="71" width="15.81640625" style="27" customWidth="1"/>
    <col min="72" max="81" width="15.453125" style="27" customWidth="1"/>
    <col min="82" max="16384" width="9.1796875" style="27"/>
  </cols>
  <sheetData>
    <row r="1" spans="1:82" x14ac:dyDescent="0.35">
      <c r="J1" s="28"/>
      <c r="M1" s="28"/>
      <c r="N1" s="28"/>
      <c r="V1" s="29"/>
      <c r="W1" s="29"/>
      <c r="X1" s="29"/>
      <c r="Y1" s="29"/>
      <c r="Z1" s="29"/>
      <c r="AA1" s="29"/>
      <c r="AB1" s="29"/>
      <c r="AC1" s="29"/>
      <c r="AE1" s="29"/>
      <c r="AF1" s="29"/>
      <c r="AI1" s="29"/>
      <c r="AJ1" s="29"/>
      <c r="AL1" s="29"/>
      <c r="AM1" s="29"/>
    </row>
    <row r="2" spans="1:82" x14ac:dyDescent="0.35">
      <c r="J2" s="28"/>
      <c r="M2" s="28"/>
      <c r="N2" s="28"/>
      <c r="U2" s="30"/>
      <c r="V2" s="30"/>
      <c r="W2" s="30"/>
      <c r="X2" s="30"/>
      <c r="Y2" s="30"/>
      <c r="Z2" s="30"/>
      <c r="AA2" s="30"/>
      <c r="AB2" s="30"/>
      <c r="AC2" s="30"/>
      <c r="AD2" s="30"/>
      <c r="AE2" s="30"/>
      <c r="AF2" s="30"/>
      <c r="AG2" s="30"/>
      <c r="AH2" s="30"/>
      <c r="AI2" s="30"/>
      <c r="AJ2" s="30"/>
      <c r="AK2" s="30"/>
      <c r="AL2" s="30"/>
      <c r="AM2" s="30"/>
    </row>
    <row r="3" spans="1:82" s="32" customFormat="1" x14ac:dyDescent="0.35">
      <c r="A3" s="27"/>
      <c r="B3" s="27"/>
      <c r="C3" s="27"/>
      <c r="D3" s="27"/>
      <c r="E3" s="27"/>
      <c r="F3" s="27"/>
      <c r="G3" s="27"/>
      <c r="H3" s="27"/>
      <c r="I3" s="27"/>
      <c r="J3" s="28"/>
      <c r="K3" s="31"/>
      <c r="L3" s="31"/>
      <c r="M3" s="28"/>
      <c r="N3" s="28"/>
      <c r="O3" s="31"/>
      <c r="P3" s="31"/>
      <c r="Q3" s="31"/>
      <c r="R3" s="31"/>
      <c r="S3" s="31"/>
      <c r="T3" s="31"/>
      <c r="W3" s="32" t="s">
        <v>1025</v>
      </c>
      <c r="Z3" s="32" t="s">
        <v>1025</v>
      </c>
    </row>
    <row r="4" spans="1:82" s="29" customFormat="1" x14ac:dyDescent="0.35">
      <c r="A4" s="33" t="s">
        <v>3704</v>
      </c>
      <c r="B4" s="33" t="s">
        <v>104</v>
      </c>
      <c r="C4" s="30"/>
      <c r="D4" s="30"/>
      <c r="E4" s="30"/>
      <c r="F4" s="30"/>
      <c r="G4" s="30"/>
      <c r="H4" s="30"/>
      <c r="I4" s="30"/>
      <c r="J4" s="30"/>
      <c r="M4" s="30"/>
      <c r="N4" s="30"/>
    </row>
    <row r="5" spans="1:82" s="29" customFormat="1" x14ac:dyDescent="0.35">
      <c r="A5" s="33"/>
      <c r="B5" s="33"/>
      <c r="C5" s="30"/>
      <c r="D5" s="30"/>
      <c r="E5" s="30"/>
      <c r="F5" s="30"/>
      <c r="G5" s="30"/>
      <c r="H5" s="30"/>
      <c r="I5" s="30"/>
      <c r="J5" s="30"/>
      <c r="M5" s="30"/>
      <c r="N5" s="30"/>
    </row>
    <row r="6" spans="1:82" s="47" customFormat="1" ht="15" customHeight="1" x14ac:dyDescent="0.35">
      <c r="A6" s="21" t="s">
        <v>48</v>
      </c>
      <c r="B6" s="21" t="s">
        <v>534</v>
      </c>
      <c r="C6" s="34" t="s">
        <v>109</v>
      </c>
      <c r="D6" s="35" t="s">
        <v>98</v>
      </c>
      <c r="E6" s="23" t="s">
        <v>295</v>
      </c>
      <c r="F6" s="37" t="s">
        <v>584</v>
      </c>
      <c r="G6" s="23" t="s">
        <v>857</v>
      </c>
      <c r="H6" s="21" t="s">
        <v>23</v>
      </c>
      <c r="I6" s="21" t="s">
        <v>133</v>
      </c>
      <c r="J6" s="21" t="s">
        <v>526</v>
      </c>
      <c r="K6" s="21" t="s">
        <v>142</v>
      </c>
      <c r="L6" s="21" t="s">
        <v>604</v>
      </c>
      <c r="M6" s="34" t="s">
        <v>1026</v>
      </c>
      <c r="N6" s="54" t="s">
        <v>125</v>
      </c>
      <c r="O6" s="36" t="s">
        <v>245</v>
      </c>
      <c r="P6" s="34" t="s">
        <v>40</v>
      </c>
      <c r="Q6" s="21" t="s">
        <v>3700</v>
      </c>
      <c r="R6" s="37" t="s">
        <v>875</v>
      </c>
      <c r="S6" s="23" t="s">
        <v>26</v>
      </c>
      <c r="T6" s="54" t="s">
        <v>3588</v>
      </c>
      <c r="U6" s="54" t="s">
        <v>52</v>
      </c>
      <c r="V6" s="34" t="s">
        <v>199</v>
      </c>
      <c r="W6" s="37" t="s">
        <v>207</v>
      </c>
      <c r="X6" s="34" t="s">
        <v>258</v>
      </c>
      <c r="Y6" s="34" t="s">
        <v>301</v>
      </c>
      <c r="Z6" s="34" t="s">
        <v>384</v>
      </c>
      <c r="AA6" s="37" t="s">
        <v>3697</v>
      </c>
      <c r="AB6" s="37" t="s">
        <v>443</v>
      </c>
      <c r="AC6" s="37" t="s">
        <v>600</v>
      </c>
      <c r="AD6" s="34" t="s">
        <v>841</v>
      </c>
      <c r="AE6" s="37" t="s">
        <v>782</v>
      </c>
      <c r="AF6" s="37" t="s">
        <v>739</v>
      </c>
      <c r="AG6" s="37" t="s">
        <v>641</v>
      </c>
      <c r="AH6" s="37" t="s">
        <v>637</v>
      </c>
      <c r="AI6" s="37" t="s">
        <v>41</v>
      </c>
      <c r="AJ6" s="37" t="s">
        <v>623</v>
      </c>
      <c r="AK6" s="37" t="s">
        <v>633</v>
      </c>
      <c r="AL6" s="52" t="s">
        <v>648</v>
      </c>
      <c r="AM6" s="37" t="s">
        <v>735</v>
      </c>
      <c r="AN6" s="52" t="s">
        <v>759</v>
      </c>
      <c r="AO6" s="37" t="s">
        <v>879</v>
      </c>
      <c r="AP6" s="37" t="s">
        <v>938</v>
      </c>
      <c r="AQ6" s="37" t="s">
        <v>827</v>
      </c>
      <c r="AR6" s="37" t="s">
        <v>794</v>
      </c>
      <c r="AS6" s="37" t="s">
        <v>790</v>
      </c>
      <c r="AT6" s="37" t="s">
        <v>573</v>
      </c>
      <c r="AU6" s="37" t="s">
        <v>254</v>
      </c>
      <c r="AV6" s="37" t="s">
        <v>327</v>
      </c>
      <c r="AW6" s="37" t="s">
        <v>278</v>
      </c>
      <c r="AX6" s="37" t="s">
        <v>284</v>
      </c>
      <c r="AY6" s="37" t="s">
        <v>3688</v>
      </c>
      <c r="AZ6" s="37" t="s">
        <v>911</v>
      </c>
      <c r="BA6" s="37" t="s">
        <v>927</v>
      </c>
      <c r="BB6" s="37" t="s">
        <v>923</v>
      </c>
      <c r="BC6" s="37" t="s">
        <v>919</v>
      </c>
      <c r="BD6" s="37" t="s">
        <v>704</v>
      </c>
      <c r="BE6" s="37" t="s">
        <v>700</v>
      </c>
      <c r="BF6" s="37" t="s">
        <v>696</v>
      </c>
      <c r="BG6" s="37" t="s">
        <v>708</v>
      </c>
      <c r="BH6" s="37" t="s">
        <v>823</v>
      </c>
      <c r="BI6" s="37" t="s">
        <v>819</v>
      </c>
      <c r="BJ6" s="37" t="s">
        <v>692</v>
      </c>
      <c r="BK6" s="37" t="s">
        <v>720</v>
      </c>
      <c r="BL6" s="37" t="s">
        <v>724</v>
      </c>
      <c r="BM6" s="37" t="s">
        <v>612</v>
      </c>
      <c r="BN6" s="37" t="s">
        <v>716</v>
      </c>
      <c r="BO6" s="37" t="s">
        <v>743</v>
      </c>
      <c r="BP6" s="37" t="s">
        <v>899</v>
      </c>
      <c r="BQ6" s="37" t="s">
        <v>895</v>
      </c>
      <c r="BR6" s="37" t="s">
        <v>864</v>
      </c>
      <c r="BS6" s="37" t="s">
        <v>1693</v>
      </c>
      <c r="BT6" s="37" t="s">
        <v>1694</v>
      </c>
      <c r="BU6" s="37" t="s">
        <v>592</v>
      </c>
      <c r="BV6" s="37" t="s">
        <v>3591</v>
      </c>
      <c r="BW6" s="37" t="s">
        <v>3701</v>
      </c>
      <c r="BX6" s="37" t="s">
        <v>3682</v>
      </c>
      <c r="BY6" s="37" t="s">
        <v>3683</v>
      </c>
      <c r="BZ6" s="37" t="s">
        <v>3684</v>
      </c>
      <c r="CA6" s="37" t="s">
        <v>3685</v>
      </c>
      <c r="CB6" s="37" t="s">
        <v>3686</v>
      </c>
      <c r="CC6" s="37" t="s">
        <v>3687</v>
      </c>
      <c r="CD6" s="37" t="s">
        <v>728</v>
      </c>
    </row>
    <row r="7" spans="1:82" s="29" customFormat="1" x14ac:dyDescent="0.35">
      <c r="A7" s="22" t="s">
        <v>48</v>
      </c>
      <c r="B7" s="22">
        <v>1</v>
      </c>
      <c r="C7" s="38" t="s">
        <v>1027</v>
      </c>
      <c r="D7" s="72">
        <v>100000301060</v>
      </c>
      <c r="E7" s="71">
        <v>10702943</v>
      </c>
      <c r="F7" s="39"/>
      <c r="G7" s="39" t="s">
        <v>3978</v>
      </c>
      <c r="H7" s="22" t="str">
        <f t="shared" ref="H7" si="0">SubProcess</f>
        <v>MIMN</v>
      </c>
      <c r="I7" s="22" t="str">
        <f>VLOOKUP(M7,'Charge LookUp'!A2:C2001,3,FALSE)</f>
        <v>CTER</v>
      </c>
      <c r="J7" s="22">
        <f>O7*P7</f>
        <v>710</v>
      </c>
      <c r="K7" s="22" cm="1">
        <f t="array" ref="K7">J7*_xlfn.IFS(H7="IMTC",1,H7="IMEL",1,H7="IMVS",1,H7="MICG",1,H7="MIMN",1,H7="MIVS",1,TRUE,-1)</f>
        <v>710</v>
      </c>
      <c r="L7" s="22" t="str">
        <f>VLOOKUP(M7,'Charge LookUp'!A2:C2001,2,FALSE)</f>
        <v>DHC</v>
      </c>
      <c r="M7" s="38" t="s">
        <v>1911</v>
      </c>
      <c r="N7" s="40"/>
      <c r="O7" s="38">
        <v>1</v>
      </c>
      <c r="P7" s="38">
        <v>710</v>
      </c>
      <c r="Q7" s="21" t="str">
        <f>IF(COUNTIF(L7,"111112"),"CROSS", "")</f>
        <v/>
      </c>
      <c r="R7" s="40"/>
      <c r="S7" s="39" t="s">
        <v>936</v>
      </c>
      <c r="T7" s="40"/>
      <c r="U7" s="40" t="s">
        <v>3976</v>
      </c>
      <c r="V7" s="38">
        <v>20210420</v>
      </c>
      <c r="W7" s="40">
        <v>20210508</v>
      </c>
      <c r="X7" s="39">
        <v>1000</v>
      </c>
      <c r="Y7" s="39" t="s">
        <v>3812</v>
      </c>
      <c r="Z7" s="73" t="s">
        <v>3979</v>
      </c>
      <c r="AA7" s="40"/>
      <c r="AB7" s="40"/>
      <c r="AC7" s="74">
        <v>81175</v>
      </c>
      <c r="AD7" s="38" t="s">
        <v>3977</v>
      </c>
      <c r="AE7" s="65" t="s">
        <v>3980</v>
      </c>
      <c r="AF7" s="65" t="s">
        <v>3980</v>
      </c>
      <c r="AG7" s="40" t="s">
        <v>3981</v>
      </c>
      <c r="AH7" s="40" t="s">
        <v>3981</v>
      </c>
      <c r="AI7" s="40"/>
      <c r="AJ7" s="40"/>
      <c r="AK7" s="40"/>
      <c r="AL7" s="53"/>
      <c r="AM7" s="40">
        <v>5640525143</v>
      </c>
      <c r="AN7" s="53"/>
      <c r="AO7" s="40"/>
      <c r="AP7" s="40"/>
      <c r="AQ7" s="40"/>
      <c r="AR7" s="40"/>
      <c r="AS7" s="40"/>
      <c r="AT7" s="40" t="s">
        <v>3982</v>
      </c>
      <c r="AU7" s="40">
        <v>210121421</v>
      </c>
      <c r="AV7" s="40" t="s">
        <v>3993</v>
      </c>
      <c r="AW7" s="40">
        <v>40</v>
      </c>
      <c r="AX7" s="40" t="s">
        <v>3994</v>
      </c>
      <c r="AY7" s="69"/>
      <c r="AZ7" s="40" t="s">
        <v>3983</v>
      </c>
      <c r="BA7" s="40" t="s">
        <v>3984</v>
      </c>
      <c r="BB7" s="40"/>
      <c r="BC7" s="40" t="s">
        <v>3985</v>
      </c>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v>1</v>
      </c>
    </row>
    <row r="8" spans="1:82" s="29" customFormat="1" x14ac:dyDescent="0.35">
      <c r="A8" s="22" t="s">
        <v>48</v>
      </c>
      <c r="B8" s="22">
        <v>2</v>
      </c>
      <c r="C8" s="38" t="s">
        <v>1027</v>
      </c>
      <c r="D8" s="72">
        <v>100000301060</v>
      </c>
      <c r="E8" s="71">
        <v>10702943</v>
      </c>
      <c r="F8" s="39"/>
      <c r="G8" s="39" t="s">
        <v>3978</v>
      </c>
      <c r="H8" s="22" t="str">
        <f>SubProcess</f>
        <v>MIMN</v>
      </c>
      <c r="I8" s="22" t="str">
        <f>VLOOKUP(M8,'Charge LookUp'!A2:C2000,3,FALSE)</f>
        <v>COCN</v>
      </c>
      <c r="J8" s="22">
        <f>$O8*$P8</f>
        <v>3578</v>
      </c>
      <c r="K8" s="22">
        <f>$J8*_xlfn.IFS($H8="MIMN",1,$H8="IMTC",1,$H8="IMVS",1,$H8="MICG",1,$H8="IMEL",1,TRUE,-1)</f>
        <v>3578</v>
      </c>
      <c r="L8" s="22" t="str">
        <f>VLOOKUP(M8,'Charge LookUp'!A2:C2000,2,FALSE)</f>
        <v>BAS</v>
      </c>
      <c r="M8" s="38" t="s">
        <v>1741</v>
      </c>
      <c r="N8" s="40"/>
      <c r="O8" s="38">
        <v>1</v>
      </c>
      <c r="P8" s="38">
        <v>3578</v>
      </c>
      <c r="Q8" s="21" t="str">
        <f>IF(ISNUMBER(SEARCH("111112",$L8)),"CROSS", "")</f>
        <v/>
      </c>
      <c r="R8" s="40"/>
      <c r="S8" s="39" t="s">
        <v>936</v>
      </c>
      <c r="T8" s="40"/>
      <c r="U8" s="40" t="s">
        <v>3976</v>
      </c>
      <c r="V8" s="38">
        <v>20210420</v>
      </c>
      <c r="W8" s="40">
        <v>20210508</v>
      </c>
      <c r="X8" s="39">
        <v>1000</v>
      </c>
      <c r="Y8" s="39" t="s">
        <v>3812</v>
      </c>
      <c r="Z8" s="73" t="s">
        <v>3979</v>
      </c>
      <c r="AA8" s="40"/>
      <c r="AB8" s="40"/>
      <c r="AC8" s="74">
        <v>81175</v>
      </c>
      <c r="AD8" s="38" t="s">
        <v>3977</v>
      </c>
      <c r="AE8" s="65" t="s">
        <v>3980</v>
      </c>
      <c r="AF8" s="65" t="s">
        <v>3980</v>
      </c>
      <c r="AG8" s="40" t="s">
        <v>3981</v>
      </c>
      <c r="AH8" s="40" t="s">
        <v>3981</v>
      </c>
      <c r="AI8" s="40"/>
      <c r="AJ8" s="40"/>
      <c r="AK8" s="40"/>
      <c r="AL8" s="53"/>
      <c r="AM8" s="40">
        <v>5640525142</v>
      </c>
      <c r="AN8" s="53"/>
      <c r="AO8" s="40"/>
      <c r="AP8" s="40"/>
      <c r="AQ8" s="40"/>
      <c r="AR8" s="40"/>
      <c r="AS8" s="40"/>
      <c r="AT8" s="40" t="s">
        <v>3982</v>
      </c>
      <c r="AU8" s="40">
        <v>210121421</v>
      </c>
      <c r="AV8" s="40" t="s">
        <v>3993</v>
      </c>
      <c r="AW8" s="40">
        <v>40</v>
      </c>
      <c r="AX8" s="40" t="s">
        <v>3994</v>
      </c>
      <c r="AY8" s="69"/>
      <c r="AZ8" s="40" t="s">
        <v>3983</v>
      </c>
      <c r="BA8" s="40" t="s">
        <v>3984</v>
      </c>
      <c r="BB8" s="40"/>
      <c r="BC8" s="40" t="s">
        <v>3985</v>
      </c>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v>2</v>
      </c>
    </row>
    <row r="9" spans="1:82" s="29" customFormat="1" x14ac:dyDescent="0.35">
      <c r="A9" s="22" t="s">
        <v>48</v>
      </c>
      <c r="B9" s="22">
        <v>3</v>
      </c>
      <c r="C9" s="38" t="s">
        <v>1027</v>
      </c>
      <c r="D9" s="72">
        <v>100000301060</v>
      </c>
      <c r="E9" s="71">
        <v>10702943</v>
      </c>
      <c r="F9" s="39"/>
      <c r="G9" s="39" t="s">
        <v>3978</v>
      </c>
      <c r="H9" s="22" t="str">
        <f>SubProcess</f>
        <v>MIMN</v>
      </c>
      <c r="I9" s="22" t="str">
        <f>VLOOKUP(M9,'Charge LookUp'!A2:C2000,3,FALSE)</f>
        <v>COCN</v>
      </c>
      <c r="J9" s="22">
        <f>$O9*$P9</f>
        <v>2082</v>
      </c>
      <c r="K9" s="22">
        <f>$J9*_xlfn.IFS($H9="MIMN",1,$H9="IMTC",1,$H9="IMVS",1,$H9="MICG",1,$H9="IMEL",1,TRUE,-1)</f>
        <v>2082</v>
      </c>
      <c r="L9" s="22" t="str">
        <f>VLOOKUP(M9,'Charge LookUp'!A2:C2000,2,FALSE)</f>
        <v>BAS</v>
      </c>
      <c r="M9" s="38" t="s">
        <v>1741</v>
      </c>
      <c r="N9" s="40"/>
      <c r="O9" s="38">
        <v>1</v>
      </c>
      <c r="P9" s="38">
        <v>2082</v>
      </c>
      <c r="Q9" s="21" t="str">
        <f>IF(ISNUMBER(SEARCH("111112",$L9)),"CROSS", "")</f>
        <v/>
      </c>
      <c r="R9" s="40"/>
      <c r="S9" s="39" t="s">
        <v>936</v>
      </c>
      <c r="T9" s="40"/>
      <c r="U9" s="40" t="s">
        <v>3976</v>
      </c>
      <c r="V9" s="38">
        <v>20210507</v>
      </c>
      <c r="W9" s="40">
        <v>20210521</v>
      </c>
      <c r="X9" s="39">
        <v>1000</v>
      </c>
      <c r="Y9" s="39" t="s">
        <v>3812</v>
      </c>
      <c r="Z9" s="73" t="s">
        <v>3979</v>
      </c>
      <c r="AA9" s="40"/>
      <c r="AB9" s="40"/>
      <c r="AC9" s="74">
        <v>81175</v>
      </c>
      <c r="AD9" s="38" t="s">
        <v>3977</v>
      </c>
      <c r="AE9" s="65" t="s">
        <v>3986</v>
      </c>
      <c r="AF9" s="65" t="s">
        <v>3986</v>
      </c>
      <c r="AG9" s="40" t="s">
        <v>3981</v>
      </c>
      <c r="AH9" s="40" t="s">
        <v>3981</v>
      </c>
      <c r="AI9" s="40"/>
      <c r="AJ9" s="40"/>
      <c r="AK9" s="40"/>
      <c r="AL9" s="53"/>
      <c r="AM9" s="40">
        <v>5640534723</v>
      </c>
      <c r="AN9" s="53"/>
      <c r="AO9" s="40"/>
      <c r="AP9" s="40"/>
      <c r="AQ9" s="40"/>
      <c r="AR9" s="40"/>
      <c r="AS9" s="40"/>
      <c r="AT9" s="40" t="s">
        <v>3987</v>
      </c>
      <c r="AU9" s="40">
        <v>210273417</v>
      </c>
      <c r="AV9" s="40" t="s">
        <v>3991</v>
      </c>
      <c r="AW9" s="40">
        <v>40</v>
      </c>
      <c r="AX9" s="40" t="s">
        <v>3992</v>
      </c>
      <c r="AY9" s="69"/>
      <c r="AZ9" s="40" t="s">
        <v>3988</v>
      </c>
      <c r="BA9" s="40" t="s">
        <v>3989</v>
      </c>
      <c r="BB9" s="40"/>
      <c r="BC9" s="40" t="s">
        <v>3990</v>
      </c>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v>3</v>
      </c>
    </row>
    <row r="10" spans="1:82" s="29" customFormat="1" x14ac:dyDescent="0.35">
      <c r="A10" s="22" t="s">
        <v>48</v>
      </c>
      <c r="B10" s="22">
        <v>4</v>
      </c>
      <c r="C10" s="38" t="s">
        <v>1027</v>
      </c>
      <c r="D10" s="72">
        <v>100000301060</v>
      </c>
      <c r="E10" s="71">
        <v>10702943</v>
      </c>
      <c r="F10" s="39"/>
      <c r="G10" s="39" t="s">
        <v>3978</v>
      </c>
      <c r="H10" s="22" t="str">
        <f>SubProcess</f>
        <v>MIMN</v>
      </c>
      <c r="I10" s="22" t="str">
        <f>VLOOKUP(M10,'Charge LookUp'!A2:C2000,3,FALSE)</f>
        <v>CTER</v>
      </c>
      <c r="J10" s="22">
        <f>$O10*$P10</f>
        <v>355</v>
      </c>
      <c r="K10" s="22">
        <f>$J10*_xlfn.IFS($H10="MIMN",1,$H10="IMTC",1,$H10="IMVS",1,$H10="MICG",1,$H10="IMEL",1,TRUE,-1)</f>
        <v>355</v>
      </c>
      <c r="L10" s="22" t="str">
        <f>VLOOKUP(M10,'Charge LookUp'!A2:C2000,2,FALSE)</f>
        <v>DHC</v>
      </c>
      <c r="M10" s="38" t="s">
        <v>1911</v>
      </c>
      <c r="N10" s="40"/>
      <c r="O10" s="38">
        <v>1</v>
      </c>
      <c r="P10" s="38">
        <v>355</v>
      </c>
      <c r="Q10" s="21" t="str">
        <f>IF(ISNUMBER(SEARCH("111112",$L10)),"CROSS", "")</f>
        <v/>
      </c>
      <c r="R10" s="40"/>
      <c r="S10" s="39" t="s">
        <v>936</v>
      </c>
      <c r="T10" s="40"/>
      <c r="U10" s="40" t="s">
        <v>3976</v>
      </c>
      <c r="V10" s="38">
        <v>20210507</v>
      </c>
      <c r="W10" s="40">
        <v>20210521</v>
      </c>
      <c r="X10" s="39">
        <v>1000</v>
      </c>
      <c r="Y10" s="39" t="s">
        <v>3812</v>
      </c>
      <c r="Z10" s="73" t="s">
        <v>3979</v>
      </c>
      <c r="AA10" s="40"/>
      <c r="AB10" s="40"/>
      <c r="AC10" s="74">
        <v>81175</v>
      </c>
      <c r="AD10" s="38" t="s">
        <v>3977</v>
      </c>
      <c r="AE10" s="65" t="s">
        <v>3986</v>
      </c>
      <c r="AF10" s="65" t="s">
        <v>3986</v>
      </c>
      <c r="AG10" s="40" t="s">
        <v>3981</v>
      </c>
      <c r="AH10" s="40" t="s">
        <v>3981</v>
      </c>
      <c r="AI10" s="40"/>
      <c r="AJ10" s="40"/>
      <c r="AK10" s="40"/>
      <c r="AL10" s="53"/>
      <c r="AM10" s="40">
        <v>5640534723</v>
      </c>
      <c r="AN10" s="53"/>
      <c r="AO10" s="40"/>
      <c r="AP10" s="40"/>
      <c r="AQ10" s="40"/>
      <c r="AR10" s="40"/>
      <c r="AS10" s="40"/>
      <c r="AT10" s="40" t="s">
        <v>3987</v>
      </c>
      <c r="AU10" s="40">
        <v>210273417</v>
      </c>
      <c r="AV10" s="40" t="s">
        <v>3991</v>
      </c>
      <c r="AW10" s="40">
        <v>40</v>
      </c>
      <c r="AX10" s="40" t="s">
        <v>3992</v>
      </c>
      <c r="AY10" s="69"/>
      <c r="AZ10" s="40" t="s">
        <v>3988</v>
      </c>
      <c r="BA10" s="40" t="s">
        <v>3989</v>
      </c>
      <c r="BB10" s="40"/>
      <c r="BC10" s="40" t="s">
        <v>3990</v>
      </c>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v>3</v>
      </c>
    </row>
    <row r="11" spans="1:82" s="29" customFormat="1" x14ac:dyDescent="0.35">
      <c r="A11" s="22" t="s">
        <v>48</v>
      </c>
      <c r="B11" s="22">
        <v>5</v>
      </c>
      <c r="C11" s="38" t="s">
        <v>1027</v>
      </c>
      <c r="D11" s="72">
        <v>100000301060</v>
      </c>
      <c r="E11" s="71">
        <v>10702943</v>
      </c>
      <c r="F11" s="39"/>
      <c r="G11" s="39" t="s">
        <v>3978</v>
      </c>
      <c r="H11" s="22" t="str">
        <f>SubProcess</f>
        <v>MIMN</v>
      </c>
      <c r="I11" s="22" t="str">
        <f>VLOOKUP(M11,'Charge LookUp'!A2:C2000,3,FALSE)</f>
        <v>CTER</v>
      </c>
      <c r="J11" s="22">
        <f>$O11*$P11</f>
        <v>134.03</v>
      </c>
      <c r="K11" s="22">
        <f>$J11*_xlfn.IFS($H11="MIMN",1,$H11="IMTC",1,$H11="IMVS",1,$H11="MICG",1,$H11="IMEL",1,TRUE,-1)</f>
        <v>134.03</v>
      </c>
      <c r="L11" s="22" t="str">
        <f>VLOOKUP(M11,'Charge LookUp'!A2:C2000,2,FALSE)</f>
        <v>OHC</v>
      </c>
      <c r="M11" s="38" t="s">
        <v>2250</v>
      </c>
      <c r="N11" s="40"/>
      <c r="O11" s="38">
        <v>1</v>
      </c>
      <c r="P11" s="38">
        <v>134.03</v>
      </c>
      <c r="Q11" s="21" t="str">
        <f>IF(ISNUMBER(SEARCH("111112",$L11)),"CROSS", "")</f>
        <v/>
      </c>
      <c r="R11" s="40"/>
      <c r="S11" s="39" t="s">
        <v>936</v>
      </c>
      <c r="T11" s="40"/>
      <c r="U11" s="40" t="s">
        <v>3976</v>
      </c>
      <c r="V11" s="38">
        <v>20210507</v>
      </c>
      <c r="W11" s="40">
        <v>20210521</v>
      </c>
      <c r="X11" s="39">
        <v>1000</v>
      </c>
      <c r="Y11" s="39" t="s">
        <v>3812</v>
      </c>
      <c r="Z11" s="73" t="s">
        <v>3979</v>
      </c>
      <c r="AA11" s="40"/>
      <c r="AB11" s="40"/>
      <c r="AC11" s="74">
        <v>81175</v>
      </c>
      <c r="AD11" s="38" t="s">
        <v>3977</v>
      </c>
      <c r="AE11" s="65" t="s">
        <v>3986</v>
      </c>
      <c r="AF11" s="65" t="s">
        <v>3986</v>
      </c>
      <c r="AG11" s="40" t="s">
        <v>3981</v>
      </c>
      <c r="AH11" s="40" t="s">
        <v>3981</v>
      </c>
      <c r="AI11" s="40"/>
      <c r="AJ11" s="40"/>
      <c r="AK11" s="40"/>
      <c r="AL11" s="53"/>
      <c r="AM11" s="40">
        <v>5640534723</v>
      </c>
      <c r="AN11" s="53"/>
      <c r="AO11" s="40"/>
      <c r="AP11" s="40"/>
      <c r="AQ11" s="40"/>
      <c r="AR11" s="40"/>
      <c r="AS11" s="40"/>
      <c r="AT11" s="40" t="s">
        <v>3987</v>
      </c>
      <c r="AU11" s="40">
        <v>210273417</v>
      </c>
      <c r="AV11" s="40" t="s">
        <v>3991</v>
      </c>
      <c r="AW11" s="40">
        <v>40</v>
      </c>
      <c r="AX11" s="40" t="s">
        <v>3992</v>
      </c>
      <c r="AY11" s="69"/>
      <c r="AZ11" s="40" t="s">
        <v>3988</v>
      </c>
      <c r="BA11" s="40" t="s">
        <v>3989</v>
      </c>
      <c r="BB11" s="40"/>
      <c r="BC11" s="40" t="s">
        <v>3990</v>
      </c>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v>3</v>
      </c>
    </row>
    <row r="12" spans="1:82" s="29" customFormat="1" x14ac:dyDescent="0.35">
      <c r="A12" s="22" t="s">
        <v>48</v>
      </c>
      <c r="B12" s="22">
        <v>6</v>
      </c>
      <c r="C12" s="38" t="s">
        <v>1027</v>
      </c>
      <c r="D12" s="72">
        <v>100000301060</v>
      </c>
      <c r="E12" s="71">
        <v>10702943</v>
      </c>
      <c r="F12" s="39"/>
      <c r="G12" s="39" t="s">
        <v>3978</v>
      </c>
      <c r="H12" s="22" t="str">
        <f>SubProcess</f>
        <v>MIMN</v>
      </c>
      <c r="I12" s="22" t="str">
        <f>VLOOKUP(M12,'Charge LookUp'!A2:C2000,3,FALSE)</f>
        <v>COCN</v>
      </c>
      <c r="J12" s="22">
        <f>$O12*$P12</f>
        <v>1700</v>
      </c>
      <c r="K12" s="22">
        <f>$J12*_xlfn.IFS($H12="MIMN",1,$H12="IMTC",1,$H12="IMVS",1,$H12="MICG",1,$H12="IMEL",1,TRUE,-1)</f>
        <v>1700</v>
      </c>
      <c r="L12" s="22" t="str">
        <f>VLOOKUP(M12,'Charge LookUp'!A2:C2000,2,FALSE)</f>
        <v>BAS</v>
      </c>
      <c r="M12" s="38" t="s">
        <v>1741</v>
      </c>
      <c r="N12" s="40"/>
      <c r="O12" s="38">
        <v>1</v>
      </c>
      <c r="P12" s="38">
        <v>1700</v>
      </c>
      <c r="Q12" s="21" t="str">
        <f>IF(ISNUMBER(SEARCH("111112",$L12)),"CROSS", "")</f>
        <v/>
      </c>
      <c r="R12" s="40"/>
      <c r="S12" s="39" t="s">
        <v>936</v>
      </c>
      <c r="T12" s="40"/>
      <c r="U12" s="40" t="s">
        <v>3976</v>
      </c>
      <c r="V12" s="38">
        <v>20210308</v>
      </c>
      <c r="W12" s="40">
        <v>20210329</v>
      </c>
      <c r="X12" s="39">
        <v>1000</v>
      </c>
      <c r="Y12" s="39" t="s">
        <v>3812</v>
      </c>
      <c r="Z12" s="73" t="s">
        <v>3979</v>
      </c>
      <c r="AA12" s="40"/>
      <c r="AB12" s="40"/>
      <c r="AC12" s="74">
        <v>81175</v>
      </c>
      <c r="AD12" s="38" t="s">
        <v>3977</v>
      </c>
      <c r="AE12" s="65" t="s">
        <v>3986</v>
      </c>
      <c r="AF12" s="65" t="s">
        <v>3986</v>
      </c>
      <c r="AG12" s="40" t="s">
        <v>3981</v>
      </c>
      <c r="AH12" s="40" t="s">
        <v>3981</v>
      </c>
      <c r="AI12" s="40"/>
      <c r="AJ12" s="40"/>
      <c r="AK12" s="40"/>
      <c r="AL12" s="53"/>
      <c r="AM12" s="40">
        <v>5640482226</v>
      </c>
      <c r="AN12" s="53"/>
      <c r="AO12" s="40"/>
      <c r="AP12" s="40"/>
      <c r="AQ12" s="40"/>
      <c r="AR12" s="40"/>
      <c r="AS12" s="40"/>
      <c r="AT12" s="40" t="s">
        <v>3995</v>
      </c>
      <c r="AU12" s="40">
        <v>208889959</v>
      </c>
      <c r="AV12" s="40" t="s">
        <v>3996</v>
      </c>
      <c r="AW12" s="40">
        <v>40</v>
      </c>
      <c r="AX12" s="40" t="s">
        <v>3992</v>
      </c>
      <c r="AY12" s="69"/>
      <c r="AZ12" s="40" t="s">
        <v>3997</v>
      </c>
      <c r="BA12" s="40" t="s">
        <v>3998</v>
      </c>
      <c r="BB12" s="40"/>
      <c r="BC12" s="40" t="s">
        <v>3999</v>
      </c>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v>4</v>
      </c>
    </row>
    <row r="13" spans="1:82" s="29" customFormat="1" x14ac:dyDescent="0.35">
      <c r="A13" s="22" t="s">
        <v>48</v>
      </c>
      <c r="B13" s="22">
        <v>7</v>
      </c>
      <c r="C13" s="38" t="s">
        <v>1027</v>
      </c>
      <c r="D13" s="72">
        <v>100000301060</v>
      </c>
      <c r="E13" s="71">
        <v>10702943</v>
      </c>
      <c r="F13" s="39"/>
      <c r="G13" s="39" t="s">
        <v>3978</v>
      </c>
      <c r="H13" s="22" t="str">
        <f>SubProcess</f>
        <v>MIMN</v>
      </c>
      <c r="I13" s="22" t="str">
        <f>VLOOKUP(M13,'Charge LookUp'!A2:C2000,3,FALSE)</f>
        <v>CINT</v>
      </c>
      <c r="J13" s="22">
        <f>$O13*$P13</f>
        <v>179.84</v>
      </c>
      <c r="K13" s="22">
        <f>$J13*_xlfn.IFS($H13="MIMN",1,$H13="IMTC",1,$H13="IMVS",1,$H13="MICG",1,$H13="IMEL",1,TRUE,-1)</f>
        <v>179.84</v>
      </c>
      <c r="L13" s="22" t="str">
        <f>VLOOKUP(M13,'Charge LookUp'!A2:C2000,2,FALSE)</f>
        <v>IHI</v>
      </c>
      <c r="M13" s="38" t="s">
        <v>2116</v>
      </c>
      <c r="N13" s="40"/>
      <c r="O13" s="38">
        <v>1</v>
      </c>
      <c r="P13" s="38">
        <v>179.84</v>
      </c>
      <c r="Q13" s="21" t="str">
        <f>IF(ISNUMBER(SEARCH("111112",$L13)),"CROSS", "")</f>
        <v/>
      </c>
      <c r="R13" s="40"/>
      <c r="S13" s="39" t="s">
        <v>936</v>
      </c>
      <c r="T13" s="40"/>
      <c r="U13" s="40" t="s">
        <v>3976</v>
      </c>
      <c r="V13" s="38">
        <v>20210308</v>
      </c>
      <c r="W13" s="40">
        <v>20210329</v>
      </c>
      <c r="X13" s="39">
        <v>1000</v>
      </c>
      <c r="Y13" s="39" t="s">
        <v>3812</v>
      </c>
      <c r="Z13" s="73" t="s">
        <v>3979</v>
      </c>
      <c r="AA13" s="40"/>
      <c r="AB13" s="40"/>
      <c r="AC13" s="74">
        <v>81175</v>
      </c>
      <c r="AD13" s="38" t="s">
        <v>3977</v>
      </c>
      <c r="AE13" s="65" t="s">
        <v>3986</v>
      </c>
      <c r="AF13" s="65" t="s">
        <v>3986</v>
      </c>
      <c r="AG13" s="40" t="s">
        <v>3981</v>
      </c>
      <c r="AH13" s="40" t="s">
        <v>3981</v>
      </c>
      <c r="AI13" s="40"/>
      <c r="AJ13" s="40"/>
      <c r="AK13" s="40"/>
      <c r="AL13" s="53"/>
      <c r="AM13" s="40">
        <v>5640482226</v>
      </c>
      <c r="AN13" s="53"/>
      <c r="AO13" s="40"/>
      <c r="AP13" s="40"/>
      <c r="AQ13" s="40"/>
      <c r="AR13" s="40"/>
      <c r="AS13" s="40"/>
      <c r="AT13" s="40" t="s">
        <v>3995</v>
      </c>
      <c r="AU13" s="40">
        <v>208889959</v>
      </c>
      <c r="AV13" s="40" t="s">
        <v>3996</v>
      </c>
      <c r="AW13" s="40">
        <v>40</v>
      </c>
      <c r="AX13" s="40" t="s">
        <v>3992</v>
      </c>
      <c r="AY13" s="69"/>
      <c r="AZ13" s="40" t="s">
        <v>3997</v>
      </c>
      <c r="BA13" s="40" t="s">
        <v>3998</v>
      </c>
      <c r="BB13" s="40"/>
      <c r="BC13" s="40" t="s">
        <v>3999</v>
      </c>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v>4</v>
      </c>
    </row>
    <row r="14" spans="1:82" s="29" customFormat="1" x14ac:dyDescent="0.35">
      <c r="A14" s="22" t="s">
        <v>48</v>
      </c>
      <c r="B14" s="22">
        <v>8</v>
      </c>
      <c r="C14" s="38" t="s">
        <v>1027</v>
      </c>
      <c r="D14" s="72">
        <v>100000301060</v>
      </c>
      <c r="E14" s="71">
        <v>10702943</v>
      </c>
      <c r="F14" s="39"/>
      <c r="G14" s="39" t="s">
        <v>3978</v>
      </c>
      <c r="H14" s="22" t="str">
        <f>SubProcess</f>
        <v>MIMN</v>
      </c>
      <c r="I14" s="22" t="str">
        <f>VLOOKUP(M14,'Charge LookUp'!A2:C2000,3,FALSE)</f>
        <v>CTER</v>
      </c>
      <c r="J14" s="22">
        <f>$O14*$P14</f>
        <v>355</v>
      </c>
      <c r="K14" s="22">
        <f>$J14*_xlfn.IFS($H14="MIMN",1,$H14="IMTC",1,$H14="IMVS",1,$H14="MICG",1,$H14="IMEL",1,TRUE,-1)</f>
        <v>355</v>
      </c>
      <c r="L14" s="22" t="str">
        <f>VLOOKUP(M14,'Charge LookUp'!A2:C2000,2,FALSE)</f>
        <v>DHC</v>
      </c>
      <c r="M14" s="38" t="s">
        <v>1911</v>
      </c>
      <c r="N14" s="40"/>
      <c r="O14" s="38">
        <v>1</v>
      </c>
      <c r="P14" s="38">
        <v>355</v>
      </c>
      <c r="Q14" s="21" t="str">
        <f>IF(ISNUMBER(SEARCH("111112",$L14)),"CROSS", "")</f>
        <v/>
      </c>
      <c r="R14" s="40"/>
      <c r="S14" s="39" t="s">
        <v>936</v>
      </c>
      <c r="T14" s="40"/>
      <c r="U14" s="40" t="s">
        <v>3976</v>
      </c>
      <c r="V14" s="38">
        <v>20210308</v>
      </c>
      <c r="W14" s="40">
        <v>20210329</v>
      </c>
      <c r="X14" s="39">
        <v>1000</v>
      </c>
      <c r="Y14" s="39" t="s">
        <v>3812</v>
      </c>
      <c r="Z14" s="73" t="s">
        <v>3979</v>
      </c>
      <c r="AA14" s="40"/>
      <c r="AB14" s="40"/>
      <c r="AC14" s="74">
        <v>81175</v>
      </c>
      <c r="AD14" s="38" t="s">
        <v>3977</v>
      </c>
      <c r="AE14" s="65" t="s">
        <v>3986</v>
      </c>
      <c r="AF14" s="65" t="s">
        <v>3986</v>
      </c>
      <c r="AG14" s="40" t="s">
        <v>3981</v>
      </c>
      <c r="AH14" s="40" t="s">
        <v>3981</v>
      </c>
      <c r="AI14" s="40"/>
      <c r="AJ14" s="40"/>
      <c r="AK14" s="40"/>
      <c r="AL14" s="53"/>
      <c r="AM14" s="40">
        <v>5640482226</v>
      </c>
      <c r="AN14" s="53"/>
      <c r="AO14" s="40"/>
      <c r="AP14" s="40"/>
      <c r="AQ14" s="40"/>
      <c r="AR14" s="40"/>
      <c r="AS14" s="40"/>
      <c r="AT14" s="40" t="s">
        <v>3995</v>
      </c>
      <c r="AU14" s="40">
        <v>208889959</v>
      </c>
      <c r="AV14" s="40" t="s">
        <v>3996</v>
      </c>
      <c r="AW14" s="40">
        <v>40</v>
      </c>
      <c r="AX14" s="40" t="s">
        <v>3992</v>
      </c>
      <c r="AY14" s="69"/>
      <c r="AZ14" s="40" t="s">
        <v>3997</v>
      </c>
      <c r="BA14" s="40" t="s">
        <v>3998</v>
      </c>
      <c r="BB14" s="40"/>
      <c r="BC14" s="40" t="s">
        <v>3999</v>
      </c>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v>4</v>
      </c>
    </row>
    <row r="15" spans="1:82" s="29" customFormat="1" x14ac:dyDescent="0.35">
      <c r="A15" s="22" t="s">
        <v>48</v>
      </c>
      <c r="B15" s="22">
        <v>9</v>
      </c>
      <c r="C15" s="38" t="s">
        <v>1027</v>
      </c>
      <c r="D15" s="72">
        <v>100000301060</v>
      </c>
      <c r="E15" s="71">
        <v>10702943</v>
      </c>
      <c r="F15" s="39"/>
      <c r="G15" s="39" t="s">
        <v>3978</v>
      </c>
      <c r="H15" s="22" t="str">
        <f>SubProcess</f>
        <v>MIMN</v>
      </c>
      <c r="I15" s="22" t="str">
        <f>VLOOKUP(M15,'Charge LookUp'!A2:C2000,3,FALSE)</f>
        <v>CTER</v>
      </c>
      <c r="J15" s="22">
        <f>$O15*$P15</f>
        <v>134.12</v>
      </c>
      <c r="K15" s="22">
        <f>$J15*_xlfn.IFS($H15="MIMN",1,$H15="IMTC",1,$H15="IMVS",1,$H15="MICG",1,$H15="IMEL",1,TRUE,-1)</f>
        <v>134.12</v>
      </c>
      <c r="L15" s="22" t="str">
        <f>VLOOKUP(M15,'Charge LookUp'!A2:C2000,2,FALSE)</f>
        <v>OHC</v>
      </c>
      <c r="M15" s="38" t="s">
        <v>2250</v>
      </c>
      <c r="N15" s="40"/>
      <c r="O15" s="38">
        <v>1</v>
      </c>
      <c r="P15" s="38">
        <v>134.12</v>
      </c>
      <c r="Q15" s="21" t="str">
        <f>IF(ISNUMBER(SEARCH("111112",$L15)),"CROSS", "")</f>
        <v/>
      </c>
      <c r="R15" s="40"/>
      <c r="S15" s="39" t="s">
        <v>936</v>
      </c>
      <c r="T15" s="40"/>
      <c r="U15" s="40" t="s">
        <v>3976</v>
      </c>
      <c r="V15" s="38">
        <v>20210308</v>
      </c>
      <c r="W15" s="40">
        <v>20210329</v>
      </c>
      <c r="X15" s="39">
        <v>1000</v>
      </c>
      <c r="Y15" s="39" t="s">
        <v>3812</v>
      </c>
      <c r="Z15" s="73" t="s">
        <v>3979</v>
      </c>
      <c r="AA15" s="40"/>
      <c r="AB15" s="40"/>
      <c r="AC15" s="74">
        <v>81175</v>
      </c>
      <c r="AD15" s="38" t="s">
        <v>3977</v>
      </c>
      <c r="AE15" s="65" t="s">
        <v>3986</v>
      </c>
      <c r="AF15" s="65" t="s">
        <v>3986</v>
      </c>
      <c r="AG15" s="40" t="s">
        <v>3981</v>
      </c>
      <c r="AH15" s="40" t="s">
        <v>3981</v>
      </c>
      <c r="AI15" s="40"/>
      <c r="AJ15" s="40"/>
      <c r="AK15" s="40"/>
      <c r="AL15" s="53"/>
      <c r="AM15" s="40">
        <v>5640482226</v>
      </c>
      <c r="AN15" s="53"/>
      <c r="AO15" s="40"/>
      <c r="AP15" s="40"/>
      <c r="AQ15" s="40"/>
      <c r="AR15" s="40"/>
      <c r="AS15" s="40"/>
      <c r="AT15" s="40" t="s">
        <v>3995</v>
      </c>
      <c r="AU15" s="40">
        <v>208889959</v>
      </c>
      <c r="AV15" s="40" t="s">
        <v>3996</v>
      </c>
      <c r="AW15" s="40">
        <v>40</v>
      </c>
      <c r="AX15" s="40" t="s">
        <v>3992</v>
      </c>
      <c r="AY15" s="69"/>
      <c r="AZ15" s="40" t="s">
        <v>3997</v>
      </c>
      <c r="BA15" s="40" t="s">
        <v>3998</v>
      </c>
      <c r="BB15" s="40"/>
      <c r="BC15" s="40" t="s">
        <v>3999</v>
      </c>
      <c r="BD15" s="40"/>
      <c r="BE15" s="40"/>
      <c r="BF15" s="40"/>
      <c r="BG15" s="40"/>
      <c r="BH15" s="40"/>
      <c r="BI15" s="40"/>
      <c r="BJ15" s="40"/>
      <c r="BK15" s="40"/>
      <c r="BL15" s="40"/>
      <c r="BM15" s="40"/>
      <c r="BN15" s="40"/>
      <c r="BO15" s="40"/>
      <c r="BP15" s="40"/>
      <c r="BQ15" s="40"/>
      <c r="BR15" s="40"/>
      <c r="BS15" s="40"/>
      <c r="BT15" s="40"/>
      <c r="BU15" s="40"/>
      <c r="BV15" s="40"/>
      <c r="BW15" s="40"/>
      <c r="BX15" s="40"/>
      <c r="BY15" s="40"/>
      <c r="BZ15" s="40"/>
      <c r="CA15" s="40"/>
      <c r="CB15" s="40"/>
      <c r="CC15" s="40"/>
      <c r="CD15" s="40">
        <v>4</v>
      </c>
    </row>
    <row r="16" spans="1:82" s="29" customFormat="1" x14ac:dyDescent="0.35">
      <c r="A16" s="22" t="s">
        <v>48</v>
      </c>
      <c r="B16" s="22">
        <v>10</v>
      </c>
      <c r="C16" s="38" t="s">
        <v>1027</v>
      </c>
      <c r="D16" s="72">
        <v>100000301060</v>
      </c>
      <c r="E16" s="71">
        <v>10702943</v>
      </c>
      <c r="F16" s="39"/>
      <c r="G16" s="39" t="s">
        <v>3978</v>
      </c>
      <c r="H16" s="22" t="str">
        <f>SubProcess</f>
        <v>MIMN</v>
      </c>
      <c r="I16" s="22" t="str">
        <f>VLOOKUP(M16,'Charge LookUp'!A2:C2000,3,FALSE)</f>
        <v>CTER</v>
      </c>
      <c r="J16" s="22">
        <f>$O16*$P16</f>
        <v>710</v>
      </c>
      <c r="K16" s="22">
        <f>$J16*_xlfn.IFS($H16="MIMN",1,$H16="IMTC",1,$H16="IMVS",1,$H16="MICG",1,$H16="IMEL",1,TRUE,-1)</f>
        <v>710</v>
      </c>
      <c r="L16" s="22" t="str">
        <f>VLOOKUP(M16,'Charge LookUp'!A2:C2000,2,FALSE)</f>
        <v>DHC</v>
      </c>
      <c r="M16" s="38" t="s">
        <v>1911</v>
      </c>
      <c r="N16" s="40"/>
      <c r="O16" s="38">
        <v>1</v>
      </c>
      <c r="P16" s="38">
        <v>710</v>
      </c>
      <c r="Q16" s="21" t="str">
        <f>IF(ISNUMBER(SEARCH("111112",$L16)),"CROSS", "")</f>
        <v/>
      </c>
      <c r="R16" s="40"/>
      <c r="S16" s="39" t="s">
        <v>936</v>
      </c>
      <c r="T16" s="40"/>
      <c r="U16" s="40" t="s">
        <v>3976</v>
      </c>
      <c r="V16" s="38">
        <v>20210417</v>
      </c>
      <c r="W16" s="40">
        <v>20210522</v>
      </c>
      <c r="X16" s="39">
        <v>1000</v>
      </c>
      <c r="Y16" s="39" t="s">
        <v>3812</v>
      </c>
      <c r="Z16" s="73" t="s">
        <v>3979</v>
      </c>
      <c r="AA16" s="40"/>
      <c r="AB16" s="40"/>
      <c r="AC16" s="74">
        <v>81175</v>
      </c>
      <c r="AD16" s="38" t="s">
        <v>3977</v>
      </c>
      <c r="AE16" s="65" t="s">
        <v>3980</v>
      </c>
      <c r="AF16" s="65" t="s">
        <v>3980</v>
      </c>
      <c r="AG16" s="40" t="s">
        <v>3981</v>
      </c>
      <c r="AH16" s="40" t="s">
        <v>3981</v>
      </c>
      <c r="AI16" s="40"/>
      <c r="AJ16" s="40"/>
      <c r="AK16" s="40"/>
      <c r="AL16" s="53"/>
      <c r="AM16" s="40">
        <v>5640547932</v>
      </c>
      <c r="AN16" s="53"/>
      <c r="AO16" s="40"/>
      <c r="AP16" s="40"/>
      <c r="AQ16" s="40"/>
      <c r="AR16" s="40"/>
      <c r="AS16" s="40"/>
      <c r="AT16" s="40" t="s">
        <v>4000</v>
      </c>
      <c r="AU16" s="40">
        <v>608384614</v>
      </c>
      <c r="AV16" s="40" t="s">
        <v>4001</v>
      </c>
      <c r="AW16" s="40">
        <v>40</v>
      </c>
      <c r="AX16" s="40" t="s">
        <v>3994</v>
      </c>
      <c r="AY16" s="69"/>
      <c r="AZ16" s="40" t="s">
        <v>4002</v>
      </c>
      <c r="BA16" s="40" t="s">
        <v>4003</v>
      </c>
      <c r="BB16" s="40"/>
      <c r="BC16" s="40">
        <v>213</v>
      </c>
      <c r="BD16" s="40"/>
      <c r="BE16" s="40"/>
      <c r="BF16" s="40"/>
      <c r="BG16" s="40"/>
      <c r="BH16" s="40"/>
      <c r="BI16" s="40"/>
      <c r="BJ16" s="40"/>
      <c r="BK16" s="40"/>
      <c r="BL16" s="40"/>
      <c r="BM16" s="40"/>
      <c r="BN16" s="40"/>
      <c r="BO16" s="40"/>
      <c r="BP16" s="40"/>
      <c r="BQ16" s="40"/>
      <c r="BR16" s="40"/>
      <c r="BS16" s="40"/>
      <c r="BT16" s="40"/>
      <c r="BU16" s="40"/>
      <c r="BV16" s="40"/>
      <c r="BW16" s="40"/>
      <c r="BX16" s="40"/>
      <c r="BY16" s="40"/>
      <c r="BZ16" s="40"/>
      <c r="CA16" s="40"/>
      <c r="CB16" s="40"/>
      <c r="CC16" s="40"/>
      <c r="CD16" s="40">
        <v>5</v>
      </c>
    </row>
    <row r="17" spans="1:39" s="29" customFormat="1" ht="15" customHeight="1" x14ac:dyDescent="0.35">
      <c r="A17" s="41"/>
      <c r="B17" s="41"/>
      <c r="C17" s="27"/>
      <c r="D17" s="42"/>
      <c r="E17" s="43"/>
      <c r="F17" s="41"/>
      <c r="G17" s="41"/>
      <c r="H17" s="41"/>
      <c r="I17" s="41"/>
      <c r="J17" s="27"/>
      <c r="K17" s="27"/>
      <c r="M17" s="43"/>
      <c r="N17" s="27"/>
      <c r="O17" s="27"/>
      <c r="P17" s="27"/>
      <c r="Q17" s="27"/>
      <c r="R17" s="27"/>
      <c r="S17" s="27"/>
      <c r="T17" s="43"/>
      <c r="U17" s="43"/>
      <c r="V17" s="27"/>
      <c r="W17" s="27"/>
      <c r="X17" s="27"/>
      <c r="Y17" s="27"/>
      <c r="Z17" s="27"/>
      <c r="AA17" s="27"/>
      <c r="AB17" s="27"/>
      <c r="AC17" s="27"/>
      <c r="AD17" s="27"/>
      <c r="AE17" s="44"/>
      <c r="AF17" s="27"/>
      <c r="AG17" s="27"/>
      <c r="AH17" s="27"/>
      <c r="AI17" s="27"/>
      <c r="AJ17" s="27"/>
      <c r="AK17" s="46"/>
      <c r="AL17" s="45"/>
      <c r="AM17" s="27"/>
    </row>
    <row r="18" spans="1:39" s="47" customFormat="1" x14ac:dyDescent="0.35">
      <c r="A18" s="21" t="s">
        <v>49</v>
      </c>
      <c r="B18" s="21" t="s">
        <v>25</v>
      </c>
      <c r="C18" s="34" t="s">
        <v>534</v>
      </c>
      <c r="D18" s="37" t="s">
        <v>135</v>
      </c>
      <c r="E18" s="37" t="s">
        <v>144</v>
      </c>
      <c r="F18" s="37" t="s">
        <v>154</v>
      </c>
      <c r="G18" s="37" t="s">
        <v>327</v>
      </c>
      <c r="H18" s="37" t="s">
        <v>3295</v>
      </c>
      <c r="I18" s="37" t="s">
        <v>3296</v>
      </c>
      <c r="J18" s="37" t="s">
        <v>3300</v>
      </c>
      <c r="K18" s="37" t="s">
        <v>3297</v>
      </c>
      <c r="L18" s="37" t="s">
        <v>3298</v>
      </c>
      <c r="M18" s="37" t="s">
        <v>3294</v>
      </c>
      <c r="N18" s="37" t="s">
        <v>40</v>
      </c>
      <c r="O18" s="37" t="s">
        <v>3299</v>
      </c>
      <c r="P18" s="27"/>
      <c r="Q18" s="27"/>
      <c r="R18" s="27"/>
      <c r="S18" s="27"/>
      <c r="T18" s="27"/>
      <c r="U18" s="27"/>
      <c r="V18" s="27"/>
    </row>
    <row r="19" spans="1:39" x14ac:dyDescent="0.35">
      <c r="A19" s="22" t="s">
        <v>49</v>
      </c>
      <c r="B19" s="21" t="s">
        <v>81</v>
      </c>
      <c r="C19" s="22"/>
      <c r="D19" s="40"/>
      <c r="E19" s="40"/>
      <c r="F19" s="40"/>
      <c r="G19" s="22"/>
      <c r="H19" s="22"/>
      <c r="I19" s="22"/>
      <c r="J19" s="22"/>
      <c r="K19" s="22"/>
      <c r="L19" s="22"/>
      <c r="M19" s="22"/>
      <c r="N19" s="22"/>
      <c r="O19" s="22"/>
    </row>
    <row r="20" spans="1:39" x14ac:dyDescent="0.35">
      <c r="A20" s="22" t="s">
        <v>49</v>
      </c>
      <c r="B20" s="21" t="s">
        <v>65</v>
      </c>
      <c r="C20" s="38">
        <v>1</v>
      </c>
      <c r="D20" s="53"/>
      <c r="E20" s="53"/>
      <c r="F20" s="53"/>
      <c r="G20" s="40"/>
      <c r="H20" s="40"/>
      <c r="I20" s="40"/>
      <c r="J20" s="22">
        <f>L20*N20</f>
        <v>0</v>
      </c>
      <c r="K20" s="40"/>
      <c r="L20" s="40"/>
      <c r="M20" s="40"/>
      <c r="N20" s="40"/>
      <c r="O20" s="40"/>
    </row>
    <row r="23" spans="1:39" x14ac:dyDescent="0.35">
      <c r="AC23" s="48"/>
    </row>
  </sheetData>
  <sheetProtection sheet="1" objects="1" scenarios="1" selectLockedCells="1"/>
  <phoneticPr fontId="11" type="noConversion"/>
  <dataValidations count="8">
    <dataValidation type="list" allowBlank="1" showInputMessage="1" showErrorMessage="1" sqref="B19:B20" xr:uid="{E1EF809A-218F-4B43-87C8-5AAB8098F559}">
      <formula1>"CNT,CLK,TXT"</formula1>
    </dataValidation>
    <dataValidation type="list" allowBlank="1" showInputMessage="1" showErrorMessage="1" sqref="P17:Q17" xr:uid="{FBC42A2F-3BCD-48AA-8841-344BD372BFAD}">
      <formula1>"O,I"</formula1>
    </dataValidation>
    <dataValidation type="whole" allowBlank="1" showInputMessage="1" showErrorMessage="1" error="DAte needs to be in format YYYYMMDD" sqref="R17" xr:uid="{32C695E4-CB19-45CA-995E-16CE58597C0D}">
      <formula1>20200101</formula1>
      <formula2>20990101</formula2>
    </dataValidation>
    <dataValidation type="list" errorStyle="warning" allowBlank="1" showInputMessage="1" showErrorMessage="1" errorTitle="Charge code not found" error="The Charge code being used is not on the list on the Charge codes list worksheet. _x000a_Its possible that this list is out of date if so please fill the missing charge code in at the bottom." sqref="L16" xr:uid="{4D121148-667C-41E5-802B-0BDEB831CF2D}">
      <formula1>Charge_Code</formula1>
    </dataValidation>
    <dataValidation type="list" errorStyle="warning" allowBlank="1" sqref="U16" xr:uid="{53D6D6F0-43C6-4FDC-A535-0544F9688651}">
      <formula1>"O,I"</formula1>
    </dataValidation>
    <dataValidation type="whole" allowBlank="1" showInputMessage="1" showErrorMessage="1" error="Date needs to be in format YYYYMMDD" sqref="V7:V16" xr:uid="{BB2659AE-D2B3-44CA-9A28-5F891819219F}">
      <formula1>20100101</formula1>
      <formula2>20990101</formula2>
    </dataValidation>
    <dataValidation type="list" errorStyle="warning" allowBlank="1" showInputMessage="1" showErrorMessage="1" errorTitle="Charge code not found" error="The Charge code being used is not on the list on the Charge codes list worksheet. _x000a_Its possible that this list is out of date if so please fill the missing charge code in at the bottom." sqref="L7:L15" xr:uid="{105207B4-3468-40A3-91CA-65365C8AFAF8}">
      <formula1>Charge_Code</formula1>
    </dataValidation>
    <dataValidation type="list" errorStyle="warning" allowBlank="1" sqref="U7:U15" xr:uid="{5C7D7C9B-89B4-4DE9-9EAD-B628D745EB76}">
      <formula1>"O,I"</formula1>
    </dataValidation>
  </dataValidations>
  <pageMargins left="0.7" right="0.7" top="0.75" bottom="0.75" header="0.3" footer="0.3"/>
  <pageSetup orientation="portrait" horizontalDpi="300" verticalDpi="300" r:id="rId1"/>
  <headerFooter>
    <oddFooter>&amp;L&amp;1#&amp;"Calibri"&amp;10&amp;K000000Classification: Internal</oddFooter>
  </headerFooter>
  <drawing r:id="rId2"/>
  <legacyDrawing r:id="rId3"/>
  <controls>
    <mc:AlternateContent xmlns:mc="http://schemas.openxmlformats.org/markup-compatibility/2006">
      <mc:Choice Requires="x14">
        <control shapeId="4115" r:id="rId4" name="btnRemoveMainItem">
          <controlPr defaultSize="0" autoLine="0" r:id="rId5">
            <anchor>
              <from>
                <xdr:col>6</xdr:col>
                <xdr:colOff>469900</xdr:colOff>
                <xdr:row>0</xdr:row>
                <xdr:rowOff>0</xdr:rowOff>
              </from>
              <to>
                <xdr:col>7</xdr:col>
                <xdr:colOff>1168400</xdr:colOff>
                <xdr:row>3</xdr:row>
                <xdr:rowOff>19050</xdr:rowOff>
              </to>
            </anchor>
          </controlPr>
        </control>
      </mc:Choice>
      <mc:Fallback>
        <control shapeId="4115" r:id="rId4" name="btnRemoveMainItem"/>
      </mc:Fallback>
    </mc:AlternateContent>
    <mc:AlternateContent xmlns:mc="http://schemas.openxmlformats.org/markup-compatibility/2006">
      <mc:Choice Requires="x14">
        <control shapeId="4107" r:id="rId6" name="btnChangeInvoiceType">
          <controlPr defaultSize="0" autoLine="0" r:id="rId7">
            <anchor>
              <from>
                <xdr:col>3</xdr:col>
                <xdr:colOff>82550</xdr:colOff>
                <xdr:row>0</xdr:row>
                <xdr:rowOff>0</xdr:rowOff>
              </from>
              <to>
                <xdr:col>4</xdr:col>
                <xdr:colOff>736600</xdr:colOff>
                <xdr:row>3</xdr:row>
                <xdr:rowOff>19050</xdr:rowOff>
              </to>
            </anchor>
          </controlPr>
        </control>
      </mc:Choice>
      <mc:Fallback>
        <control shapeId="4107" r:id="rId6" name="btnChangeInvoiceType"/>
      </mc:Fallback>
    </mc:AlternateContent>
    <mc:AlternateContent xmlns:mc="http://schemas.openxmlformats.org/markup-compatibility/2006">
      <mc:Choice Requires="x14">
        <control shapeId="4099" r:id="rId8" name="btnExtractFile">
          <controlPr defaultSize="0" autoLine="0" r:id="rId9">
            <anchor>
              <from>
                <xdr:col>0</xdr:col>
                <xdr:colOff>25400</xdr:colOff>
                <xdr:row>0</xdr:row>
                <xdr:rowOff>0</xdr:rowOff>
              </from>
              <to>
                <xdr:col>2</xdr:col>
                <xdr:colOff>939800</xdr:colOff>
                <xdr:row>3</xdr:row>
                <xdr:rowOff>19050</xdr:rowOff>
              </to>
            </anchor>
          </controlPr>
        </control>
      </mc:Choice>
      <mc:Fallback>
        <control shapeId="4099" r:id="rId8" name="btnExtractFile"/>
      </mc:Fallback>
    </mc:AlternateContent>
    <mc:AlternateContent xmlns:mc="http://schemas.openxmlformats.org/markup-compatibility/2006">
      <mc:Choice Requires="x14">
        <control shapeId="4097" r:id="rId10" name="btnAddMainItem">
          <controlPr defaultSize="0" autoLine="0" r:id="rId11">
            <anchor>
              <from>
                <xdr:col>4</xdr:col>
                <xdr:colOff>1016000</xdr:colOff>
                <xdr:row>0</xdr:row>
                <xdr:rowOff>0</xdr:rowOff>
              </from>
              <to>
                <xdr:col>6</xdr:col>
                <xdr:colOff>146050</xdr:colOff>
                <xdr:row>3</xdr:row>
                <xdr:rowOff>19050</xdr:rowOff>
              </to>
            </anchor>
          </controlPr>
        </control>
      </mc:Choice>
      <mc:Fallback>
        <control shapeId="4097" r:id="rId10" name="btnAddMainItem"/>
      </mc:Fallback>
    </mc:AlternateContent>
    <mc:AlternateContent xmlns:mc="http://schemas.openxmlformats.org/markup-compatibility/2006">
      <mc:Choice Requires="x14">
        <control shapeId="4121" r:id="rId12" name="CommandButton1">
          <controlPr defaultSize="0" autoLine="0" r:id="rId13">
            <anchor moveWithCells="1">
              <from>
                <xdr:col>8</xdr:col>
                <xdr:colOff>596900</xdr:colOff>
                <xdr:row>0</xdr:row>
                <xdr:rowOff>0</xdr:rowOff>
              </from>
              <to>
                <xdr:col>9</xdr:col>
                <xdr:colOff>1428750</xdr:colOff>
                <xdr:row>3</xdr:row>
                <xdr:rowOff>31750</xdr:rowOff>
              </to>
            </anchor>
          </controlPr>
        </control>
      </mc:Choice>
      <mc:Fallback>
        <control shapeId="4121" r:id="rId12" name="CommandButton1"/>
      </mc:Fallback>
    </mc:AlternateContent>
    <mc:AlternateContent xmlns:mc="http://schemas.openxmlformats.org/markup-compatibility/2006">
      <mc:Choice Requires="x14">
        <control shapeId="4122" r:id="rId14" name="CommandButton2">
          <controlPr defaultSize="0" autoLine="0" r:id="rId15">
            <anchor moveWithCells="1">
              <from>
                <xdr:col>10</xdr:col>
                <xdr:colOff>203200</xdr:colOff>
                <xdr:row>0</xdr:row>
                <xdr:rowOff>0</xdr:rowOff>
              </from>
              <to>
                <xdr:col>11</xdr:col>
                <xdr:colOff>800100</xdr:colOff>
                <xdr:row>3</xdr:row>
                <xdr:rowOff>31750</xdr:rowOff>
              </to>
            </anchor>
          </controlPr>
        </control>
      </mc:Choice>
      <mc:Fallback>
        <control shapeId="4122" r:id="rId14" name="CommandButton2"/>
      </mc:Fallback>
    </mc:AlternateContent>
  </control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Charge code not found" error="The Charge code being used is not on the list on the Charge codes list worksheet. _x000a_Its possible that this list is out of date if so please fill the missing charge code in at the bottom." xr:uid="{4B512AEB-E92A-4E6D-896F-7F67A1003442}">
          <x14:formula1>
            <xm:f>'Charge Codes'!$B$2:$B$437</xm:f>
          </x14:formula1>
          <xm:sqref>M6</xm:sqref>
        </x14:dataValidation>
        <x14:dataValidation type="list" allowBlank="1" showInputMessage="1" showErrorMessage="1" xr:uid="{A8BD9CF9-A3B6-4444-A0F9-B0B3EC18AD6B}">
          <x14:formula1>
            <xm:f>Table!$AR$3:$AR$257</xm:f>
          </x14:formula1>
          <xm:sqref>AI7:AI16</xm:sqref>
        </x14:dataValidation>
        <x14:dataValidation type="list" errorStyle="warning" allowBlank="1" showInputMessage="1" showErrorMessage="1" errorTitle="Charge code not found" error="The Charge code being used is not on the list on the Charge codes list worksheet. _x000a_Its possible that this list is out of date if so please fill the missing charge code in at the bottom." xr:uid="{38FE1365-8C80-4394-AA70-D5E1F40E278F}">
          <x14:formula1>
            <xm:f>'Charge Codes'!$B$2:$B$2001</xm:f>
          </x14:formula1>
          <xm:sqref>M7:M16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977C-7B83-4D58-9962-8D26C07CCF23}">
  <sheetPr codeName="Sheet3"/>
  <dimension ref="A2:G161"/>
  <sheetViews>
    <sheetView topLeftCell="A133" zoomScale="72" zoomScaleNormal="85" workbookViewId="0">
      <selection activeCell="C45" sqref="C45"/>
    </sheetView>
  </sheetViews>
  <sheetFormatPr defaultRowHeight="14.5" x14ac:dyDescent="0.35"/>
  <cols>
    <col min="1" max="1" width="19.81640625" bestFit="1" customWidth="1"/>
    <col min="2" max="2" width="39.1796875" bestFit="1" customWidth="1"/>
    <col min="3" max="3" width="46.54296875" style="3" customWidth="1"/>
    <col min="5" max="5" width="20.1796875" bestFit="1" customWidth="1"/>
    <col min="6" max="6" width="29.1796875" bestFit="1" customWidth="1"/>
    <col min="7" max="7" width="55.81640625" style="3" customWidth="1"/>
    <col min="8" max="8" width="17" bestFit="1" customWidth="1"/>
    <col min="10" max="10" width="30" bestFit="1" customWidth="1"/>
  </cols>
  <sheetData>
    <row r="2" spans="1:7" x14ac:dyDescent="0.35">
      <c r="A2" s="75" t="s">
        <v>1028</v>
      </c>
      <c r="B2" s="75"/>
      <c r="E2" s="75" t="s">
        <v>1029</v>
      </c>
      <c r="F2" s="75"/>
    </row>
    <row r="3" spans="1:7" x14ac:dyDescent="0.35">
      <c r="A3" s="4" t="s">
        <v>1030</v>
      </c>
      <c r="B3" s="4" t="s">
        <v>1031</v>
      </c>
      <c r="C3" s="12" t="s">
        <v>1032</v>
      </c>
      <c r="E3" s="4" t="s">
        <v>1030</v>
      </c>
      <c r="F3" s="4" t="s">
        <v>1031</v>
      </c>
      <c r="G3" s="12" t="s">
        <v>1032</v>
      </c>
    </row>
    <row r="4" spans="1:7" ht="58" x14ac:dyDescent="0.35">
      <c r="A4" s="5" t="s">
        <v>160</v>
      </c>
      <c r="B4" s="6" t="s">
        <v>50</v>
      </c>
      <c r="C4" s="3" t="s">
        <v>1033</v>
      </c>
      <c r="E4" s="7" t="s">
        <v>115</v>
      </c>
      <c r="F4" t="s">
        <v>116</v>
      </c>
    </row>
    <row r="5" spans="1:7" ht="43.5" x14ac:dyDescent="0.35">
      <c r="A5" s="5" t="s">
        <v>169</v>
      </c>
      <c r="B5" s="6" t="s">
        <v>170</v>
      </c>
      <c r="C5" s="3" t="s">
        <v>1034</v>
      </c>
      <c r="E5" s="7" t="s">
        <v>83</v>
      </c>
      <c r="F5" t="s">
        <v>84</v>
      </c>
      <c r="G5" s="3" t="s">
        <v>1035</v>
      </c>
    </row>
    <row r="6" spans="1:7" ht="58" x14ac:dyDescent="0.35">
      <c r="A6" s="5" t="s">
        <v>179</v>
      </c>
      <c r="B6" s="6" t="s">
        <v>180</v>
      </c>
      <c r="C6" s="3" t="s">
        <v>1036</v>
      </c>
      <c r="E6" s="7" t="s">
        <v>67</v>
      </c>
      <c r="F6" t="s">
        <v>68</v>
      </c>
      <c r="G6" s="3" t="s">
        <v>1037</v>
      </c>
    </row>
    <row r="7" spans="1:7" ht="29" x14ac:dyDescent="0.35">
      <c r="A7" s="5" t="s">
        <v>189</v>
      </c>
      <c r="B7" s="6" t="s">
        <v>190</v>
      </c>
      <c r="C7" s="3" t="s">
        <v>1038</v>
      </c>
      <c r="E7" s="7" t="s">
        <v>108</v>
      </c>
      <c r="F7" t="s">
        <v>109</v>
      </c>
      <c r="G7" s="3" t="s">
        <v>1039</v>
      </c>
    </row>
    <row r="8" spans="1:7" ht="87" x14ac:dyDescent="0.35">
      <c r="A8" s="5" t="s">
        <v>198</v>
      </c>
      <c r="B8" s="6" t="s">
        <v>1040</v>
      </c>
      <c r="C8" s="3" t="s">
        <v>1041</v>
      </c>
      <c r="E8" s="7" t="s">
        <v>97</v>
      </c>
      <c r="F8" t="s">
        <v>98</v>
      </c>
    </row>
    <row r="9" spans="1:7" ht="72.5" x14ac:dyDescent="0.35">
      <c r="A9" s="5" t="s">
        <v>206</v>
      </c>
      <c r="B9" s="6" t="s">
        <v>1042</v>
      </c>
      <c r="C9" s="3" t="s">
        <v>1043</v>
      </c>
      <c r="E9" s="7" t="s">
        <v>123</v>
      </c>
      <c r="F9" t="s">
        <v>124</v>
      </c>
    </row>
    <row r="10" spans="1:7" x14ac:dyDescent="0.35">
      <c r="A10" s="5" t="s">
        <v>115</v>
      </c>
      <c r="B10" s="6" t="s">
        <v>116</v>
      </c>
      <c r="E10" s="7" t="s">
        <v>134</v>
      </c>
      <c r="F10" t="s">
        <v>135</v>
      </c>
    </row>
    <row r="11" spans="1:7" ht="29" x14ac:dyDescent="0.35">
      <c r="A11" s="5" t="s">
        <v>216</v>
      </c>
      <c r="B11" s="6" t="s">
        <v>217</v>
      </c>
      <c r="C11" s="3" t="s">
        <v>1044</v>
      </c>
      <c r="E11" s="7" t="s">
        <v>143</v>
      </c>
      <c r="F11" t="s">
        <v>144</v>
      </c>
    </row>
    <row r="12" spans="1:7" ht="43.5" x14ac:dyDescent="0.35">
      <c r="A12" s="5" t="s">
        <v>225</v>
      </c>
      <c r="B12" s="6" t="s">
        <v>226</v>
      </c>
      <c r="C12" s="3" t="s">
        <v>1045</v>
      </c>
      <c r="E12" s="7" t="s">
        <v>153</v>
      </c>
      <c r="F12" t="s">
        <v>154</v>
      </c>
    </row>
    <row r="13" spans="1:7" ht="58" x14ac:dyDescent="0.35">
      <c r="A13" s="5" t="s">
        <v>232</v>
      </c>
      <c r="B13" s="6" t="s">
        <v>233</v>
      </c>
      <c r="C13" s="3" t="s">
        <v>1046</v>
      </c>
      <c r="E13" s="7" t="s">
        <v>161</v>
      </c>
      <c r="F13" t="s">
        <v>162</v>
      </c>
    </row>
    <row r="14" spans="1:7" ht="188.5" x14ac:dyDescent="0.35">
      <c r="A14" s="5" t="s">
        <v>132</v>
      </c>
      <c r="B14" s="6" t="s">
        <v>133</v>
      </c>
      <c r="C14" s="3" t="s">
        <v>1047</v>
      </c>
      <c r="E14" s="7" t="s">
        <v>171</v>
      </c>
      <c r="F14" t="s">
        <v>172</v>
      </c>
    </row>
    <row r="15" spans="1:7" x14ac:dyDescent="0.35">
      <c r="A15" s="5" t="s">
        <v>141</v>
      </c>
      <c r="B15" s="6" t="s">
        <v>142</v>
      </c>
      <c r="C15" s="3" t="s">
        <v>1048</v>
      </c>
      <c r="E15" s="7" t="s">
        <v>181</v>
      </c>
      <c r="F15" t="s">
        <v>182</v>
      </c>
    </row>
    <row r="16" spans="1:7" ht="29" x14ac:dyDescent="0.35">
      <c r="A16" s="5" t="s">
        <v>152</v>
      </c>
      <c r="B16" s="6" t="s">
        <v>26</v>
      </c>
      <c r="C16" s="3" t="s">
        <v>1049</v>
      </c>
      <c r="E16" s="7" t="s">
        <v>191</v>
      </c>
      <c r="F16" t="s">
        <v>192</v>
      </c>
    </row>
    <row r="17" spans="1:6" ht="58" x14ac:dyDescent="0.35">
      <c r="A17" s="5" t="s">
        <v>238</v>
      </c>
      <c r="B17" s="6" t="s">
        <v>125</v>
      </c>
      <c r="C17" s="3" t="s">
        <v>1050</v>
      </c>
      <c r="E17" s="7" t="s">
        <v>200</v>
      </c>
      <c r="F17" t="s">
        <v>201</v>
      </c>
    </row>
    <row r="18" spans="1:6" x14ac:dyDescent="0.35">
      <c r="A18" s="5" t="s">
        <v>244</v>
      </c>
      <c r="B18" s="6" t="s">
        <v>245</v>
      </c>
      <c r="C18" s="3" t="s">
        <v>1051</v>
      </c>
      <c r="E18" s="7" t="s">
        <v>208</v>
      </c>
      <c r="F18" t="s">
        <v>209</v>
      </c>
    </row>
    <row r="19" spans="1:6" ht="87" x14ac:dyDescent="0.35">
      <c r="A19" s="5" t="s">
        <v>251</v>
      </c>
      <c r="B19" s="6" t="s">
        <v>252</v>
      </c>
      <c r="C19" s="3" t="s">
        <v>1052</v>
      </c>
      <c r="E19" s="7" t="s">
        <v>218</v>
      </c>
      <c r="F19" t="s">
        <v>219</v>
      </c>
    </row>
    <row r="20" spans="1:6" ht="29" x14ac:dyDescent="0.35">
      <c r="A20" s="5" t="s">
        <v>257</v>
      </c>
      <c r="B20" s="6" t="s">
        <v>258</v>
      </c>
      <c r="C20" s="3" t="s">
        <v>1053</v>
      </c>
      <c r="E20" s="7" t="s">
        <v>227</v>
      </c>
      <c r="F20" t="s">
        <v>228</v>
      </c>
    </row>
    <row r="21" spans="1:6" ht="43.5" x14ac:dyDescent="0.35">
      <c r="A21" s="5" t="s">
        <v>263</v>
      </c>
      <c r="B21" s="6" t="s">
        <v>264</v>
      </c>
      <c r="C21" s="3" t="s">
        <v>1054</v>
      </c>
      <c r="E21" s="7" t="s">
        <v>234</v>
      </c>
      <c r="F21" t="s">
        <v>235</v>
      </c>
    </row>
    <row r="22" spans="1:6" ht="29" x14ac:dyDescent="0.35">
      <c r="A22" s="5" t="s">
        <v>269</v>
      </c>
      <c r="B22" s="6" t="s">
        <v>270</v>
      </c>
      <c r="C22" s="3" t="s">
        <v>1055</v>
      </c>
      <c r="E22" s="7" t="s">
        <v>239</v>
      </c>
      <c r="F22" t="s">
        <v>240</v>
      </c>
    </row>
    <row r="23" spans="1:6" x14ac:dyDescent="0.35">
      <c r="A23" s="5" t="s">
        <v>275</v>
      </c>
      <c r="B23" s="6" t="s">
        <v>276</v>
      </c>
      <c r="C23" s="3" t="s">
        <v>1056</v>
      </c>
      <c r="E23" s="7" t="s">
        <v>246</v>
      </c>
      <c r="F23" t="s">
        <v>247</v>
      </c>
    </row>
    <row r="24" spans="1:6" x14ac:dyDescent="0.35">
      <c r="A24" s="5" t="s">
        <v>281</v>
      </c>
      <c r="B24" s="6" t="s">
        <v>282</v>
      </c>
      <c r="C24" s="3" t="s">
        <v>1056</v>
      </c>
      <c r="E24" s="7" t="s">
        <v>253</v>
      </c>
      <c r="F24" t="s">
        <v>254</v>
      </c>
    </row>
    <row r="25" spans="1:6" x14ac:dyDescent="0.35">
      <c r="A25" s="5" t="s">
        <v>287</v>
      </c>
      <c r="B25" s="6" t="s">
        <v>288</v>
      </c>
      <c r="C25" s="3" t="s">
        <v>1057</v>
      </c>
      <c r="E25" s="7" t="s">
        <v>259</v>
      </c>
      <c r="F25" t="s">
        <v>260</v>
      </c>
    </row>
    <row r="26" spans="1:6" x14ac:dyDescent="0.35">
      <c r="A26" s="5" t="s">
        <v>294</v>
      </c>
      <c r="B26" s="6" t="s">
        <v>295</v>
      </c>
      <c r="C26" s="3" t="s">
        <v>1058</v>
      </c>
      <c r="E26" s="7" t="s">
        <v>265</v>
      </c>
      <c r="F26" t="s">
        <v>266</v>
      </c>
    </row>
    <row r="27" spans="1:6" x14ac:dyDescent="0.35">
      <c r="A27" s="5" t="s">
        <v>300</v>
      </c>
      <c r="B27" s="6" t="s">
        <v>301</v>
      </c>
      <c r="C27" s="3" t="s">
        <v>1059</v>
      </c>
      <c r="E27" s="7" t="s">
        <v>271</v>
      </c>
      <c r="F27" t="s">
        <v>272</v>
      </c>
    </row>
    <row r="28" spans="1:6" x14ac:dyDescent="0.35">
      <c r="A28" s="5" t="s">
        <v>306</v>
      </c>
      <c r="B28" s="6" t="s">
        <v>307</v>
      </c>
      <c r="C28" s="3" t="s">
        <v>1060</v>
      </c>
      <c r="E28" s="7" t="s">
        <v>277</v>
      </c>
      <c r="F28" t="s">
        <v>278</v>
      </c>
    </row>
    <row r="29" spans="1:6" x14ac:dyDescent="0.35">
      <c r="A29" s="5" t="s">
        <v>312</v>
      </c>
      <c r="B29" s="6" t="s">
        <v>313</v>
      </c>
      <c r="C29" s="3" t="s">
        <v>1061</v>
      </c>
      <c r="E29" s="7" t="s">
        <v>289</v>
      </c>
      <c r="F29" t="s">
        <v>290</v>
      </c>
    </row>
    <row r="30" spans="1:6" ht="159.5" x14ac:dyDescent="0.35">
      <c r="A30" s="5" t="s">
        <v>318</v>
      </c>
      <c r="B30" s="6" t="s">
        <v>319</v>
      </c>
      <c r="C30" s="3" t="s">
        <v>1062</v>
      </c>
      <c r="E30" s="7" t="s">
        <v>283</v>
      </c>
      <c r="F30" t="s">
        <v>284</v>
      </c>
    </row>
    <row r="31" spans="1:6" x14ac:dyDescent="0.35">
      <c r="A31" s="5" t="s">
        <v>324</v>
      </c>
      <c r="B31" s="6" t="s">
        <v>325</v>
      </c>
      <c r="E31" s="7" t="s">
        <v>296</v>
      </c>
      <c r="F31" t="s">
        <v>136</v>
      </c>
    </row>
    <row r="32" spans="1:6" x14ac:dyDescent="0.35">
      <c r="A32" s="5" t="s">
        <v>330</v>
      </c>
      <c r="B32" s="6" t="s">
        <v>331</v>
      </c>
      <c r="E32" s="7" t="s">
        <v>302</v>
      </c>
      <c r="F32" t="s">
        <v>145</v>
      </c>
    </row>
    <row r="33" spans="1:6" x14ac:dyDescent="0.35">
      <c r="A33" s="5" t="s">
        <v>336</v>
      </c>
      <c r="B33" s="6" t="s">
        <v>337</v>
      </c>
      <c r="E33" s="7" t="s">
        <v>308</v>
      </c>
      <c r="F33" t="s">
        <v>155</v>
      </c>
    </row>
    <row r="34" spans="1:6" x14ac:dyDescent="0.35">
      <c r="A34" s="5" t="s">
        <v>342</v>
      </c>
      <c r="B34" s="6" t="s">
        <v>343</v>
      </c>
      <c r="E34" s="7" t="s">
        <v>314</v>
      </c>
      <c r="F34" t="s">
        <v>163</v>
      </c>
    </row>
    <row r="35" spans="1:6" x14ac:dyDescent="0.35">
      <c r="A35" s="5" t="s">
        <v>348</v>
      </c>
      <c r="B35" s="6" t="s">
        <v>349</v>
      </c>
      <c r="E35" s="7" t="s">
        <v>320</v>
      </c>
      <c r="F35" t="s">
        <v>321</v>
      </c>
    </row>
    <row r="36" spans="1:6" x14ac:dyDescent="0.35">
      <c r="A36" s="5" t="s">
        <v>354</v>
      </c>
      <c r="B36" s="6" t="s">
        <v>355</v>
      </c>
      <c r="E36" s="7" t="s">
        <v>326</v>
      </c>
      <c r="F36" t="s">
        <v>327</v>
      </c>
    </row>
    <row r="37" spans="1:6" x14ac:dyDescent="0.35">
      <c r="A37" s="5" t="s">
        <v>359</v>
      </c>
      <c r="B37" s="6" t="s">
        <v>337</v>
      </c>
      <c r="E37" s="7" t="s">
        <v>332</v>
      </c>
      <c r="F37" t="s">
        <v>333</v>
      </c>
    </row>
    <row r="38" spans="1:6" x14ac:dyDescent="0.35">
      <c r="A38" s="5" t="s">
        <v>364</v>
      </c>
      <c r="B38" s="6" t="s">
        <v>343</v>
      </c>
      <c r="E38" s="7" t="s">
        <v>338</v>
      </c>
      <c r="F38" t="s">
        <v>339</v>
      </c>
    </row>
    <row r="39" spans="1:6" x14ac:dyDescent="0.35">
      <c r="A39" s="5" t="s">
        <v>369</v>
      </c>
      <c r="B39" s="6" t="s">
        <v>349</v>
      </c>
      <c r="E39" s="7" t="s">
        <v>344</v>
      </c>
      <c r="F39" t="s">
        <v>345</v>
      </c>
    </row>
    <row r="40" spans="1:6" x14ac:dyDescent="0.35">
      <c r="A40" s="5" t="s">
        <v>374</v>
      </c>
      <c r="B40" s="6" t="s">
        <v>355</v>
      </c>
      <c r="E40" s="7" t="s">
        <v>350</v>
      </c>
      <c r="F40" t="s">
        <v>351</v>
      </c>
    </row>
    <row r="41" spans="1:6" ht="87" x14ac:dyDescent="0.35">
      <c r="A41" s="5" t="s">
        <v>378</v>
      </c>
      <c r="B41" s="6" t="s">
        <v>69</v>
      </c>
      <c r="C41" s="3" t="s">
        <v>1063</v>
      </c>
      <c r="E41" s="7" t="s">
        <v>356</v>
      </c>
      <c r="F41" t="s">
        <v>357</v>
      </c>
    </row>
    <row r="42" spans="1:6" ht="29" x14ac:dyDescent="0.35">
      <c r="A42" s="5" t="s">
        <v>383</v>
      </c>
      <c r="B42" s="6" t="s">
        <v>384</v>
      </c>
      <c r="C42" s="3" t="s">
        <v>1064</v>
      </c>
      <c r="E42" s="7" t="s">
        <v>360</v>
      </c>
      <c r="F42" t="s">
        <v>361</v>
      </c>
    </row>
    <row r="43" spans="1:6" x14ac:dyDescent="0.35">
      <c r="A43" s="5" t="s">
        <v>389</v>
      </c>
      <c r="B43" s="6" t="s">
        <v>390</v>
      </c>
      <c r="C43" s="3" t="s">
        <v>1056</v>
      </c>
      <c r="E43" s="7" t="s">
        <v>365</v>
      </c>
      <c r="F43" t="s">
        <v>366</v>
      </c>
    </row>
    <row r="44" spans="1:6" x14ac:dyDescent="0.35">
      <c r="A44" s="5" t="s">
        <v>395</v>
      </c>
      <c r="B44" s="6" t="s">
        <v>117</v>
      </c>
      <c r="C44" s="3" t="s">
        <v>1065</v>
      </c>
      <c r="E44" s="7" t="s">
        <v>370</v>
      </c>
      <c r="F44" t="s">
        <v>371</v>
      </c>
    </row>
    <row r="45" spans="1:6" x14ac:dyDescent="0.35">
      <c r="A45" s="5" t="s">
        <v>400</v>
      </c>
      <c r="B45" s="6" t="s">
        <v>401</v>
      </c>
      <c r="E45" s="7" t="s">
        <v>375</v>
      </c>
      <c r="F45" t="s">
        <v>25</v>
      </c>
    </row>
    <row r="46" spans="1:6" x14ac:dyDescent="0.35">
      <c r="A46" s="5" t="s">
        <v>404</v>
      </c>
      <c r="B46" s="6" t="s">
        <v>405</v>
      </c>
      <c r="E46" s="7" t="s">
        <v>379</v>
      </c>
      <c r="F46" t="s">
        <v>380</v>
      </c>
    </row>
    <row r="47" spans="1:6" x14ac:dyDescent="0.35">
      <c r="A47" s="5" t="s">
        <v>408</v>
      </c>
      <c r="B47" s="6" t="s">
        <v>409</v>
      </c>
      <c r="E47" s="7" t="s">
        <v>385</v>
      </c>
      <c r="F47" t="s">
        <v>386</v>
      </c>
    </row>
    <row r="48" spans="1:6" ht="58" x14ac:dyDescent="0.35">
      <c r="A48" s="5" t="s">
        <v>411</v>
      </c>
      <c r="B48" s="6" t="s">
        <v>412</v>
      </c>
      <c r="C48" s="3" t="s">
        <v>1066</v>
      </c>
      <c r="E48" s="7" t="s">
        <v>391</v>
      </c>
      <c r="F48" t="s">
        <v>392</v>
      </c>
    </row>
    <row r="49" spans="1:6" x14ac:dyDescent="0.35">
      <c r="A49" s="5" t="s">
        <v>415</v>
      </c>
      <c r="B49" s="6" t="s">
        <v>416</v>
      </c>
      <c r="E49" s="7" t="s">
        <v>396</v>
      </c>
      <c r="F49" t="s">
        <v>397</v>
      </c>
    </row>
    <row r="50" spans="1:6" x14ac:dyDescent="0.35">
      <c r="A50" s="5" t="s">
        <v>419</v>
      </c>
      <c r="B50" s="6" t="s">
        <v>420</v>
      </c>
    </row>
    <row r="51" spans="1:6" x14ac:dyDescent="0.35">
      <c r="A51" s="5" t="s">
        <v>423</v>
      </c>
      <c r="B51" s="6" t="s">
        <v>424</v>
      </c>
    </row>
    <row r="52" spans="1:6" x14ac:dyDescent="0.35">
      <c r="A52" s="5" t="s">
        <v>427</v>
      </c>
      <c r="B52" s="6" t="s">
        <v>428</v>
      </c>
    </row>
    <row r="53" spans="1:6" x14ac:dyDescent="0.35">
      <c r="A53" s="5" t="s">
        <v>431</v>
      </c>
      <c r="B53" s="6" t="s">
        <v>432</v>
      </c>
    </row>
    <row r="54" spans="1:6" x14ac:dyDescent="0.35">
      <c r="A54" s="5" t="s">
        <v>435</v>
      </c>
      <c r="B54" s="6" t="s">
        <v>436</v>
      </c>
    </row>
    <row r="55" spans="1:6" ht="87" x14ac:dyDescent="0.35">
      <c r="A55" s="5" t="s">
        <v>439</v>
      </c>
      <c r="B55" s="6" t="s">
        <v>440</v>
      </c>
      <c r="C55" s="3" t="s">
        <v>1067</v>
      </c>
    </row>
    <row r="56" spans="1:6" x14ac:dyDescent="0.35">
      <c r="A56" s="5" t="s">
        <v>442</v>
      </c>
      <c r="B56" s="6" t="s">
        <v>443</v>
      </c>
    </row>
    <row r="57" spans="1:6" ht="58" x14ac:dyDescent="0.35">
      <c r="A57" s="5" t="s">
        <v>83</v>
      </c>
      <c r="B57" s="6" t="s">
        <v>84</v>
      </c>
      <c r="C57" s="3" t="s">
        <v>1035</v>
      </c>
    </row>
    <row r="58" spans="1:6" x14ac:dyDescent="0.35">
      <c r="A58" s="5" t="s">
        <v>446</v>
      </c>
      <c r="B58" s="6" t="s">
        <v>447</v>
      </c>
    </row>
    <row r="59" spans="1:6" ht="58" x14ac:dyDescent="0.35">
      <c r="A59" s="5" t="s">
        <v>67</v>
      </c>
      <c r="B59" s="6" t="s">
        <v>68</v>
      </c>
      <c r="C59" s="3" t="s">
        <v>1068</v>
      </c>
    </row>
    <row r="60" spans="1:6" x14ac:dyDescent="0.35">
      <c r="A60" s="5" t="s">
        <v>450</v>
      </c>
      <c r="B60" s="6" t="s">
        <v>451</v>
      </c>
    </row>
    <row r="61" spans="1:6" ht="130.5" x14ac:dyDescent="0.35">
      <c r="A61" s="5" t="s">
        <v>454</v>
      </c>
      <c r="B61" s="6" t="s">
        <v>455</v>
      </c>
      <c r="C61" s="3" t="s">
        <v>1069</v>
      </c>
    </row>
    <row r="62" spans="1:6" ht="174" x14ac:dyDescent="0.35">
      <c r="A62" s="5" t="s">
        <v>122</v>
      </c>
      <c r="B62" s="6" t="s">
        <v>23</v>
      </c>
      <c r="C62" s="3" t="s">
        <v>1070</v>
      </c>
    </row>
    <row r="63" spans="1:6" x14ac:dyDescent="0.35">
      <c r="A63" s="5" t="s">
        <v>458</v>
      </c>
      <c r="B63" s="6" t="s">
        <v>459</v>
      </c>
    </row>
    <row r="64" spans="1:6" x14ac:dyDescent="0.35">
      <c r="A64" s="5" t="s">
        <v>463</v>
      </c>
      <c r="B64" s="6" t="s">
        <v>85</v>
      </c>
    </row>
    <row r="65" spans="1:3" ht="174" x14ac:dyDescent="0.35">
      <c r="A65" s="5" t="s">
        <v>466</v>
      </c>
      <c r="B65" s="6" t="s">
        <v>99</v>
      </c>
      <c r="C65" s="3" t="s">
        <v>1071</v>
      </c>
    </row>
    <row r="66" spans="1:3" ht="29" x14ac:dyDescent="0.35">
      <c r="A66" s="5" t="s">
        <v>469</v>
      </c>
      <c r="B66" s="6" t="s">
        <v>470</v>
      </c>
      <c r="C66" s="3" t="s">
        <v>1072</v>
      </c>
    </row>
    <row r="67" spans="1:3" ht="29" x14ac:dyDescent="0.35">
      <c r="A67" s="5" t="s">
        <v>473</v>
      </c>
      <c r="B67" s="6" t="s">
        <v>474</v>
      </c>
      <c r="C67" s="3" t="s">
        <v>1073</v>
      </c>
    </row>
    <row r="68" spans="1:3" x14ac:dyDescent="0.35">
      <c r="A68" s="5" t="s">
        <v>477</v>
      </c>
      <c r="B68" s="6" t="s">
        <v>478</v>
      </c>
      <c r="C68" s="3" t="s">
        <v>1060</v>
      </c>
    </row>
    <row r="69" spans="1:3" x14ac:dyDescent="0.35">
      <c r="A69" s="5" t="s">
        <v>481</v>
      </c>
      <c r="B69" s="6" t="s">
        <v>482</v>
      </c>
      <c r="C69" s="3" t="s">
        <v>1056</v>
      </c>
    </row>
    <row r="70" spans="1:3" ht="29" x14ac:dyDescent="0.35">
      <c r="A70" s="5" t="s">
        <v>108</v>
      </c>
      <c r="B70" s="6" t="s">
        <v>109</v>
      </c>
      <c r="C70" s="3" t="s">
        <v>1039</v>
      </c>
    </row>
    <row r="71" spans="1:3" x14ac:dyDescent="0.35">
      <c r="A71" s="5" t="s">
        <v>485</v>
      </c>
      <c r="B71" s="6" t="s">
        <v>486</v>
      </c>
    </row>
    <row r="72" spans="1:3" x14ac:dyDescent="0.35">
      <c r="A72" s="5" t="s">
        <v>97</v>
      </c>
      <c r="B72" s="6" t="s">
        <v>98</v>
      </c>
    </row>
    <row r="73" spans="1:3" x14ac:dyDescent="0.35">
      <c r="A73" s="5" t="s">
        <v>489</v>
      </c>
      <c r="B73" s="6" t="s">
        <v>490</v>
      </c>
    </row>
    <row r="74" spans="1:3" x14ac:dyDescent="0.35">
      <c r="A74" s="5" t="s">
        <v>497</v>
      </c>
      <c r="B74" s="6" t="s">
        <v>498</v>
      </c>
    </row>
    <row r="75" spans="1:3" x14ac:dyDescent="0.35">
      <c r="A75" s="5" t="s">
        <v>501</v>
      </c>
      <c r="B75" s="6" t="s">
        <v>502</v>
      </c>
    </row>
    <row r="76" spans="1:3" x14ac:dyDescent="0.35">
      <c r="A76" s="5" t="s">
        <v>505</v>
      </c>
      <c r="B76" s="6" t="s">
        <v>506</v>
      </c>
    </row>
    <row r="77" spans="1:3" x14ac:dyDescent="0.35">
      <c r="A77" s="5" t="s">
        <v>509</v>
      </c>
      <c r="B77" s="6" t="s">
        <v>510</v>
      </c>
    </row>
    <row r="78" spans="1:3" x14ac:dyDescent="0.35">
      <c r="A78" s="5" t="s">
        <v>513</v>
      </c>
      <c r="B78" s="6" t="s">
        <v>514</v>
      </c>
    </row>
    <row r="79" spans="1:3" x14ac:dyDescent="0.35">
      <c r="A79" s="5" t="s">
        <v>517</v>
      </c>
      <c r="B79" s="6" t="s">
        <v>518</v>
      </c>
    </row>
    <row r="80" spans="1:3" x14ac:dyDescent="0.35">
      <c r="A80" s="5" t="s">
        <v>521</v>
      </c>
      <c r="B80" s="6" t="s">
        <v>522</v>
      </c>
    </row>
    <row r="81" spans="1:2" x14ac:dyDescent="0.35">
      <c r="A81" s="5" t="s">
        <v>525</v>
      </c>
      <c r="B81" s="6" t="s">
        <v>1074</v>
      </c>
    </row>
    <row r="82" spans="1:2" x14ac:dyDescent="0.35">
      <c r="A82" s="5" t="s">
        <v>529</v>
      </c>
      <c r="B82" s="6" t="s">
        <v>530</v>
      </c>
    </row>
    <row r="83" spans="1:2" x14ac:dyDescent="0.35">
      <c r="A83" s="5" t="s">
        <v>533</v>
      </c>
      <c r="B83" s="6" t="s">
        <v>1075</v>
      </c>
    </row>
    <row r="84" spans="1:2" x14ac:dyDescent="0.35">
      <c r="A84" s="5" t="s">
        <v>572</v>
      </c>
      <c r="B84" s="6" t="s">
        <v>573</v>
      </c>
    </row>
    <row r="85" spans="1:2" x14ac:dyDescent="0.35">
      <c r="A85" s="5" t="s">
        <v>537</v>
      </c>
      <c r="B85" s="6" t="s">
        <v>52</v>
      </c>
    </row>
    <row r="86" spans="1:2" x14ac:dyDescent="0.35">
      <c r="A86" s="5" t="s">
        <v>540</v>
      </c>
      <c r="B86" s="6" t="s">
        <v>541</v>
      </c>
    </row>
    <row r="87" spans="1:2" x14ac:dyDescent="0.35">
      <c r="A87" s="5" t="s">
        <v>548</v>
      </c>
      <c r="B87" s="6" t="s">
        <v>549</v>
      </c>
    </row>
    <row r="88" spans="1:2" x14ac:dyDescent="0.35">
      <c r="A88" s="5" t="s">
        <v>544</v>
      </c>
      <c r="B88" s="6" t="s">
        <v>545</v>
      </c>
    </row>
    <row r="89" spans="1:2" x14ac:dyDescent="0.35">
      <c r="A89" s="5" t="s">
        <v>552</v>
      </c>
      <c r="B89" s="6" t="s">
        <v>553</v>
      </c>
    </row>
    <row r="90" spans="1:2" x14ac:dyDescent="0.35">
      <c r="A90" s="5" t="s">
        <v>556</v>
      </c>
      <c r="B90" s="6" t="s">
        <v>557</v>
      </c>
    </row>
    <row r="91" spans="1:2" x14ac:dyDescent="0.35">
      <c r="A91" s="5" t="s">
        <v>560</v>
      </c>
      <c r="B91" s="6" t="s">
        <v>561</v>
      </c>
    </row>
    <row r="92" spans="1:2" x14ac:dyDescent="0.35">
      <c r="A92" s="5" t="s">
        <v>564</v>
      </c>
      <c r="B92" s="6" t="s">
        <v>565</v>
      </c>
    </row>
    <row r="93" spans="1:2" x14ac:dyDescent="0.35">
      <c r="A93" s="5" t="s">
        <v>568</v>
      </c>
      <c r="B93" s="6" t="s">
        <v>569</v>
      </c>
    </row>
    <row r="94" spans="1:2" x14ac:dyDescent="0.35">
      <c r="A94" s="5" t="s">
        <v>576</v>
      </c>
      <c r="B94" s="6" t="s">
        <v>577</v>
      </c>
    </row>
    <row r="95" spans="1:2" x14ac:dyDescent="0.35">
      <c r="A95" s="5" t="s">
        <v>580</v>
      </c>
      <c r="B95" s="6" t="s">
        <v>581</v>
      </c>
    </row>
    <row r="96" spans="1:2" x14ac:dyDescent="0.35">
      <c r="A96" s="5" t="s">
        <v>587</v>
      </c>
      <c r="B96" s="6" t="s">
        <v>588</v>
      </c>
    </row>
    <row r="97" spans="1:2" x14ac:dyDescent="0.35">
      <c r="A97" s="5" t="s">
        <v>591</v>
      </c>
      <c r="B97" s="6" t="s">
        <v>592</v>
      </c>
    </row>
    <row r="98" spans="1:2" x14ac:dyDescent="0.35">
      <c r="A98" s="5" t="s">
        <v>595</v>
      </c>
      <c r="B98" s="6" t="s">
        <v>596</v>
      </c>
    </row>
    <row r="99" spans="1:2" x14ac:dyDescent="0.35">
      <c r="A99" s="5" t="s">
        <v>603</v>
      </c>
      <c r="B99" s="6" t="s">
        <v>604</v>
      </c>
    </row>
    <row r="100" spans="1:2" x14ac:dyDescent="0.35">
      <c r="A100" s="5" t="s">
        <v>607</v>
      </c>
      <c r="B100" s="6" t="s">
        <v>608</v>
      </c>
    </row>
    <row r="101" spans="1:2" x14ac:dyDescent="0.35">
      <c r="A101" s="5" t="s">
        <v>615</v>
      </c>
      <c r="B101" s="6" t="s">
        <v>616</v>
      </c>
    </row>
    <row r="102" spans="1:2" x14ac:dyDescent="0.35">
      <c r="A102" s="5" t="s">
        <v>629</v>
      </c>
      <c r="B102" s="6" t="s">
        <v>1076</v>
      </c>
    </row>
    <row r="103" spans="1:2" x14ac:dyDescent="0.35">
      <c r="A103" s="5" t="s">
        <v>626</v>
      </c>
      <c r="B103" s="6" t="s">
        <v>1077</v>
      </c>
    </row>
    <row r="104" spans="1:2" x14ac:dyDescent="0.35">
      <c r="A104" s="5" t="s">
        <v>636</v>
      </c>
      <c r="B104" s="6" t="s">
        <v>637</v>
      </c>
    </row>
    <row r="105" spans="1:2" x14ac:dyDescent="0.35">
      <c r="A105" s="5" t="s">
        <v>640</v>
      </c>
      <c r="B105" s="6" t="s">
        <v>641</v>
      </c>
    </row>
    <row r="106" spans="1:2" x14ac:dyDescent="0.35">
      <c r="A106" s="5" t="s">
        <v>644</v>
      </c>
      <c r="B106" s="6" t="s">
        <v>645</v>
      </c>
    </row>
    <row r="107" spans="1:2" x14ac:dyDescent="0.35">
      <c r="A107" s="5" t="s">
        <v>647</v>
      </c>
      <c r="B107" s="6" t="s">
        <v>648</v>
      </c>
    </row>
    <row r="108" spans="1:2" x14ac:dyDescent="0.35">
      <c r="A108" s="5" t="s">
        <v>253</v>
      </c>
      <c r="B108" s="6" t="s">
        <v>254</v>
      </c>
    </row>
    <row r="109" spans="1:2" x14ac:dyDescent="0.35">
      <c r="A109" s="5" t="s">
        <v>296</v>
      </c>
      <c r="B109" s="6" t="s">
        <v>136</v>
      </c>
    </row>
    <row r="110" spans="1:2" x14ac:dyDescent="0.35">
      <c r="A110" s="5" t="s">
        <v>302</v>
      </c>
      <c r="B110" s="6" t="s">
        <v>145</v>
      </c>
    </row>
    <row r="111" spans="1:2" x14ac:dyDescent="0.35">
      <c r="A111" s="5" t="s">
        <v>308</v>
      </c>
      <c r="B111" s="6" t="s">
        <v>155</v>
      </c>
    </row>
    <row r="112" spans="1:2" x14ac:dyDescent="0.35">
      <c r="A112" s="5" t="s">
        <v>314</v>
      </c>
      <c r="B112" s="6" t="s">
        <v>163</v>
      </c>
    </row>
    <row r="113" spans="1:2" x14ac:dyDescent="0.35">
      <c r="A113" s="5" t="s">
        <v>667</v>
      </c>
      <c r="B113" s="6" t="s">
        <v>1078</v>
      </c>
    </row>
    <row r="114" spans="1:2" x14ac:dyDescent="0.35">
      <c r="A114" s="5" t="s">
        <v>671</v>
      </c>
      <c r="B114" s="6" t="s">
        <v>672</v>
      </c>
    </row>
    <row r="115" spans="1:2" x14ac:dyDescent="0.35">
      <c r="A115" s="5" t="s">
        <v>675</v>
      </c>
      <c r="B115" s="6" t="s">
        <v>676</v>
      </c>
    </row>
    <row r="116" spans="1:2" x14ac:dyDescent="0.35">
      <c r="A116" s="5" t="s">
        <v>679</v>
      </c>
      <c r="B116" s="6" t="s">
        <v>680</v>
      </c>
    </row>
    <row r="117" spans="1:2" x14ac:dyDescent="0.35">
      <c r="A117" s="5" t="s">
        <v>683</v>
      </c>
      <c r="B117" s="6" t="s">
        <v>684</v>
      </c>
    </row>
    <row r="118" spans="1:2" x14ac:dyDescent="0.35">
      <c r="A118" s="5" t="s">
        <v>687</v>
      </c>
      <c r="B118" s="6" t="s">
        <v>688</v>
      </c>
    </row>
    <row r="119" spans="1:2" x14ac:dyDescent="0.35">
      <c r="A119" s="5" t="s">
        <v>711</v>
      </c>
      <c r="B119" s="6" t="s">
        <v>712</v>
      </c>
    </row>
    <row r="120" spans="1:2" x14ac:dyDescent="0.35">
      <c r="A120" s="5" t="s">
        <v>734</v>
      </c>
      <c r="B120" s="6" t="s">
        <v>735</v>
      </c>
    </row>
    <row r="121" spans="1:2" x14ac:dyDescent="0.35">
      <c r="A121" s="5" t="s">
        <v>730</v>
      </c>
      <c r="B121" s="6" t="s">
        <v>731</v>
      </c>
    </row>
    <row r="122" spans="1:2" x14ac:dyDescent="0.35">
      <c r="A122" s="5" t="s">
        <v>738</v>
      </c>
      <c r="B122" s="6" t="s">
        <v>739</v>
      </c>
    </row>
    <row r="123" spans="1:2" x14ac:dyDescent="0.35">
      <c r="A123" s="5" t="s">
        <v>750</v>
      </c>
      <c r="B123" s="6" t="s">
        <v>751</v>
      </c>
    </row>
    <row r="124" spans="1:2" x14ac:dyDescent="0.35">
      <c r="A124" s="5" t="s">
        <v>746</v>
      </c>
      <c r="B124" s="6" t="s">
        <v>747</v>
      </c>
    </row>
    <row r="125" spans="1:2" x14ac:dyDescent="0.35">
      <c r="A125" s="5" t="s">
        <v>754</v>
      </c>
      <c r="B125" s="6" t="s">
        <v>755</v>
      </c>
    </row>
    <row r="126" spans="1:2" x14ac:dyDescent="0.35">
      <c r="A126" s="5" t="s">
        <v>758</v>
      </c>
      <c r="B126" s="6" t="s">
        <v>759</v>
      </c>
    </row>
    <row r="127" spans="1:2" x14ac:dyDescent="0.35">
      <c r="A127" s="5" t="s">
        <v>762</v>
      </c>
      <c r="B127" s="6" t="s">
        <v>763</v>
      </c>
    </row>
    <row r="128" spans="1:2" x14ac:dyDescent="0.35">
      <c r="A128" s="5" t="s">
        <v>766</v>
      </c>
      <c r="B128" s="6" t="s">
        <v>767</v>
      </c>
    </row>
    <row r="129" spans="1:2" x14ac:dyDescent="0.35">
      <c r="A129" s="5" t="s">
        <v>770</v>
      </c>
      <c r="B129" s="6" t="s">
        <v>771</v>
      </c>
    </row>
    <row r="130" spans="1:2" x14ac:dyDescent="0.35">
      <c r="A130" s="5" t="s">
        <v>773</v>
      </c>
      <c r="B130" s="6" t="s">
        <v>774</v>
      </c>
    </row>
    <row r="131" spans="1:2" x14ac:dyDescent="0.35">
      <c r="A131" s="5" t="s">
        <v>777</v>
      </c>
      <c r="B131" s="6" t="s">
        <v>778</v>
      </c>
    </row>
    <row r="132" spans="1:2" x14ac:dyDescent="0.35">
      <c r="A132" s="5" t="s">
        <v>781</v>
      </c>
      <c r="B132" s="6" t="s">
        <v>782</v>
      </c>
    </row>
    <row r="133" spans="1:2" x14ac:dyDescent="0.35">
      <c r="A133" s="5" t="s">
        <v>785</v>
      </c>
      <c r="B133" s="6" t="s">
        <v>786</v>
      </c>
    </row>
    <row r="134" spans="1:2" x14ac:dyDescent="0.35">
      <c r="A134" s="5" t="s">
        <v>797</v>
      </c>
      <c r="B134" s="6" t="s">
        <v>798</v>
      </c>
    </row>
    <row r="135" spans="1:2" x14ac:dyDescent="0.35">
      <c r="A135" s="5" t="s">
        <v>801</v>
      </c>
      <c r="B135" s="6" t="s">
        <v>802</v>
      </c>
    </row>
    <row r="136" spans="1:2" x14ac:dyDescent="0.35">
      <c r="A136" s="5" t="s">
        <v>805</v>
      </c>
      <c r="B136" s="6" t="s">
        <v>173</v>
      </c>
    </row>
    <row r="137" spans="1:2" x14ac:dyDescent="0.35">
      <c r="A137" s="5" t="s">
        <v>808</v>
      </c>
      <c r="B137" s="6" t="s">
        <v>40</v>
      </c>
    </row>
    <row r="138" spans="1:2" x14ac:dyDescent="0.35">
      <c r="A138" s="5" t="s">
        <v>811</v>
      </c>
      <c r="B138" s="6" t="s">
        <v>183</v>
      </c>
    </row>
    <row r="139" spans="1:2" x14ac:dyDescent="0.35">
      <c r="A139" s="5" t="s">
        <v>814</v>
      </c>
      <c r="B139" s="6" t="s">
        <v>193</v>
      </c>
    </row>
    <row r="140" spans="1:2" x14ac:dyDescent="0.35">
      <c r="A140" s="5" t="s">
        <v>830</v>
      </c>
      <c r="B140" s="6" t="s">
        <v>71</v>
      </c>
    </row>
    <row r="141" spans="1:2" x14ac:dyDescent="0.35">
      <c r="A141" s="5" t="s">
        <v>833</v>
      </c>
      <c r="B141" s="6" t="s">
        <v>87</v>
      </c>
    </row>
    <row r="142" spans="1:2" x14ac:dyDescent="0.35">
      <c r="A142" s="5" t="s">
        <v>836</v>
      </c>
      <c r="B142" s="6" t="s">
        <v>837</v>
      </c>
    </row>
    <row r="143" spans="1:2" x14ac:dyDescent="0.35">
      <c r="A143" s="5" t="s">
        <v>844</v>
      </c>
      <c r="B143" s="6" t="s">
        <v>845</v>
      </c>
    </row>
    <row r="144" spans="1:2" x14ac:dyDescent="0.35">
      <c r="A144" s="5" t="s">
        <v>848</v>
      </c>
      <c r="B144" s="6" t="s">
        <v>849</v>
      </c>
    </row>
    <row r="145" spans="1:2" x14ac:dyDescent="0.35">
      <c r="A145" s="5" t="s">
        <v>852</v>
      </c>
      <c r="B145" s="6" t="s">
        <v>853</v>
      </c>
    </row>
    <row r="146" spans="1:2" x14ac:dyDescent="0.35">
      <c r="A146" s="5" t="s">
        <v>860</v>
      </c>
      <c r="B146" s="6" t="s">
        <v>210</v>
      </c>
    </row>
    <row r="147" spans="1:2" x14ac:dyDescent="0.35">
      <c r="A147" s="5" t="s">
        <v>863</v>
      </c>
      <c r="B147" s="6" t="s">
        <v>864</v>
      </c>
    </row>
    <row r="148" spans="1:2" x14ac:dyDescent="0.35">
      <c r="A148" s="5" t="s">
        <v>871</v>
      </c>
      <c r="B148" s="6" t="s">
        <v>202</v>
      </c>
    </row>
    <row r="149" spans="1:2" x14ac:dyDescent="0.35">
      <c r="A149" s="5" t="s">
        <v>878</v>
      </c>
      <c r="B149" s="6" t="s">
        <v>879</v>
      </c>
    </row>
    <row r="150" spans="1:2" x14ac:dyDescent="0.35">
      <c r="A150" s="5" t="s">
        <v>882</v>
      </c>
      <c r="B150" s="6" t="s">
        <v>883</v>
      </c>
    </row>
    <row r="151" spans="1:2" x14ac:dyDescent="0.35">
      <c r="A151" s="5" t="s">
        <v>886</v>
      </c>
      <c r="B151" s="6" t="s">
        <v>887</v>
      </c>
    </row>
    <row r="152" spans="1:2" x14ac:dyDescent="0.35">
      <c r="A152" s="5" t="s">
        <v>890</v>
      </c>
      <c r="B152" s="6" t="s">
        <v>891</v>
      </c>
    </row>
    <row r="153" spans="1:2" x14ac:dyDescent="0.35">
      <c r="A153" s="5" t="s">
        <v>918</v>
      </c>
      <c r="B153" s="6" t="s">
        <v>919</v>
      </c>
    </row>
    <row r="154" spans="1:2" x14ac:dyDescent="0.35">
      <c r="A154" s="5" t="s">
        <v>922</v>
      </c>
      <c r="B154" s="6" t="s">
        <v>923</v>
      </c>
    </row>
    <row r="155" spans="1:2" x14ac:dyDescent="0.35">
      <c r="A155" s="5" t="s">
        <v>926</v>
      </c>
      <c r="B155" s="6" t="s">
        <v>927</v>
      </c>
    </row>
    <row r="156" spans="1:2" x14ac:dyDescent="0.35">
      <c r="A156" s="5" t="s">
        <v>902</v>
      </c>
      <c r="B156" s="6" t="s">
        <v>903</v>
      </c>
    </row>
    <row r="157" spans="1:2" x14ac:dyDescent="0.35">
      <c r="A157" s="5" t="s">
        <v>906</v>
      </c>
      <c r="B157" s="6" t="s">
        <v>907</v>
      </c>
    </row>
    <row r="158" spans="1:2" x14ac:dyDescent="0.35">
      <c r="A158" s="5" t="s">
        <v>910</v>
      </c>
      <c r="B158" s="6" t="s">
        <v>911</v>
      </c>
    </row>
    <row r="159" spans="1:2" x14ac:dyDescent="0.35">
      <c r="A159" s="5" t="s">
        <v>929</v>
      </c>
      <c r="B159" s="6" t="s">
        <v>930</v>
      </c>
    </row>
    <row r="160" spans="1:2" x14ac:dyDescent="0.35">
      <c r="A160" s="5" t="s">
        <v>933</v>
      </c>
      <c r="B160" s="6" t="s">
        <v>934</v>
      </c>
    </row>
    <row r="161" spans="1:2" x14ac:dyDescent="0.35">
      <c r="A161" s="5" t="s">
        <v>914</v>
      </c>
      <c r="B161" s="6" t="s">
        <v>915</v>
      </c>
    </row>
  </sheetData>
  <autoFilter ref="A3:G161" xr:uid="{06F252E4-E9DF-4B9D-8BE0-699A627AD3B3}"/>
  <mergeCells count="2">
    <mergeCell ref="A2:B2"/>
    <mergeCell ref="E2:F2"/>
  </mergeCells>
  <pageMargins left="0.7" right="0.7" top="0.75" bottom="0.75" header="0.3" footer="0.3"/>
  <pageSetup orientation="portrait" horizontalDpi="300" verticalDpi="300" r:id="rId1"/>
  <headerFooter>
    <oddFooter>&amp;L&amp;1#&amp;"Calibri"&amp;10&amp;K000000Classification: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C732F-64A4-49DA-AE97-334405F5D93D}">
  <sheetPr codeName="Sheet5"/>
  <dimension ref="A6:A9"/>
  <sheetViews>
    <sheetView workbookViewId="0">
      <selection activeCell="A13" sqref="A13"/>
    </sheetView>
  </sheetViews>
  <sheetFormatPr defaultRowHeight="14.5" x14ac:dyDescent="0.35"/>
  <cols>
    <col min="1" max="1" width="85" bestFit="1" customWidth="1"/>
  </cols>
  <sheetData>
    <row r="6" spans="1:1" x14ac:dyDescent="0.35">
      <c r="A6" t="s">
        <v>1079</v>
      </c>
    </row>
    <row r="7" spans="1:1" x14ac:dyDescent="0.35">
      <c r="A7" t="s">
        <v>1080</v>
      </c>
    </row>
    <row r="8" spans="1:1" x14ac:dyDescent="0.35">
      <c r="A8" t="s">
        <v>1081</v>
      </c>
    </row>
    <row r="9" spans="1:1" x14ac:dyDescent="0.35">
      <c r="A9" t="s">
        <v>1082</v>
      </c>
    </row>
  </sheetData>
  <pageMargins left="0.7" right="0.7" top="0.75" bottom="0.75" header="0.3" footer="0.3"/>
  <pageSetup paperSize="9" orientation="portrait" r:id="rId1"/>
  <headerFooter>
    <oddFooter>&amp;L&amp;1#&amp;"Calibri"&amp;10&amp;K000000Classification: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281C-9B0F-4B1F-94A6-0CB21C87950B}">
  <sheetPr codeName="Sheet1" filterMode="1"/>
  <dimension ref="A1:F1415"/>
  <sheetViews>
    <sheetView workbookViewId="0">
      <selection activeCell="B835" sqref="B835"/>
    </sheetView>
  </sheetViews>
  <sheetFormatPr defaultRowHeight="14.5" x14ac:dyDescent="0.35"/>
  <cols>
    <col min="1" max="1" width="12" bestFit="1" customWidth="1"/>
    <col min="2" max="2" width="35.81640625" bestFit="1" customWidth="1"/>
    <col min="3" max="3" width="9" customWidth="1"/>
    <col min="4" max="4" width="23.6328125" customWidth="1"/>
  </cols>
  <sheetData>
    <row r="1" spans="1:4" ht="25" x14ac:dyDescent="0.35">
      <c r="A1" s="25" t="s">
        <v>604</v>
      </c>
      <c r="B1" s="25" t="s">
        <v>1083</v>
      </c>
      <c r="C1" s="26" t="s">
        <v>133</v>
      </c>
      <c r="D1" s="26" t="s">
        <v>3648</v>
      </c>
    </row>
    <row r="2" spans="1:4" hidden="1" x14ac:dyDescent="0.35">
      <c r="A2" s="6">
        <v>100037</v>
      </c>
      <c r="B2" s="6" t="s">
        <v>2541</v>
      </c>
      <c r="C2" s="6" t="s">
        <v>3319</v>
      </c>
      <c r="D2" s="6" t="s">
        <v>3622</v>
      </c>
    </row>
    <row r="3" spans="1:4" hidden="1" x14ac:dyDescent="0.35">
      <c r="A3" s="6">
        <v>100048</v>
      </c>
      <c r="B3" s="6" t="s">
        <v>2471</v>
      </c>
      <c r="C3" s="6" t="s">
        <v>3319</v>
      </c>
      <c r="D3" s="6" t="s">
        <v>3622</v>
      </c>
    </row>
    <row r="4" spans="1:4" hidden="1" x14ac:dyDescent="0.35">
      <c r="A4" s="6">
        <v>100160</v>
      </c>
      <c r="B4" s="6" t="s">
        <v>1243</v>
      </c>
      <c r="C4" s="6" t="s">
        <v>94</v>
      </c>
      <c r="D4" s="6" t="s">
        <v>3622</v>
      </c>
    </row>
    <row r="5" spans="1:4" hidden="1" x14ac:dyDescent="0.35">
      <c r="A5" s="6">
        <v>100194</v>
      </c>
      <c r="B5" s="6" t="s">
        <v>1245</v>
      </c>
      <c r="C5" s="6" t="s">
        <v>1244</v>
      </c>
      <c r="D5" s="6" t="s">
        <v>3623</v>
      </c>
    </row>
    <row r="6" spans="1:4" hidden="1" x14ac:dyDescent="0.35">
      <c r="A6" s="6">
        <v>100219</v>
      </c>
      <c r="B6" s="6" t="s">
        <v>3320</v>
      </c>
      <c r="C6" s="6" t="s">
        <v>1242</v>
      </c>
      <c r="D6" s="6" t="s">
        <v>3622</v>
      </c>
    </row>
    <row r="7" spans="1:4" hidden="1" x14ac:dyDescent="0.35">
      <c r="A7" s="6">
        <v>100240</v>
      </c>
      <c r="B7" s="6" t="s">
        <v>1253</v>
      </c>
      <c r="C7" s="6" t="s">
        <v>1244</v>
      </c>
      <c r="D7" s="6" t="s">
        <v>3623</v>
      </c>
    </row>
    <row r="8" spans="1:4" hidden="1" x14ac:dyDescent="0.35">
      <c r="A8" s="6">
        <v>100246</v>
      </c>
      <c r="B8" s="6" t="s">
        <v>1254</v>
      </c>
      <c r="C8" s="6" t="s">
        <v>1244</v>
      </c>
      <c r="D8" s="6" t="s">
        <v>3622</v>
      </c>
    </row>
    <row r="9" spans="1:4" hidden="1" x14ac:dyDescent="0.35">
      <c r="A9" s="6">
        <v>100250</v>
      </c>
      <c r="B9" s="6" t="s">
        <v>1255</v>
      </c>
      <c r="C9" s="6" t="s">
        <v>1244</v>
      </c>
      <c r="D9" s="6" t="s">
        <v>3622</v>
      </c>
    </row>
    <row r="10" spans="1:4" hidden="1" x14ac:dyDescent="0.35">
      <c r="A10" s="6">
        <v>100259</v>
      </c>
      <c r="B10" s="6" t="s">
        <v>1256</v>
      </c>
      <c r="C10" s="6" t="s">
        <v>94</v>
      </c>
      <c r="D10" s="6" t="s">
        <v>3622</v>
      </c>
    </row>
    <row r="11" spans="1:4" hidden="1" x14ac:dyDescent="0.35">
      <c r="A11" s="6">
        <v>100261</v>
      </c>
      <c r="B11" s="6" t="s">
        <v>1257</v>
      </c>
      <c r="C11" s="6" t="s">
        <v>94</v>
      </c>
      <c r="D11" s="6" t="s">
        <v>3622</v>
      </c>
    </row>
    <row r="12" spans="1:4" hidden="1" x14ac:dyDescent="0.35">
      <c r="A12" s="6">
        <v>100263</v>
      </c>
      <c r="B12" s="6" t="s">
        <v>1258</v>
      </c>
      <c r="C12" s="6" t="s">
        <v>1244</v>
      </c>
      <c r="D12" s="6" t="s">
        <v>3623</v>
      </c>
    </row>
    <row r="13" spans="1:4" hidden="1" x14ac:dyDescent="0.35">
      <c r="A13" s="6">
        <v>100315</v>
      </c>
      <c r="B13" s="6" t="s">
        <v>1259</v>
      </c>
      <c r="C13" s="6" t="s">
        <v>64</v>
      </c>
      <c r="D13" s="6" t="s">
        <v>3622</v>
      </c>
    </row>
    <row r="14" spans="1:4" hidden="1" x14ac:dyDescent="0.35">
      <c r="A14" s="6">
        <v>100357</v>
      </c>
      <c r="B14" s="6" t="s">
        <v>1260</v>
      </c>
      <c r="C14" s="6" t="s">
        <v>1244</v>
      </c>
      <c r="D14" s="6" t="s">
        <v>3623</v>
      </c>
    </row>
    <row r="15" spans="1:4" hidden="1" x14ac:dyDescent="0.35">
      <c r="A15" s="6">
        <v>100365</v>
      </c>
      <c r="B15" s="6" t="s">
        <v>1261</v>
      </c>
      <c r="C15" s="6" t="s">
        <v>1244</v>
      </c>
      <c r="D15" s="6" t="s">
        <v>3623</v>
      </c>
    </row>
    <row r="16" spans="1:4" hidden="1" x14ac:dyDescent="0.35">
      <c r="A16" s="6">
        <v>100389</v>
      </c>
      <c r="B16" s="6" t="s">
        <v>1263</v>
      </c>
      <c r="C16" s="6" t="s">
        <v>1244</v>
      </c>
      <c r="D16" s="6" t="s">
        <v>3624</v>
      </c>
    </row>
    <row r="17" spans="1:4" hidden="1" x14ac:dyDescent="0.35">
      <c r="A17" s="6">
        <v>100398</v>
      </c>
      <c r="B17" s="6" t="s">
        <v>1264</v>
      </c>
      <c r="C17" s="6" t="s">
        <v>1249</v>
      </c>
      <c r="D17" s="6" t="s">
        <v>3624</v>
      </c>
    </row>
    <row r="18" spans="1:4" hidden="1" x14ac:dyDescent="0.35">
      <c r="A18" s="6">
        <v>100426</v>
      </c>
      <c r="B18" s="6" t="s">
        <v>3321</v>
      </c>
      <c r="C18" s="6" t="s">
        <v>1244</v>
      </c>
      <c r="D18" s="6" t="s">
        <v>3623</v>
      </c>
    </row>
    <row r="19" spans="1:4" hidden="1" x14ac:dyDescent="0.35">
      <c r="A19" s="6">
        <v>100443</v>
      </c>
      <c r="B19" s="6" t="s">
        <v>1266</v>
      </c>
      <c r="C19" s="6" t="s">
        <v>2472</v>
      </c>
      <c r="D19" s="6" t="s">
        <v>3623</v>
      </c>
    </row>
    <row r="20" spans="1:4" hidden="1" x14ac:dyDescent="0.35">
      <c r="A20" s="6">
        <v>100496</v>
      </c>
      <c r="B20" s="6" t="s">
        <v>1267</v>
      </c>
      <c r="C20" s="6" t="s">
        <v>1244</v>
      </c>
      <c r="D20" s="6" t="s">
        <v>3622</v>
      </c>
    </row>
    <row r="21" spans="1:4" hidden="1" x14ac:dyDescent="0.35">
      <c r="A21" s="6">
        <v>100571</v>
      </c>
      <c r="B21" s="6" t="s">
        <v>1701</v>
      </c>
      <c r="C21" s="6" t="s">
        <v>94</v>
      </c>
      <c r="D21" s="6" t="s">
        <v>3622</v>
      </c>
    </row>
    <row r="22" spans="1:4" hidden="1" x14ac:dyDescent="0.35">
      <c r="A22" s="6">
        <v>100610</v>
      </c>
      <c r="B22" s="6" t="s">
        <v>1268</v>
      </c>
      <c r="C22" s="6" t="s">
        <v>1244</v>
      </c>
      <c r="D22" s="6" t="s">
        <v>3622</v>
      </c>
    </row>
    <row r="23" spans="1:4" hidden="1" x14ac:dyDescent="0.35">
      <c r="A23" s="6">
        <v>100641</v>
      </c>
      <c r="B23" s="6" t="s">
        <v>1690</v>
      </c>
      <c r="C23" s="6" t="s">
        <v>1691</v>
      </c>
      <c r="D23" s="6" t="s">
        <v>3624</v>
      </c>
    </row>
    <row r="24" spans="1:4" hidden="1" x14ac:dyDescent="0.35">
      <c r="A24" s="6">
        <v>100642</v>
      </c>
      <c r="B24" s="6" t="s">
        <v>1692</v>
      </c>
      <c r="C24" s="6" t="s">
        <v>1691</v>
      </c>
      <c r="D24" s="6" t="s">
        <v>3622</v>
      </c>
    </row>
    <row r="25" spans="1:4" hidden="1" x14ac:dyDescent="0.35">
      <c r="A25" s="6">
        <v>100843</v>
      </c>
      <c r="B25" s="6" t="s">
        <v>2473</v>
      </c>
      <c r="C25" s="6" t="s">
        <v>3319</v>
      </c>
      <c r="D25" s="6" t="s">
        <v>3622</v>
      </c>
    </row>
    <row r="26" spans="1:4" hidden="1" x14ac:dyDescent="0.35">
      <c r="A26" s="6">
        <v>100844</v>
      </c>
      <c r="B26" s="6" t="s">
        <v>2474</v>
      </c>
      <c r="C26" s="6" t="s">
        <v>3319</v>
      </c>
      <c r="D26" s="6" t="s">
        <v>3622</v>
      </c>
    </row>
    <row r="27" spans="1:4" hidden="1" x14ac:dyDescent="0.35">
      <c r="A27" s="6">
        <v>101194</v>
      </c>
      <c r="B27" s="6" t="s">
        <v>1269</v>
      </c>
      <c r="C27" s="6" t="s">
        <v>1270</v>
      </c>
      <c r="D27" s="6" t="s">
        <v>3623</v>
      </c>
    </row>
    <row r="28" spans="1:4" hidden="1" x14ac:dyDescent="0.35">
      <c r="A28" s="6">
        <v>101861</v>
      </c>
      <c r="B28" s="6" t="s">
        <v>3322</v>
      </c>
      <c r="C28" s="6" t="s">
        <v>1244</v>
      </c>
      <c r="D28" s="6" t="s">
        <v>3623</v>
      </c>
    </row>
    <row r="29" spans="1:4" hidden="1" x14ac:dyDescent="0.35">
      <c r="A29" s="6">
        <v>102193</v>
      </c>
      <c r="B29" s="6" t="s">
        <v>1271</v>
      </c>
      <c r="C29" s="6" t="s">
        <v>1087</v>
      </c>
      <c r="D29" s="6" t="s">
        <v>3623</v>
      </c>
    </row>
    <row r="30" spans="1:4" hidden="1" x14ac:dyDescent="0.35">
      <c r="A30" s="6">
        <v>102422</v>
      </c>
      <c r="B30" s="6" t="s">
        <v>3323</v>
      </c>
      <c r="C30" s="6" t="s">
        <v>94</v>
      </c>
      <c r="D30" s="6" t="s">
        <v>3623</v>
      </c>
    </row>
    <row r="31" spans="1:4" hidden="1" x14ac:dyDescent="0.35">
      <c r="A31" s="6">
        <v>102424</v>
      </c>
      <c r="B31" s="6" t="s">
        <v>3324</v>
      </c>
      <c r="C31" s="6" t="s">
        <v>94</v>
      </c>
      <c r="D31" s="6" t="s">
        <v>3622</v>
      </c>
    </row>
    <row r="32" spans="1:4" hidden="1" x14ac:dyDescent="0.35">
      <c r="A32" s="6">
        <v>103062</v>
      </c>
      <c r="B32" s="6" t="s">
        <v>3325</v>
      </c>
      <c r="C32" s="6" t="s">
        <v>94</v>
      </c>
      <c r="D32" s="6" t="s">
        <v>3624</v>
      </c>
    </row>
    <row r="33" spans="1:4" hidden="1" x14ac:dyDescent="0.35">
      <c r="A33" s="6">
        <v>103093</v>
      </c>
      <c r="B33" s="6" t="s">
        <v>3326</v>
      </c>
      <c r="C33" s="6" t="s">
        <v>1689</v>
      </c>
      <c r="D33" s="6" t="s">
        <v>3624</v>
      </c>
    </row>
    <row r="34" spans="1:4" hidden="1" x14ac:dyDescent="0.35">
      <c r="A34" s="6">
        <v>103223</v>
      </c>
      <c r="B34" s="6" t="s">
        <v>1273</v>
      </c>
      <c r="C34" s="6" t="s">
        <v>1248</v>
      </c>
      <c r="D34" s="6" t="s">
        <v>3623</v>
      </c>
    </row>
    <row r="35" spans="1:4" hidden="1" x14ac:dyDescent="0.35">
      <c r="A35" s="6">
        <v>103227</v>
      </c>
      <c r="B35" s="6" t="s">
        <v>3327</v>
      </c>
      <c r="C35" s="6" t="s">
        <v>1244</v>
      </c>
      <c r="D35" s="6" t="s">
        <v>3623</v>
      </c>
    </row>
    <row r="36" spans="1:4" hidden="1" x14ac:dyDescent="0.35">
      <c r="A36" s="6">
        <v>103295</v>
      </c>
      <c r="B36" s="6" t="s">
        <v>3328</v>
      </c>
      <c r="C36" s="6" t="s">
        <v>1689</v>
      </c>
      <c r="D36" s="6" t="s">
        <v>3624</v>
      </c>
    </row>
    <row r="37" spans="1:4" hidden="1" x14ac:dyDescent="0.35">
      <c r="A37" s="6">
        <v>103342</v>
      </c>
      <c r="B37" s="6" t="s">
        <v>1274</v>
      </c>
      <c r="C37" s="6" t="s">
        <v>1244</v>
      </c>
      <c r="D37" s="6" t="s">
        <v>3623</v>
      </c>
    </row>
    <row r="38" spans="1:4" hidden="1" x14ac:dyDescent="0.35">
      <c r="A38" s="6">
        <v>103366</v>
      </c>
      <c r="B38" s="6" t="s">
        <v>3329</v>
      </c>
      <c r="C38" s="6" t="s">
        <v>1244</v>
      </c>
      <c r="D38" s="6" t="s">
        <v>3623</v>
      </c>
    </row>
    <row r="39" spans="1:4" hidden="1" x14ac:dyDescent="0.35">
      <c r="A39" s="6">
        <v>104187</v>
      </c>
      <c r="B39" s="6" t="s">
        <v>3330</v>
      </c>
      <c r="C39" s="6" t="s">
        <v>1689</v>
      </c>
      <c r="D39" s="6" t="s">
        <v>3624</v>
      </c>
    </row>
    <row r="40" spans="1:4" hidden="1" x14ac:dyDescent="0.35">
      <c r="A40" s="6">
        <v>104364</v>
      </c>
      <c r="B40" s="6" t="s">
        <v>1275</v>
      </c>
      <c r="C40" s="6" t="s">
        <v>2475</v>
      </c>
      <c r="D40" s="6" t="s">
        <v>3623</v>
      </c>
    </row>
    <row r="41" spans="1:4" hidden="1" x14ac:dyDescent="0.35">
      <c r="A41" s="6">
        <v>104483</v>
      </c>
      <c r="B41" s="6" t="s">
        <v>1276</v>
      </c>
      <c r="C41" s="6" t="s">
        <v>1087</v>
      </c>
      <c r="D41" s="6" t="s">
        <v>3623</v>
      </c>
    </row>
    <row r="42" spans="1:4" hidden="1" x14ac:dyDescent="0.35">
      <c r="A42" s="6">
        <v>104484</v>
      </c>
      <c r="B42" s="6" t="s">
        <v>1277</v>
      </c>
      <c r="C42" s="6" t="s">
        <v>1087</v>
      </c>
      <c r="D42" s="6" t="s">
        <v>3623</v>
      </c>
    </row>
    <row r="43" spans="1:4" hidden="1" x14ac:dyDescent="0.35">
      <c r="A43" s="6">
        <v>104485</v>
      </c>
      <c r="B43" s="6" t="s">
        <v>1278</v>
      </c>
      <c r="C43" s="6" t="s">
        <v>1087</v>
      </c>
      <c r="D43" s="6" t="s">
        <v>3623</v>
      </c>
    </row>
    <row r="44" spans="1:4" hidden="1" x14ac:dyDescent="0.35">
      <c r="A44" s="6">
        <v>104487</v>
      </c>
      <c r="B44" s="6" t="s">
        <v>1279</v>
      </c>
      <c r="C44" s="6" t="s">
        <v>1087</v>
      </c>
      <c r="D44" s="6" t="s">
        <v>3623</v>
      </c>
    </row>
    <row r="45" spans="1:4" hidden="1" x14ac:dyDescent="0.35">
      <c r="A45" s="6">
        <v>104488</v>
      </c>
      <c r="B45" s="6" t="s">
        <v>1280</v>
      </c>
      <c r="C45" s="6" t="s">
        <v>1087</v>
      </c>
      <c r="D45" s="6" t="s">
        <v>3623</v>
      </c>
    </row>
    <row r="46" spans="1:4" hidden="1" x14ac:dyDescent="0.35">
      <c r="A46" s="6">
        <v>104492</v>
      </c>
      <c r="B46" s="6" t="s">
        <v>1281</v>
      </c>
      <c r="C46" s="6" t="s">
        <v>1087</v>
      </c>
      <c r="D46" s="6" t="s">
        <v>3623</v>
      </c>
    </row>
    <row r="47" spans="1:4" hidden="1" x14ac:dyDescent="0.35">
      <c r="A47" s="6">
        <v>104493</v>
      </c>
      <c r="B47" s="6" t="s">
        <v>1282</v>
      </c>
      <c r="C47" s="6" t="s">
        <v>1087</v>
      </c>
      <c r="D47" s="6" t="s">
        <v>3623</v>
      </c>
    </row>
    <row r="48" spans="1:4" hidden="1" x14ac:dyDescent="0.35">
      <c r="A48" s="6">
        <v>104494</v>
      </c>
      <c r="B48" s="6" t="s">
        <v>1283</v>
      </c>
      <c r="C48" s="6" t="s">
        <v>1087</v>
      </c>
      <c r="D48" s="6" t="s">
        <v>3623</v>
      </c>
    </row>
    <row r="49" spans="1:4" hidden="1" x14ac:dyDescent="0.35">
      <c r="A49" s="6">
        <v>104495</v>
      </c>
      <c r="B49" s="6" t="s">
        <v>1284</v>
      </c>
      <c r="C49" s="6" t="s">
        <v>1087</v>
      </c>
      <c r="D49" s="6" t="s">
        <v>3623</v>
      </c>
    </row>
    <row r="50" spans="1:4" hidden="1" x14ac:dyDescent="0.35">
      <c r="A50" s="6">
        <v>104498</v>
      </c>
      <c r="B50" s="6" t="s">
        <v>1285</v>
      </c>
      <c r="C50" s="6" t="s">
        <v>1087</v>
      </c>
      <c r="D50" s="6" t="s">
        <v>3623</v>
      </c>
    </row>
    <row r="51" spans="1:4" hidden="1" x14ac:dyDescent="0.35">
      <c r="A51" s="6">
        <v>104499</v>
      </c>
      <c r="B51" s="6" t="s">
        <v>1286</v>
      </c>
      <c r="C51" s="6" t="s">
        <v>1087</v>
      </c>
      <c r="D51" s="6" t="s">
        <v>3623</v>
      </c>
    </row>
    <row r="52" spans="1:4" hidden="1" x14ac:dyDescent="0.35">
      <c r="A52" s="6">
        <v>104500</v>
      </c>
      <c r="B52" s="6" t="s">
        <v>1287</v>
      </c>
      <c r="C52" s="6" t="s">
        <v>1087</v>
      </c>
      <c r="D52" s="6" t="s">
        <v>3623</v>
      </c>
    </row>
    <row r="53" spans="1:4" hidden="1" x14ac:dyDescent="0.35">
      <c r="A53" s="6">
        <v>104502</v>
      </c>
      <c r="B53" s="6" t="s">
        <v>3331</v>
      </c>
      <c r="C53" s="6" t="s">
        <v>1085</v>
      </c>
      <c r="D53" s="6" t="s">
        <v>3623</v>
      </c>
    </row>
    <row r="54" spans="1:4" hidden="1" x14ac:dyDescent="0.35">
      <c r="A54" s="6">
        <v>104504</v>
      </c>
      <c r="B54" s="6" t="s">
        <v>1288</v>
      </c>
      <c r="C54" s="6" t="s">
        <v>1098</v>
      </c>
      <c r="D54" s="6" t="s">
        <v>3623</v>
      </c>
    </row>
    <row r="55" spans="1:4" hidden="1" x14ac:dyDescent="0.35">
      <c r="A55" s="6">
        <v>104513</v>
      </c>
      <c r="B55" s="6" t="s">
        <v>1289</v>
      </c>
      <c r="C55" s="6" t="s">
        <v>2475</v>
      </c>
      <c r="D55" s="6" t="s">
        <v>3623</v>
      </c>
    </row>
    <row r="56" spans="1:4" hidden="1" x14ac:dyDescent="0.35">
      <c r="A56" s="6">
        <v>104514</v>
      </c>
      <c r="B56" s="6" t="s">
        <v>1290</v>
      </c>
      <c r="C56" s="6" t="s">
        <v>2475</v>
      </c>
      <c r="D56" s="6" t="s">
        <v>3623</v>
      </c>
    </row>
    <row r="57" spans="1:4" hidden="1" x14ac:dyDescent="0.35">
      <c r="A57" s="6">
        <v>104516</v>
      </c>
      <c r="B57" s="6" t="s">
        <v>1291</v>
      </c>
      <c r="C57" s="6" t="s">
        <v>2475</v>
      </c>
      <c r="D57" s="6" t="s">
        <v>3623</v>
      </c>
    </row>
    <row r="58" spans="1:4" hidden="1" x14ac:dyDescent="0.35">
      <c r="A58" s="6">
        <v>104519</v>
      </c>
      <c r="B58" s="6" t="s">
        <v>1292</v>
      </c>
      <c r="C58" s="6" t="s">
        <v>2475</v>
      </c>
      <c r="D58" s="6" t="s">
        <v>3623</v>
      </c>
    </row>
    <row r="59" spans="1:4" hidden="1" x14ac:dyDescent="0.35">
      <c r="A59" s="6">
        <v>104520</v>
      </c>
      <c r="B59" s="6" t="s">
        <v>2476</v>
      </c>
      <c r="C59" s="6" t="s">
        <v>2475</v>
      </c>
      <c r="D59" s="6" t="s">
        <v>3623</v>
      </c>
    </row>
    <row r="60" spans="1:4" hidden="1" x14ac:dyDescent="0.35">
      <c r="A60" s="6">
        <v>104529</v>
      </c>
      <c r="B60" s="6" t="s">
        <v>1293</v>
      </c>
      <c r="C60" s="6" t="s">
        <v>2475</v>
      </c>
      <c r="D60" s="6" t="s">
        <v>3623</v>
      </c>
    </row>
    <row r="61" spans="1:4" hidden="1" x14ac:dyDescent="0.35">
      <c r="A61" s="6">
        <v>104530</v>
      </c>
      <c r="B61" s="6" t="s">
        <v>1294</v>
      </c>
      <c r="C61" s="6" t="s">
        <v>2475</v>
      </c>
      <c r="D61" s="6" t="s">
        <v>3623</v>
      </c>
    </row>
    <row r="62" spans="1:4" hidden="1" x14ac:dyDescent="0.35">
      <c r="A62" s="6">
        <v>1056</v>
      </c>
      <c r="B62" s="6" t="s">
        <v>2542</v>
      </c>
      <c r="C62" s="6" t="s">
        <v>1249</v>
      </c>
      <c r="D62" s="6" t="s">
        <v>1084</v>
      </c>
    </row>
    <row r="63" spans="1:4" hidden="1" x14ac:dyDescent="0.35">
      <c r="A63" s="6">
        <v>106174</v>
      </c>
      <c r="B63" s="6" t="s">
        <v>2543</v>
      </c>
      <c r="C63" s="6" t="s">
        <v>1098</v>
      </c>
      <c r="D63" s="6" t="s">
        <v>3623</v>
      </c>
    </row>
    <row r="64" spans="1:4" hidden="1" x14ac:dyDescent="0.35">
      <c r="A64" s="6">
        <v>106254</v>
      </c>
      <c r="B64" s="6" t="s">
        <v>3332</v>
      </c>
      <c r="C64" s="6" t="s">
        <v>3319</v>
      </c>
      <c r="D64" s="6" t="s">
        <v>3623</v>
      </c>
    </row>
    <row r="65" spans="1:4" hidden="1" x14ac:dyDescent="0.35">
      <c r="A65" s="6">
        <v>106255</v>
      </c>
      <c r="B65" s="6" t="s">
        <v>3333</v>
      </c>
      <c r="C65" s="6" t="s">
        <v>1244</v>
      </c>
      <c r="D65" s="6" t="s">
        <v>3623</v>
      </c>
    </row>
    <row r="66" spans="1:4" hidden="1" x14ac:dyDescent="0.35">
      <c r="A66" s="6">
        <v>106272</v>
      </c>
      <c r="B66" s="6" t="s">
        <v>2477</v>
      </c>
      <c r="C66" s="6" t="s">
        <v>3319</v>
      </c>
      <c r="D66" s="6" t="s">
        <v>3624</v>
      </c>
    </row>
    <row r="67" spans="1:4" hidden="1" x14ac:dyDescent="0.35">
      <c r="A67" s="6">
        <v>106382</v>
      </c>
      <c r="B67" s="6" t="s">
        <v>1295</v>
      </c>
      <c r="C67" s="6" t="s">
        <v>1244</v>
      </c>
      <c r="D67" s="6" t="s">
        <v>3623</v>
      </c>
    </row>
    <row r="68" spans="1:4" hidden="1" x14ac:dyDescent="0.35">
      <c r="A68" s="6">
        <v>106862</v>
      </c>
      <c r="B68" s="6" t="s">
        <v>1297</v>
      </c>
      <c r="C68" s="6" t="s">
        <v>2472</v>
      </c>
      <c r="D68" s="6" t="s">
        <v>3623</v>
      </c>
    </row>
    <row r="69" spans="1:4" hidden="1" x14ac:dyDescent="0.35">
      <c r="A69" s="6">
        <v>106983</v>
      </c>
      <c r="B69" s="6" t="s">
        <v>3334</v>
      </c>
      <c r="C69" s="6" t="s">
        <v>1689</v>
      </c>
      <c r="D69" s="6" t="s">
        <v>3624</v>
      </c>
    </row>
    <row r="70" spans="1:4" hidden="1" x14ac:dyDescent="0.35">
      <c r="A70" s="6">
        <v>107327</v>
      </c>
      <c r="B70" s="6" t="s">
        <v>1299</v>
      </c>
      <c r="C70" s="6" t="s">
        <v>1244</v>
      </c>
      <c r="D70" s="6" t="s">
        <v>3623</v>
      </c>
    </row>
    <row r="71" spans="1:4" hidden="1" x14ac:dyDescent="0.35">
      <c r="A71" s="6">
        <v>107328</v>
      </c>
      <c r="B71" s="6" t="s">
        <v>1300</v>
      </c>
      <c r="C71" s="6" t="s">
        <v>2472</v>
      </c>
      <c r="D71" s="6" t="s">
        <v>3623</v>
      </c>
    </row>
    <row r="72" spans="1:4" hidden="1" x14ac:dyDescent="0.35">
      <c r="A72" s="6">
        <v>107339</v>
      </c>
      <c r="B72" s="6" t="s">
        <v>1301</v>
      </c>
      <c r="C72" s="6" t="s">
        <v>94</v>
      </c>
      <c r="D72" s="6" t="s">
        <v>3622</v>
      </c>
    </row>
    <row r="73" spans="1:4" hidden="1" x14ac:dyDescent="0.35">
      <c r="A73" s="6">
        <v>107340</v>
      </c>
      <c r="B73" s="6" t="s">
        <v>1302</v>
      </c>
      <c r="C73" s="6" t="s">
        <v>94</v>
      </c>
      <c r="D73" s="6" t="s">
        <v>3622</v>
      </c>
    </row>
    <row r="74" spans="1:4" hidden="1" x14ac:dyDescent="0.35">
      <c r="A74" s="6">
        <v>107341</v>
      </c>
      <c r="B74" s="6" t="s">
        <v>1303</v>
      </c>
      <c r="C74" s="6" t="s">
        <v>94</v>
      </c>
      <c r="D74" s="6" t="s">
        <v>3622</v>
      </c>
    </row>
    <row r="75" spans="1:4" hidden="1" x14ac:dyDescent="0.35">
      <c r="A75" s="6">
        <v>107356</v>
      </c>
      <c r="B75" s="6" t="s">
        <v>1304</v>
      </c>
      <c r="C75" s="6" t="s">
        <v>1305</v>
      </c>
      <c r="D75" s="6" t="s">
        <v>3623</v>
      </c>
    </row>
    <row r="76" spans="1:4" hidden="1" x14ac:dyDescent="0.35">
      <c r="A76" s="6">
        <v>107357</v>
      </c>
      <c r="B76" s="6" t="s">
        <v>1306</v>
      </c>
      <c r="C76" s="6" t="s">
        <v>1305</v>
      </c>
      <c r="D76" s="6" t="s">
        <v>3623</v>
      </c>
    </row>
    <row r="77" spans="1:4" hidden="1" x14ac:dyDescent="0.35">
      <c r="A77" s="6">
        <v>107358</v>
      </c>
      <c r="B77" s="6" t="s">
        <v>1307</v>
      </c>
      <c r="C77" s="6" t="s">
        <v>1305</v>
      </c>
      <c r="D77" s="6" t="s">
        <v>3623</v>
      </c>
    </row>
    <row r="78" spans="1:4" hidden="1" x14ac:dyDescent="0.35">
      <c r="A78" s="6">
        <v>107359</v>
      </c>
      <c r="B78" s="6" t="s">
        <v>1308</v>
      </c>
      <c r="C78" s="6" t="s">
        <v>1305</v>
      </c>
      <c r="D78" s="6" t="s">
        <v>3623</v>
      </c>
    </row>
    <row r="79" spans="1:4" hidden="1" x14ac:dyDescent="0.35">
      <c r="A79" s="6">
        <v>107360</v>
      </c>
      <c r="B79" s="6" t="s">
        <v>1309</v>
      </c>
      <c r="C79" s="6" t="s">
        <v>1305</v>
      </c>
      <c r="D79" s="6" t="s">
        <v>3623</v>
      </c>
    </row>
    <row r="80" spans="1:4" hidden="1" x14ac:dyDescent="0.35">
      <c r="A80" s="6">
        <v>107361</v>
      </c>
      <c r="B80" s="6" t="s">
        <v>1310</v>
      </c>
      <c r="C80" s="6" t="s">
        <v>1305</v>
      </c>
      <c r="D80" s="6" t="s">
        <v>3623</v>
      </c>
    </row>
    <row r="81" spans="1:4" hidden="1" x14ac:dyDescent="0.35">
      <c r="A81" s="6">
        <v>107410</v>
      </c>
      <c r="B81" s="6" t="s">
        <v>3335</v>
      </c>
      <c r="C81" s="6" t="s">
        <v>1244</v>
      </c>
      <c r="D81" s="6" t="s">
        <v>3623</v>
      </c>
    </row>
    <row r="82" spans="1:4" hidden="1" x14ac:dyDescent="0.35">
      <c r="A82" s="6">
        <v>107475</v>
      </c>
      <c r="B82" s="6" t="s">
        <v>1361</v>
      </c>
      <c r="C82" s="6" t="s">
        <v>64</v>
      </c>
      <c r="D82" s="6" t="s">
        <v>3623</v>
      </c>
    </row>
    <row r="83" spans="1:4" hidden="1" x14ac:dyDescent="0.35">
      <c r="A83" s="6">
        <v>107525</v>
      </c>
      <c r="B83" s="6" t="s">
        <v>3336</v>
      </c>
      <c r="C83" s="6" t="s">
        <v>1244</v>
      </c>
      <c r="D83" s="6" t="s">
        <v>3623</v>
      </c>
    </row>
    <row r="84" spans="1:4" hidden="1" x14ac:dyDescent="0.35">
      <c r="A84" s="6">
        <v>107543</v>
      </c>
      <c r="B84" s="6" t="s">
        <v>3337</v>
      </c>
      <c r="C84" s="6" t="s">
        <v>1086</v>
      </c>
      <c r="D84" s="6" t="s">
        <v>3622</v>
      </c>
    </row>
    <row r="85" spans="1:4" hidden="1" x14ac:dyDescent="0.35">
      <c r="A85" s="6">
        <v>107562</v>
      </c>
      <c r="B85" s="6" t="s">
        <v>1362</v>
      </c>
      <c r="C85" s="6" t="s">
        <v>2478</v>
      </c>
      <c r="D85" s="6" t="s">
        <v>3623</v>
      </c>
    </row>
    <row r="86" spans="1:4" hidden="1" x14ac:dyDescent="0.35">
      <c r="A86" s="6">
        <v>107563</v>
      </c>
      <c r="B86" s="6" t="s">
        <v>1363</v>
      </c>
      <c r="C86" s="6" t="s">
        <v>2478</v>
      </c>
      <c r="D86" s="6" t="s">
        <v>3623</v>
      </c>
    </row>
    <row r="87" spans="1:4" hidden="1" x14ac:dyDescent="0.35">
      <c r="A87" s="6">
        <v>108582</v>
      </c>
      <c r="B87" s="6" t="s">
        <v>1424</v>
      </c>
      <c r="C87" s="6" t="s">
        <v>2475</v>
      </c>
      <c r="D87" s="6" t="s">
        <v>3623</v>
      </c>
    </row>
    <row r="88" spans="1:4" hidden="1" x14ac:dyDescent="0.35">
      <c r="A88" s="6">
        <v>108763</v>
      </c>
      <c r="B88" s="6" t="s">
        <v>1437</v>
      </c>
      <c r="C88" s="6" t="s">
        <v>1244</v>
      </c>
      <c r="D88" s="6" t="s">
        <v>3623</v>
      </c>
    </row>
    <row r="89" spans="1:4" hidden="1" x14ac:dyDescent="0.35">
      <c r="A89" s="6">
        <v>108993</v>
      </c>
      <c r="B89" s="6" t="s">
        <v>1673</v>
      </c>
      <c r="C89" s="6" t="s">
        <v>2475</v>
      </c>
      <c r="D89" s="6" t="s">
        <v>3623</v>
      </c>
    </row>
    <row r="90" spans="1:4" hidden="1" x14ac:dyDescent="0.35">
      <c r="A90" s="6">
        <v>108994</v>
      </c>
      <c r="B90" s="6" t="s">
        <v>2544</v>
      </c>
      <c r="C90" s="6" t="s">
        <v>2475</v>
      </c>
      <c r="D90" s="6" t="s">
        <v>3623</v>
      </c>
    </row>
    <row r="91" spans="1:4" hidden="1" x14ac:dyDescent="0.35">
      <c r="A91" s="6">
        <v>108995</v>
      </c>
      <c r="B91" s="6" t="s">
        <v>1450</v>
      </c>
      <c r="C91" s="6" t="s">
        <v>2475</v>
      </c>
      <c r="D91" s="6" t="s">
        <v>3623</v>
      </c>
    </row>
    <row r="92" spans="1:4" hidden="1" x14ac:dyDescent="0.35">
      <c r="A92" s="6">
        <v>108996</v>
      </c>
      <c r="B92" s="6" t="s">
        <v>1451</v>
      </c>
      <c r="C92" s="6" t="s">
        <v>2475</v>
      </c>
      <c r="D92" s="6" t="s">
        <v>3623</v>
      </c>
    </row>
    <row r="93" spans="1:4" hidden="1" x14ac:dyDescent="0.35">
      <c r="A93" s="6">
        <v>109062</v>
      </c>
      <c r="B93" s="6" t="s">
        <v>1453</v>
      </c>
      <c r="C93" s="6" t="s">
        <v>2472</v>
      </c>
      <c r="D93" s="6" t="s">
        <v>3623</v>
      </c>
    </row>
    <row r="94" spans="1:4" hidden="1" x14ac:dyDescent="0.35">
      <c r="A94" s="6">
        <v>109063</v>
      </c>
      <c r="B94" s="6" t="s">
        <v>1454</v>
      </c>
      <c r="C94" s="6" t="s">
        <v>2472</v>
      </c>
      <c r="D94" s="6" t="s">
        <v>3623</v>
      </c>
    </row>
    <row r="95" spans="1:4" hidden="1" x14ac:dyDescent="0.35">
      <c r="A95" s="6">
        <v>109160</v>
      </c>
      <c r="B95" s="6" t="s">
        <v>1702</v>
      </c>
      <c r="C95" s="6" t="s">
        <v>1689</v>
      </c>
      <c r="D95" s="6" t="s">
        <v>3624</v>
      </c>
    </row>
    <row r="96" spans="1:4" hidden="1" x14ac:dyDescent="0.35">
      <c r="A96" s="6">
        <v>109334</v>
      </c>
      <c r="B96" s="6" t="s">
        <v>1482</v>
      </c>
      <c r="C96" s="6" t="s">
        <v>1244</v>
      </c>
      <c r="D96" s="6" t="s">
        <v>3623</v>
      </c>
    </row>
    <row r="97" spans="1:4" hidden="1" x14ac:dyDescent="0.35">
      <c r="A97" s="6">
        <v>109552</v>
      </c>
      <c r="B97" s="6" t="s">
        <v>1500</v>
      </c>
      <c r="C97" s="6" t="s">
        <v>1244</v>
      </c>
      <c r="D97" s="6" t="s">
        <v>3623</v>
      </c>
    </row>
    <row r="98" spans="1:4" hidden="1" x14ac:dyDescent="0.35">
      <c r="A98" s="6">
        <v>109572</v>
      </c>
      <c r="B98" s="6" t="s">
        <v>1502</v>
      </c>
      <c r="C98" s="6" t="s">
        <v>1270</v>
      </c>
      <c r="D98" s="6" t="s">
        <v>3623</v>
      </c>
    </row>
    <row r="99" spans="1:4" hidden="1" x14ac:dyDescent="0.35">
      <c r="A99" s="6">
        <v>109643</v>
      </c>
      <c r="B99" s="6" t="s">
        <v>1506</v>
      </c>
      <c r="C99" s="6" t="s">
        <v>1244</v>
      </c>
      <c r="D99" s="6" t="s">
        <v>3624</v>
      </c>
    </row>
    <row r="100" spans="1:4" hidden="1" x14ac:dyDescent="0.35">
      <c r="A100" s="6">
        <v>109702</v>
      </c>
      <c r="B100" s="6" t="s">
        <v>1510</v>
      </c>
      <c r="C100" s="6" t="s">
        <v>1244</v>
      </c>
      <c r="D100" s="6" t="s">
        <v>3623</v>
      </c>
    </row>
    <row r="101" spans="1:4" hidden="1" x14ac:dyDescent="0.35">
      <c r="A101" s="6">
        <v>109704</v>
      </c>
      <c r="B101" s="6" t="s">
        <v>1511</v>
      </c>
      <c r="C101" s="6" t="s">
        <v>1244</v>
      </c>
      <c r="D101" s="6" t="s">
        <v>3623</v>
      </c>
    </row>
    <row r="102" spans="1:4" hidden="1" x14ac:dyDescent="0.35">
      <c r="A102" s="6">
        <v>109705</v>
      </c>
      <c r="B102" s="6" t="s">
        <v>1512</v>
      </c>
      <c r="C102" s="6" t="s">
        <v>1244</v>
      </c>
      <c r="D102" s="6" t="s">
        <v>3623</v>
      </c>
    </row>
    <row r="103" spans="1:4" hidden="1" x14ac:dyDescent="0.35">
      <c r="A103" s="6">
        <v>109722</v>
      </c>
      <c r="B103" s="6" t="s">
        <v>3338</v>
      </c>
      <c r="C103" s="6" t="s">
        <v>1244</v>
      </c>
      <c r="D103" s="6" t="s">
        <v>3623</v>
      </c>
    </row>
    <row r="104" spans="1:4" hidden="1" x14ac:dyDescent="0.35">
      <c r="A104" s="6">
        <v>109973</v>
      </c>
      <c r="B104" s="6" t="s">
        <v>1540</v>
      </c>
      <c r="C104" s="6" t="s">
        <v>1541</v>
      </c>
      <c r="D104" s="6" t="s">
        <v>3623</v>
      </c>
    </row>
    <row r="105" spans="1:4" hidden="1" x14ac:dyDescent="0.35">
      <c r="A105" s="6">
        <v>110133</v>
      </c>
      <c r="B105" s="6" t="s">
        <v>1560</v>
      </c>
      <c r="C105" s="6" t="s">
        <v>2475</v>
      </c>
      <c r="D105" s="6" t="s">
        <v>3623</v>
      </c>
    </row>
    <row r="106" spans="1:4" hidden="1" x14ac:dyDescent="0.35">
      <c r="A106" s="6">
        <v>110283</v>
      </c>
      <c r="B106" s="6" t="s">
        <v>1566</v>
      </c>
      <c r="C106" s="6" t="s">
        <v>1244</v>
      </c>
      <c r="D106" s="6" t="s">
        <v>3623</v>
      </c>
    </row>
    <row r="107" spans="1:4" hidden="1" x14ac:dyDescent="0.35">
      <c r="A107" s="6">
        <v>110382</v>
      </c>
      <c r="B107" s="6" t="s">
        <v>3339</v>
      </c>
      <c r="C107" s="6" t="s">
        <v>1244</v>
      </c>
      <c r="D107" s="6" t="s">
        <v>3623</v>
      </c>
    </row>
    <row r="108" spans="1:4" hidden="1" x14ac:dyDescent="0.35">
      <c r="A108" s="6">
        <v>110442</v>
      </c>
      <c r="B108" s="6" t="s">
        <v>1586</v>
      </c>
      <c r="C108" s="6" t="s">
        <v>1244</v>
      </c>
      <c r="D108" s="6" t="s">
        <v>3623</v>
      </c>
    </row>
    <row r="109" spans="1:4" hidden="1" x14ac:dyDescent="0.35">
      <c r="A109" s="6">
        <v>110560</v>
      </c>
      <c r="B109" s="6" t="s">
        <v>3340</v>
      </c>
      <c r="C109" s="6" t="s">
        <v>1244</v>
      </c>
      <c r="D109" s="6" t="s">
        <v>3622</v>
      </c>
    </row>
    <row r="110" spans="1:4" hidden="1" x14ac:dyDescent="0.35">
      <c r="A110" s="6">
        <v>110567</v>
      </c>
      <c r="B110" s="6" t="s">
        <v>1600</v>
      </c>
      <c r="C110" s="6" t="s">
        <v>1244</v>
      </c>
      <c r="D110" s="6" t="s">
        <v>3623</v>
      </c>
    </row>
    <row r="111" spans="1:4" hidden="1" x14ac:dyDescent="0.35">
      <c r="A111" s="6">
        <v>110602</v>
      </c>
      <c r="B111" s="6" t="s">
        <v>3341</v>
      </c>
      <c r="C111" s="6" t="s">
        <v>1244</v>
      </c>
      <c r="D111" s="6" t="s">
        <v>3624</v>
      </c>
    </row>
    <row r="112" spans="1:4" hidden="1" x14ac:dyDescent="0.35">
      <c r="A112" s="6">
        <v>110752</v>
      </c>
      <c r="B112" s="6" t="s">
        <v>3342</v>
      </c>
      <c r="C112" s="6" t="s">
        <v>1244</v>
      </c>
      <c r="D112" s="6" t="s">
        <v>3623</v>
      </c>
    </row>
    <row r="113" spans="1:4" hidden="1" x14ac:dyDescent="0.35">
      <c r="A113" s="6">
        <v>110832</v>
      </c>
      <c r="B113" s="6" t="s">
        <v>1649</v>
      </c>
      <c r="C113" s="6" t="s">
        <v>2475</v>
      </c>
      <c r="D113" s="6" t="s">
        <v>3623</v>
      </c>
    </row>
    <row r="114" spans="1:4" hidden="1" x14ac:dyDescent="0.35">
      <c r="A114" s="6">
        <v>110833</v>
      </c>
      <c r="B114" s="6" t="s">
        <v>1650</v>
      </c>
      <c r="C114" s="6" t="s">
        <v>2475</v>
      </c>
      <c r="D114" s="6" t="s">
        <v>3623</v>
      </c>
    </row>
    <row r="115" spans="1:4" hidden="1" x14ac:dyDescent="0.35">
      <c r="A115" s="6">
        <v>110834</v>
      </c>
      <c r="B115" s="6" t="s">
        <v>1651</v>
      </c>
      <c r="C115" s="6" t="s">
        <v>2475</v>
      </c>
      <c r="D115" s="6" t="s">
        <v>3623</v>
      </c>
    </row>
    <row r="116" spans="1:4" hidden="1" x14ac:dyDescent="0.35">
      <c r="A116" s="6">
        <v>110840</v>
      </c>
      <c r="B116" s="6" t="s">
        <v>1652</v>
      </c>
      <c r="C116" s="6" t="s">
        <v>2475</v>
      </c>
      <c r="D116" s="6" t="s">
        <v>3623</v>
      </c>
    </row>
    <row r="117" spans="1:4" hidden="1" x14ac:dyDescent="0.35">
      <c r="A117" s="6">
        <v>110841</v>
      </c>
      <c r="B117" s="6" t="s">
        <v>1653</v>
      </c>
      <c r="C117" s="6" t="s">
        <v>2475</v>
      </c>
      <c r="D117" s="6" t="s">
        <v>3623</v>
      </c>
    </row>
    <row r="118" spans="1:4" hidden="1" x14ac:dyDescent="0.35">
      <c r="A118" s="6">
        <v>110844</v>
      </c>
      <c r="B118" s="6" t="s">
        <v>1654</v>
      </c>
      <c r="C118" s="6" t="s">
        <v>2475</v>
      </c>
      <c r="D118" s="6" t="s">
        <v>3623</v>
      </c>
    </row>
    <row r="119" spans="1:4" hidden="1" x14ac:dyDescent="0.35">
      <c r="A119" s="6">
        <v>110854</v>
      </c>
      <c r="B119" s="6" t="s">
        <v>1655</v>
      </c>
      <c r="C119" s="6" t="s">
        <v>2475</v>
      </c>
      <c r="D119" s="6" t="s">
        <v>3623</v>
      </c>
    </row>
    <row r="120" spans="1:4" hidden="1" x14ac:dyDescent="0.35">
      <c r="A120" s="6">
        <v>110860</v>
      </c>
      <c r="B120" s="6" t="s">
        <v>1656</v>
      </c>
      <c r="C120" s="6" t="s">
        <v>2475</v>
      </c>
      <c r="D120" s="6" t="s">
        <v>3623</v>
      </c>
    </row>
    <row r="121" spans="1:4" hidden="1" x14ac:dyDescent="0.35">
      <c r="A121" s="6">
        <v>110861</v>
      </c>
      <c r="B121" s="6" t="s">
        <v>1657</v>
      </c>
      <c r="C121" s="6" t="s">
        <v>2475</v>
      </c>
      <c r="D121" s="6" t="s">
        <v>3623</v>
      </c>
    </row>
    <row r="122" spans="1:4" hidden="1" x14ac:dyDescent="0.35">
      <c r="A122" s="6">
        <v>110862</v>
      </c>
      <c r="B122" s="6" t="s">
        <v>1658</v>
      </c>
      <c r="C122" s="6" t="s">
        <v>2475</v>
      </c>
      <c r="D122" s="6" t="s">
        <v>3623</v>
      </c>
    </row>
    <row r="123" spans="1:4" hidden="1" x14ac:dyDescent="0.35">
      <c r="A123" s="6">
        <v>110863</v>
      </c>
      <c r="B123" s="6" t="s">
        <v>1659</v>
      </c>
      <c r="C123" s="6" t="s">
        <v>2475</v>
      </c>
      <c r="D123" s="6" t="s">
        <v>3623</v>
      </c>
    </row>
    <row r="124" spans="1:4" hidden="1" x14ac:dyDescent="0.35">
      <c r="A124" s="6">
        <v>110872</v>
      </c>
      <c r="B124" s="6" t="s">
        <v>1660</v>
      </c>
      <c r="C124" s="6" t="s">
        <v>2475</v>
      </c>
      <c r="D124" s="6" t="s">
        <v>3623</v>
      </c>
    </row>
    <row r="125" spans="1:4" hidden="1" x14ac:dyDescent="0.35">
      <c r="A125" s="6">
        <v>110873</v>
      </c>
      <c r="B125" s="6" t="s">
        <v>1661</v>
      </c>
      <c r="C125" s="6" t="s">
        <v>2475</v>
      </c>
      <c r="D125" s="6" t="s">
        <v>3623</v>
      </c>
    </row>
    <row r="126" spans="1:4" hidden="1" x14ac:dyDescent="0.35">
      <c r="A126" s="6">
        <v>110874</v>
      </c>
      <c r="B126" s="6" t="s">
        <v>1662</v>
      </c>
      <c r="C126" s="6" t="s">
        <v>2475</v>
      </c>
      <c r="D126" s="6" t="s">
        <v>3623</v>
      </c>
    </row>
    <row r="127" spans="1:4" hidden="1" x14ac:dyDescent="0.35">
      <c r="A127" s="6">
        <v>110875</v>
      </c>
      <c r="B127" s="6" t="s">
        <v>1663</v>
      </c>
      <c r="C127" s="6" t="s">
        <v>2475</v>
      </c>
      <c r="D127" s="6" t="s">
        <v>3623</v>
      </c>
    </row>
    <row r="128" spans="1:4" hidden="1" x14ac:dyDescent="0.35">
      <c r="A128" s="6">
        <v>110878</v>
      </c>
      <c r="B128" s="6" t="s">
        <v>1664</v>
      </c>
      <c r="C128" s="6" t="s">
        <v>2475</v>
      </c>
      <c r="D128" s="6" t="s">
        <v>3623</v>
      </c>
    </row>
    <row r="129" spans="1:6" hidden="1" x14ac:dyDescent="0.35">
      <c r="A129" s="6">
        <v>110909</v>
      </c>
      <c r="B129" s="6" t="s">
        <v>1665</v>
      </c>
      <c r="C129" s="6" t="s">
        <v>2475</v>
      </c>
      <c r="D129" s="6" t="s">
        <v>3623</v>
      </c>
    </row>
    <row r="130" spans="1:6" hidden="1" x14ac:dyDescent="0.35">
      <c r="A130" s="6">
        <v>110910</v>
      </c>
      <c r="B130" s="6" t="s">
        <v>1666</v>
      </c>
      <c r="C130" s="6" t="s">
        <v>2475</v>
      </c>
      <c r="D130" s="6" t="s">
        <v>3623</v>
      </c>
    </row>
    <row r="131" spans="1:6" hidden="1" x14ac:dyDescent="0.35">
      <c r="A131" s="6">
        <v>110953</v>
      </c>
      <c r="B131" s="6" t="s">
        <v>1667</v>
      </c>
      <c r="C131" s="6" t="s">
        <v>2475</v>
      </c>
      <c r="D131" s="6" t="s">
        <v>3623</v>
      </c>
    </row>
    <row r="132" spans="1:6" hidden="1" x14ac:dyDescent="0.35">
      <c r="A132" s="6">
        <v>111023</v>
      </c>
      <c r="B132" s="6" t="s">
        <v>3343</v>
      </c>
      <c r="C132" s="6" t="s">
        <v>2475</v>
      </c>
      <c r="D132" s="6" t="s">
        <v>3623</v>
      </c>
    </row>
    <row r="133" spans="1:6" hidden="1" x14ac:dyDescent="0.35">
      <c r="A133" s="6">
        <v>111053</v>
      </c>
      <c r="B133" s="6" t="s">
        <v>3344</v>
      </c>
      <c r="C133" s="6" t="s">
        <v>1244</v>
      </c>
      <c r="D133" s="6" t="s">
        <v>3623</v>
      </c>
    </row>
    <row r="134" spans="1:6" hidden="1" x14ac:dyDescent="0.35">
      <c r="A134" s="68">
        <v>111112</v>
      </c>
      <c r="B134" s="68" t="s">
        <v>3703</v>
      </c>
      <c r="C134" s="68" t="s">
        <v>1541</v>
      </c>
      <c r="D134" s="68" t="s">
        <v>3623</v>
      </c>
      <c r="E134" s="68"/>
      <c r="F134" s="68"/>
    </row>
    <row r="135" spans="1:6" hidden="1" x14ac:dyDescent="0.35">
      <c r="A135" s="6">
        <v>111153</v>
      </c>
      <c r="B135" s="6" t="s">
        <v>2545</v>
      </c>
      <c r="C135" s="6" t="s">
        <v>2475</v>
      </c>
      <c r="D135" s="6" t="s">
        <v>3623</v>
      </c>
    </row>
    <row r="136" spans="1:6" hidden="1" x14ac:dyDescent="0.35">
      <c r="A136" s="6">
        <v>111154</v>
      </c>
      <c r="B136" s="6" t="s">
        <v>3345</v>
      </c>
      <c r="C136" s="6" t="s">
        <v>2475</v>
      </c>
      <c r="D136" s="6" t="s">
        <v>3623</v>
      </c>
    </row>
    <row r="137" spans="1:6" hidden="1" x14ac:dyDescent="0.35">
      <c r="A137" s="6">
        <v>111155</v>
      </c>
      <c r="B137" s="6" t="s">
        <v>1674</v>
      </c>
      <c r="C137" s="6" t="s">
        <v>2475</v>
      </c>
      <c r="D137" s="6" t="s">
        <v>3623</v>
      </c>
    </row>
    <row r="138" spans="1:6" hidden="1" x14ac:dyDescent="0.35">
      <c r="A138" s="6">
        <v>111157</v>
      </c>
      <c r="B138" s="6" t="s">
        <v>1675</v>
      </c>
      <c r="C138" s="6" t="s">
        <v>2475</v>
      </c>
      <c r="D138" s="6" t="s">
        <v>3623</v>
      </c>
    </row>
    <row r="139" spans="1:6" hidden="1" x14ac:dyDescent="0.35">
      <c r="A139" s="6">
        <v>111158</v>
      </c>
      <c r="B139" s="6" t="s">
        <v>1676</v>
      </c>
      <c r="C139" s="6" t="s">
        <v>2475</v>
      </c>
      <c r="D139" s="6" t="s">
        <v>3623</v>
      </c>
    </row>
    <row r="140" spans="1:6" hidden="1" x14ac:dyDescent="0.35">
      <c r="A140" s="6">
        <v>111159</v>
      </c>
      <c r="B140" s="6" t="s">
        <v>3346</v>
      </c>
      <c r="C140" s="6" t="s">
        <v>2475</v>
      </c>
      <c r="D140" s="6" t="s">
        <v>3623</v>
      </c>
    </row>
    <row r="141" spans="1:6" hidden="1" x14ac:dyDescent="0.35">
      <c r="A141" s="6">
        <v>111160</v>
      </c>
      <c r="B141" s="6" t="s">
        <v>1677</v>
      </c>
      <c r="C141" s="6" t="s">
        <v>2475</v>
      </c>
      <c r="D141" s="6" t="s">
        <v>3623</v>
      </c>
    </row>
    <row r="142" spans="1:6" hidden="1" x14ac:dyDescent="0.35">
      <c r="A142" s="6">
        <v>111161</v>
      </c>
      <c r="B142" s="6" t="s">
        <v>1678</v>
      </c>
      <c r="C142" s="6" t="s">
        <v>2475</v>
      </c>
      <c r="D142" s="6" t="s">
        <v>3623</v>
      </c>
    </row>
    <row r="143" spans="1:6" hidden="1" x14ac:dyDescent="0.35">
      <c r="A143" s="6">
        <v>111202</v>
      </c>
      <c r="B143" s="6" t="s">
        <v>2479</v>
      </c>
      <c r="C143" s="6" t="s">
        <v>2475</v>
      </c>
      <c r="D143" s="6" t="s">
        <v>3623</v>
      </c>
    </row>
    <row r="144" spans="1:6" hidden="1" x14ac:dyDescent="0.35">
      <c r="A144" s="6">
        <v>111203</v>
      </c>
      <c r="B144" s="6" t="s">
        <v>1679</v>
      </c>
      <c r="C144" s="6" t="s">
        <v>2475</v>
      </c>
      <c r="D144" s="6" t="s">
        <v>3623</v>
      </c>
    </row>
    <row r="145" spans="1:4" hidden="1" x14ac:dyDescent="0.35">
      <c r="A145" s="6">
        <v>111204</v>
      </c>
      <c r="B145" s="6" t="s">
        <v>1680</v>
      </c>
      <c r="C145" s="6" t="s">
        <v>2475</v>
      </c>
      <c r="D145" s="6" t="s">
        <v>3623</v>
      </c>
    </row>
    <row r="146" spans="1:4" hidden="1" x14ac:dyDescent="0.35">
      <c r="A146" s="6">
        <v>200002</v>
      </c>
      <c r="B146" s="6" t="s">
        <v>3347</v>
      </c>
      <c r="C146" s="6" t="s">
        <v>1087</v>
      </c>
      <c r="D146" s="6" t="s">
        <v>3623</v>
      </c>
    </row>
    <row r="147" spans="1:4" hidden="1" x14ac:dyDescent="0.35">
      <c r="A147" s="6">
        <v>200008</v>
      </c>
      <c r="B147" s="6" t="s">
        <v>3348</v>
      </c>
      <c r="C147" s="6" t="s">
        <v>1086</v>
      </c>
      <c r="D147" s="6" t="s">
        <v>3622</v>
      </c>
    </row>
    <row r="148" spans="1:4" hidden="1" x14ac:dyDescent="0.35">
      <c r="A148" s="6">
        <v>200038</v>
      </c>
      <c r="B148" s="6" t="s">
        <v>1681</v>
      </c>
      <c r="C148" s="6" t="s">
        <v>1087</v>
      </c>
      <c r="D148" s="6" t="s">
        <v>3623</v>
      </c>
    </row>
    <row r="149" spans="1:4" hidden="1" x14ac:dyDescent="0.35">
      <c r="A149" s="6">
        <v>2001</v>
      </c>
      <c r="B149" s="6" t="s">
        <v>2546</v>
      </c>
      <c r="C149" s="6" t="s">
        <v>1244</v>
      </c>
      <c r="D149" s="6" t="s">
        <v>1084</v>
      </c>
    </row>
    <row r="150" spans="1:4" hidden="1" x14ac:dyDescent="0.35">
      <c r="A150" s="6">
        <v>200585</v>
      </c>
      <c r="B150" s="6" t="s">
        <v>3349</v>
      </c>
      <c r="C150" s="6" t="s">
        <v>1087</v>
      </c>
      <c r="D150" s="6" t="s">
        <v>3623</v>
      </c>
    </row>
    <row r="151" spans="1:4" hidden="1" x14ac:dyDescent="0.35">
      <c r="A151" s="6">
        <v>200588</v>
      </c>
      <c r="B151" s="6" t="s">
        <v>1682</v>
      </c>
      <c r="C151" s="6" t="s">
        <v>1087</v>
      </c>
      <c r="D151" s="6" t="s">
        <v>3623</v>
      </c>
    </row>
    <row r="152" spans="1:4" hidden="1" x14ac:dyDescent="0.35">
      <c r="A152" s="6">
        <v>200663</v>
      </c>
      <c r="B152" s="6" t="s">
        <v>1683</v>
      </c>
      <c r="C152" s="6" t="s">
        <v>1087</v>
      </c>
      <c r="D152" s="6" t="s">
        <v>3623</v>
      </c>
    </row>
    <row r="153" spans="1:4" hidden="1" x14ac:dyDescent="0.35">
      <c r="A153" s="6">
        <v>200664</v>
      </c>
      <c r="B153" s="6" t="s">
        <v>1684</v>
      </c>
      <c r="C153" s="6" t="s">
        <v>1087</v>
      </c>
      <c r="D153" s="6" t="s">
        <v>3623</v>
      </c>
    </row>
    <row r="154" spans="1:4" hidden="1" x14ac:dyDescent="0.35">
      <c r="A154" s="6">
        <v>200670</v>
      </c>
      <c r="B154" s="6" t="s">
        <v>3350</v>
      </c>
      <c r="C154" s="6" t="s">
        <v>1244</v>
      </c>
      <c r="D154" s="6" t="s">
        <v>3623</v>
      </c>
    </row>
    <row r="155" spans="1:4" hidden="1" x14ac:dyDescent="0.35">
      <c r="A155" s="6">
        <v>200682</v>
      </c>
      <c r="B155" s="6" t="s">
        <v>1685</v>
      </c>
      <c r="C155" s="6" t="s">
        <v>1087</v>
      </c>
      <c r="D155" s="6" t="s">
        <v>3623</v>
      </c>
    </row>
    <row r="156" spans="1:4" hidden="1" x14ac:dyDescent="0.35">
      <c r="A156" s="6">
        <v>200684</v>
      </c>
      <c r="B156" s="6" t="s">
        <v>1686</v>
      </c>
      <c r="C156" s="6" t="s">
        <v>1087</v>
      </c>
      <c r="D156" s="6" t="s">
        <v>3623</v>
      </c>
    </row>
    <row r="157" spans="1:4" hidden="1" x14ac:dyDescent="0.35">
      <c r="A157" s="6">
        <v>200685</v>
      </c>
      <c r="B157" s="6" t="s">
        <v>1687</v>
      </c>
      <c r="C157" s="6" t="s">
        <v>1087</v>
      </c>
      <c r="D157" s="6" t="s">
        <v>3623</v>
      </c>
    </row>
    <row r="158" spans="1:4" hidden="1" x14ac:dyDescent="0.35">
      <c r="A158" s="6">
        <v>203351</v>
      </c>
      <c r="B158" s="6" t="s">
        <v>1688</v>
      </c>
      <c r="C158" s="6" t="s">
        <v>1087</v>
      </c>
      <c r="D158" s="6" t="s">
        <v>3623</v>
      </c>
    </row>
    <row r="159" spans="1:4" hidden="1" x14ac:dyDescent="0.35">
      <c r="A159" s="6">
        <v>2218</v>
      </c>
      <c r="B159" s="6" t="s">
        <v>2547</v>
      </c>
      <c r="C159" s="6" t="s">
        <v>1244</v>
      </c>
      <c r="D159" s="6" t="s">
        <v>1084</v>
      </c>
    </row>
    <row r="160" spans="1:4" hidden="1" x14ac:dyDescent="0.35">
      <c r="A160" s="6">
        <v>2231</v>
      </c>
      <c r="B160" s="6" t="s">
        <v>2548</v>
      </c>
      <c r="C160" s="6" t="s">
        <v>1244</v>
      </c>
      <c r="D160" s="6" t="s">
        <v>1084</v>
      </c>
    </row>
    <row r="161" spans="1:4" hidden="1" x14ac:dyDescent="0.35">
      <c r="A161" s="6">
        <v>2251</v>
      </c>
      <c r="B161" s="6" t="s">
        <v>2549</v>
      </c>
      <c r="C161" s="6" t="s">
        <v>1244</v>
      </c>
      <c r="D161" s="6" t="s">
        <v>1084</v>
      </c>
    </row>
    <row r="162" spans="1:4" hidden="1" x14ac:dyDescent="0.35">
      <c r="A162" s="6">
        <v>2253</v>
      </c>
      <c r="B162" s="6" t="s">
        <v>3351</v>
      </c>
      <c r="C162" s="6" t="s">
        <v>1244</v>
      </c>
      <c r="D162" s="6" t="s">
        <v>1084</v>
      </c>
    </row>
    <row r="163" spans="1:4" hidden="1" x14ac:dyDescent="0.35">
      <c r="A163" s="6">
        <v>2256</v>
      </c>
      <c r="B163" s="6" t="s">
        <v>2550</v>
      </c>
      <c r="C163" s="6" t="s">
        <v>1244</v>
      </c>
      <c r="D163" s="6" t="s">
        <v>1084</v>
      </c>
    </row>
    <row r="164" spans="1:4" hidden="1" x14ac:dyDescent="0.35">
      <c r="A164" s="6">
        <v>2257</v>
      </c>
      <c r="B164" s="6" t="s">
        <v>2551</v>
      </c>
      <c r="C164" s="6" t="s">
        <v>1244</v>
      </c>
      <c r="D164" s="6" t="s">
        <v>1084</v>
      </c>
    </row>
    <row r="165" spans="1:4" hidden="1" x14ac:dyDescent="0.35">
      <c r="A165" s="6">
        <v>2310</v>
      </c>
      <c r="B165" s="6" t="s">
        <v>3352</v>
      </c>
      <c r="C165" s="6" t="s">
        <v>1244</v>
      </c>
      <c r="D165" s="6" t="s">
        <v>1084</v>
      </c>
    </row>
    <row r="166" spans="1:4" hidden="1" x14ac:dyDescent="0.35">
      <c r="A166" s="6">
        <v>2311</v>
      </c>
      <c r="B166" s="6" t="s">
        <v>2553</v>
      </c>
      <c r="C166" s="6" t="s">
        <v>1244</v>
      </c>
      <c r="D166" s="6" t="s">
        <v>1084</v>
      </c>
    </row>
    <row r="167" spans="1:4" hidden="1" x14ac:dyDescent="0.35">
      <c r="A167" s="6">
        <v>2312</v>
      </c>
      <c r="B167" s="6" t="s">
        <v>2554</v>
      </c>
      <c r="C167" s="6" t="s">
        <v>1244</v>
      </c>
      <c r="D167" s="6" t="s">
        <v>1084</v>
      </c>
    </row>
    <row r="168" spans="1:4" hidden="1" x14ac:dyDescent="0.35">
      <c r="A168" s="6">
        <v>2401</v>
      </c>
      <c r="B168" s="6" t="s">
        <v>3353</v>
      </c>
      <c r="C168" s="6" t="s">
        <v>1244</v>
      </c>
      <c r="D168" s="6" t="s">
        <v>1084</v>
      </c>
    </row>
    <row r="169" spans="1:4" hidden="1" x14ac:dyDescent="0.35">
      <c r="A169" s="6">
        <v>2469</v>
      </c>
      <c r="B169" s="6" t="s">
        <v>2555</v>
      </c>
      <c r="C169" s="6" t="s">
        <v>64</v>
      </c>
      <c r="D169" s="6" t="s">
        <v>1084</v>
      </c>
    </row>
    <row r="170" spans="1:4" hidden="1" x14ac:dyDescent="0.35">
      <c r="A170" s="6">
        <v>2471</v>
      </c>
      <c r="B170" s="6" t="s">
        <v>2556</v>
      </c>
      <c r="C170" s="6" t="s">
        <v>64</v>
      </c>
      <c r="D170" s="6" t="s">
        <v>1084</v>
      </c>
    </row>
    <row r="171" spans="1:4" hidden="1" x14ac:dyDescent="0.35">
      <c r="A171" s="6">
        <v>2476</v>
      </c>
      <c r="B171" s="6" t="s">
        <v>2557</v>
      </c>
      <c r="C171" s="6" t="s">
        <v>64</v>
      </c>
      <c r="D171" s="6" t="s">
        <v>1084</v>
      </c>
    </row>
    <row r="172" spans="1:4" hidden="1" x14ac:dyDescent="0.35">
      <c r="A172" s="6">
        <v>2490</v>
      </c>
      <c r="B172" s="6" t="s">
        <v>2558</v>
      </c>
      <c r="C172" s="6" t="s">
        <v>1244</v>
      </c>
      <c r="D172" s="6" t="s">
        <v>1084</v>
      </c>
    </row>
    <row r="173" spans="1:4" hidden="1" x14ac:dyDescent="0.35">
      <c r="A173" s="6">
        <v>2491</v>
      </c>
      <c r="B173" s="6" t="s">
        <v>2559</v>
      </c>
      <c r="C173" s="6" t="s">
        <v>1244</v>
      </c>
      <c r="D173" s="6" t="s">
        <v>1084</v>
      </c>
    </row>
    <row r="174" spans="1:4" hidden="1" x14ac:dyDescent="0.35">
      <c r="A174" s="6">
        <v>2492</v>
      </c>
      <c r="B174" s="6" t="s">
        <v>2560</v>
      </c>
      <c r="C174" s="6" t="s">
        <v>1244</v>
      </c>
      <c r="D174" s="6" t="s">
        <v>1084</v>
      </c>
    </row>
    <row r="175" spans="1:4" hidden="1" x14ac:dyDescent="0.35">
      <c r="A175" s="6">
        <v>2493</v>
      </c>
      <c r="B175" s="6" t="s">
        <v>2561</v>
      </c>
      <c r="C175" s="6" t="s">
        <v>1244</v>
      </c>
      <c r="D175" s="6" t="s">
        <v>1084</v>
      </c>
    </row>
    <row r="176" spans="1:4" hidden="1" x14ac:dyDescent="0.35">
      <c r="A176" s="6">
        <v>2504</v>
      </c>
      <c r="B176" s="6" t="s">
        <v>2562</v>
      </c>
      <c r="C176" s="6" t="s">
        <v>1249</v>
      </c>
      <c r="D176" s="6" t="s">
        <v>1084</v>
      </c>
    </row>
    <row r="177" spans="1:4" hidden="1" x14ac:dyDescent="0.35">
      <c r="A177" s="6">
        <v>2511</v>
      </c>
      <c r="B177" s="6" t="s">
        <v>2563</v>
      </c>
      <c r="C177" s="6" t="s">
        <v>1244</v>
      </c>
      <c r="D177" s="6" t="s">
        <v>1084</v>
      </c>
    </row>
    <row r="178" spans="1:4" hidden="1" x14ac:dyDescent="0.35">
      <c r="A178" s="6">
        <v>2625</v>
      </c>
      <c r="B178" s="6" t="s">
        <v>2564</v>
      </c>
      <c r="C178" s="6" t="s">
        <v>1244</v>
      </c>
      <c r="D178" s="6" t="s">
        <v>1084</v>
      </c>
    </row>
    <row r="179" spans="1:4" hidden="1" x14ac:dyDescent="0.35">
      <c r="A179" s="6">
        <v>2626</v>
      </c>
      <c r="B179" s="6" t="s">
        <v>3354</v>
      </c>
      <c r="C179" s="6" t="s">
        <v>1244</v>
      </c>
      <c r="D179" s="6" t="s">
        <v>1084</v>
      </c>
    </row>
    <row r="180" spans="1:4" hidden="1" x14ac:dyDescent="0.35">
      <c r="A180" s="6">
        <v>2627</v>
      </c>
      <c r="B180" s="6" t="s">
        <v>2565</v>
      </c>
      <c r="C180" s="6" t="s">
        <v>1244</v>
      </c>
      <c r="D180" s="6" t="s">
        <v>1084</v>
      </c>
    </row>
    <row r="181" spans="1:4" hidden="1" x14ac:dyDescent="0.35">
      <c r="A181" s="6">
        <v>2628</v>
      </c>
      <c r="B181" s="6" t="s">
        <v>2566</v>
      </c>
      <c r="C181" s="6" t="s">
        <v>1244</v>
      </c>
      <c r="D181" s="6" t="s">
        <v>1084</v>
      </c>
    </row>
    <row r="182" spans="1:4" hidden="1" x14ac:dyDescent="0.35">
      <c r="A182" s="6">
        <v>2630</v>
      </c>
      <c r="B182" s="6" t="s">
        <v>3355</v>
      </c>
      <c r="C182" s="6" t="s">
        <v>1244</v>
      </c>
      <c r="D182" s="6" t="s">
        <v>1084</v>
      </c>
    </row>
    <row r="183" spans="1:4" hidden="1" x14ac:dyDescent="0.35">
      <c r="A183" s="6">
        <v>2631</v>
      </c>
      <c r="B183" s="6" t="s">
        <v>3356</v>
      </c>
      <c r="C183" s="6" t="s">
        <v>1244</v>
      </c>
      <c r="D183" s="6" t="s">
        <v>1084</v>
      </c>
    </row>
    <row r="184" spans="1:4" hidden="1" x14ac:dyDescent="0.35">
      <c r="A184" s="6">
        <v>2632</v>
      </c>
      <c r="B184" s="6" t="s">
        <v>2567</v>
      </c>
      <c r="C184" s="6" t="s">
        <v>1244</v>
      </c>
      <c r="D184" s="6" t="s">
        <v>1084</v>
      </c>
    </row>
    <row r="185" spans="1:4" hidden="1" x14ac:dyDescent="0.35">
      <c r="A185" s="6">
        <v>2661</v>
      </c>
      <c r="B185" s="6" t="s">
        <v>2568</v>
      </c>
      <c r="C185" s="6" t="s">
        <v>1244</v>
      </c>
      <c r="D185" s="6" t="s">
        <v>1084</v>
      </c>
    </row>
    <row r="186" spans="1:4" hidden="1" x14ac:dyDescent="0.35">
      <c r="A186" s="6">
        <v>2680</v>
      </c>
      <c r="B186" s="6" t="s">
        <v>2569</v>
      </c>
      <c r="C186" s="6" t="s">
        <v>1244</v>
      </c>
      <c r="D186" s="6" t="s">
        <v>1084</v>
      </c>
    </row>
    <row r="187" spans="1:4" hidden="1" x14ac:dyDescent="0.35">
      <c r="A187" s="6">
        <v>2681</v>
      </c>
      <c r="B187" s="6" t="s">
        <v>3357</v>
      </c>
      <c r="C187" s="6" t="s">
        <v>1244</v>
      </c>
      <c r="D187" s="6" t="s">
        <v>1084</v>
      </c>
    </row>
    <row r="188" spans="1:4" hidden="1" x14ac:dyDescent="0.35">
      <c r="A188" s="6">
        <v>2717</v>
      </c>
      <c r="B188" s="6" t="s">
        <v>2570</v>
      </c>
      <c r="C188" s="6" t="s">
        <v>1244</v>
      </c>
      <c r="D188" s="6" t="s">
        <v>1084</v>
      </c>
    </row>
    <row r="189" spans="1:4" hidden="1" x14ac:dyDescent="0.35">
      <c r="A189" s="6">
        <v>2722</v>
      </c>
      <c r="B189" s="6" t="s">
        <v>2571</v>
      </c>
      <c r="C189" s="6" t="s">
        <v>1249</v>
      </c>
      <c r="D189" s="6" t="s">
        <v>1084</v>
      </c>
    </row>
    <row r="190" spans="1:4" hidden="1" x14ac:dyDescent="0.35">
      <c r="A190" s="6">
        <v>2734</v>
      </c>
      <c r="B190" s="6" t="s">
        <v>3358</v>
      </c>
      <c r="C190" s="6" t="s">
        <v>1242</v>
      </c>
      <c r="D190" s="6" t="s">
        <v>1084</v>
      </c>
    </row>
    <row r="191" spans="1:4" hidden="1" x14ac:dyDescent="0.35">
      <c r="A191" s="6">
        <v>2738</v>
      </c>
      <c r="B191" s="6" t="s">
        <v>2572</v>
      </c>
      <c r="C191" s="6" t="s">
        <v>1244</v>
      </c>
      <c r="D191" s="6" t="s">
        <v>1084</v>
      </c>
    </row>
    <row r="192" spans="1:4" hidden="1" x14ac:dyDescent="0.35">
      <c r="A192" s="6">
        <v>2759</v>
      </c>
      <c r="B192" s="6" t="s">
        <v>2573</v>
      </c>
      <c r="C192" s="6" t="s">
        <v>1242</v>
      </c>
      <c r="D192" s="6" t="s">
        <v>1084</v>
      </c>
    </row>
    <row r="193" spans="1:4" hidden="1" x14ac:dyDescent="0.35">
      <c r="A193" s="6">
        <v>2801</v>
      </c>
      <c r="B193" s="6" t="s">
        <v>3359</v>
      </c>
      <c r="C193" s="6" t="s">
        <v>80</v>
      </c>
      <c r="D193" s="6" t="s">
        <v>1084</v>
      </c>
    </row>
    <row r="194" spans="1:4" hidden="1" x14ac:dyDescent="0.35">
      <c r="A194" s="6">
        <v>2802</v>
      </c>
      <c r="B194" s="6" t="s">
        <v>3360</v>
      </c>
      <c r="C194" s="6" t="s">
        <v>80</v>
      </c>
      <c r="D194" s="6" t="s">
        <v>1084</v>
      </c>
    </row>
    <row r="195" spans="1:4" hidden="1" x14ac:dyDescent="0.35">
      <c r="A195" s="6">
        <v>2803</v>
      </c>
      <c r="B195" s="6" t="s">
        <v>3361</v>
      </c>
      <c r="C195" s="6" t="s">
        <v>1244</v>
      </c>
      <c r="D195" s="6" t="s">
        <v>1084</v>
      </c>
    </row>
    <row r="196" spans="1:4" hidden="1" x14ac:dyDescent="0.35">
      <c r="A196" s="6">
        <v>2804</v>
      </c>
      <c r="B196" s="6" t="s">
        <v>2574</v>
      </c>
      <c r="C196" s="6" t="s">
        <v>1244</v>
      </c>
      <c r="D196" s="6" t="s">
        <v>1084</v>
      </c>
    </row>
    <row r="197" spans="1:4" hidden="1" x14ac:dyDescent="0.35">
      <c r="A197" s="6">
        <v>2805</v>
      </c>
      <c r="B197" s="6" t="s">
        <v>2575</v>
      </c>
      <c r="C197" s="6" t="s">
        <v>45</v>
      </c>
      <c r="D197" s="6" t="s">
        <v>1084</v>
      </c>
    </row>
    <row r="198" spans="1:4" hidden="1" x14ac:dyDescent="0.35">
      <c r="A198" s="6">
        <v>2806</v>
      </c>
      <c r="B198" s="6" t="s">
        <v>2576</v>
      </c>
      <c r="C198" s="6" t="s">
        <v>1244</v>
      </c>
      <c r="D198" s="6" t="s">
        <v>1084</v>
      </c>
    </row>
    <row r="199" spans="1:4" hidden="1" x14ac:dyDescent="0.35">
      <c r="A199" s="6">
        <v>2807</v>
      </c>
      <c r="B199" s="6" t="s">
        <v>2577</v>
      </c>
      <c r="C199" s="6" t="s">
        <v>45</v>
      </c>
      <c r="D199" s="6" t="s">
        <v>1084</v>
      </c>
    </row>
    <row r="200" spans="1:4" hidden="1" x14ac:dyDescent="0.35">
      <c r="A200" s="6">
        <v>2808</v>
      </c>
      <c r="B200" s="6" t="s">
        <v>2578</v>
      </c>
      <c r="C200" s="6" t="s">
        <v>45</v>
      </c>
      <c r="D200" s="6" t="s">
        <v>1084</v>
      </c>
    </row>
    <row r="201" spans="1:4" hidden="1" x14ac:dyDescent="0.35">
      <c r="A201" s="6">
        <v>2809</v>
      </c>
      <c r="B201" s="6" t="s">
        <v>2579</v>
      </c>
      <c r="C201" s="6" t="s">
        <v>1244</v>
      </c>
      <c r="D201" s="6" t="s">
        <v>1084</v>
      </c>
    </row>
    <row r="202" spans="1:4" hidden="1" x14ac:dyDescent="0.35">
      <c r="A202" s="6">
        <v>2810</v>
      </c>
      <c r="B202" s="6" t="s">
        <v>2580</v>
      </c>
      <c r="C202" s="6" t="s">
        <v>45</v>
      </c>
      <c r="D202" s="6" t="s">
        <v>1084</v>
      </c>
    </row>
    <row r="203" spans="1:4" hidden="1" x14ac:dyDescent="0.35">
      <c r="A203" s="6">
        <v>2811</v>
      </c>
      <c r="B203" s="6" t="s">
        <v>2581</v>
      </c>
      <c r="C203" s="6" t="s">
        <v>45</v>
      </c>
      <c r="D203" s="6" t="s">
        <v>1084</v>
      </c>
    </row>
    <row r="204" spans="1:4" hidden="1" x14ac:dyDescent="0.35">
      <c r="A204" s="6">
        <v>2831</v>
      </c>
      <c r="B204" s="6" t="s">
        <v>2582</v>
      </c>
      <c r="C204" s="6" t="s">
        <v>1244</v>
      </c>
      <c r="D204" s="6" t="s">
        <v>1084</v>
      </c>
    </row>
    <row r="205" spans="1:4" hidden="1" x14ac:dyDescent="0.35">
      <c r="A205" s="6">
        <v>2832</v>
      </c>
      <c r="B205" s="6" t="s">
        <v>3362</v>
      </c>
      <c r="C205" s="6" t="s">
        <v>1244</v>
      </c>
      <c r="D205" s="6" t="s">
        <v>1084</v>
      </c>
    </row>
    <row r="206" spans="1:4" hidden="1" x14ac:dyDescent="0.35">
      <c r="A206" s="6">
        <v>2833</v>
      </c>
      <c r="B206" s="6" t="s">
        <v>2583</v>
      </c>
      <c r="C206" s="6" t="s">
        <v>1244</v>
      </c>
      <c r="D206" s="6" t="s">
        <v>1084</v>
      </c>
    </row>
    <row r="207" spans="1:4" hidden="1" x14ac:dyDescent="0.35">
      <c r="A207" s="6">
        <v>2900</v>
      </c>
      <c r="B207" s="6" t="s">
        <v>2584</v>
      </c>
      <c r="C207" s="6" t="s">
        <v>45</v>
      </c>
      <c r="D207" s="6" t="s">
        <v>1084</v>
      </c>
    </row>
    <row r="208" spans="1:4" hidden="1" x14ac:dyDescent="0.35">
      <c r="A208" s="6">
        <v>2901</v>
      </c>
      <c r="B208" s="6" t="s">
        <v>2435</v>
      </c>
      <c r="C208" s="6" t="s">
        <v>45</v>
      </c>
      <c r="D208" s="6" t="s">
        <v>1084</v>
      </c>
    </row>
    <row r="209" spans="1:4" hidden="1" x14ac:dyDescent="0.35">
      <c r="A209" s="6">
        <v>2905</v>
      </c>
      <c r="B209" s="6" t="s">
        <v>2585</v>
      </c>
      <c r="C209" s="6" t="s">
        <v>45</v>
      </c>
      <c r="D209" s="6" t="s">
        <v>1084</v>
      </c>
    </row>
    <row r="210" spans="1:4" hidden="1" x14ac:dyDescent="0.35">
      <c r="A210" s="6">
        <v>3008</v>
      </c>
      <c r="B210" s="6" t="s">
        <v>2586</v>
      </c>
      <c r="C210" s="6" t="s">
        <v>80</v>
      </c>
      <c r="D210" s="6" t="s">
        <v>1084</v>
      </c>
    </row>
    <row r="211" spans="1:4" hidden="1" x14ac:dyDescent="0.35">
      <c r="A211" s="6">
        <v>3012</v>
      </c>
      <c r="B211" s="6" t="s">
        <v>2587</v>
      </c>
      <c r="C211" s="6" t="s">
        <v>80</v>
      </c>
      <c r="D211" s="6" t="s">
        <v>1084</v>
      </c>
    </row>
    <row r="212" spans="1:4" hidden="1" x14ac:dyDescent="0.35">
      <c r="A212" s="6">
        <v>3013</v>
      </c>
      <c r="B212" s="6" t="s">
        <v>2588</v>
      </c>
      <c r="C212" s="6" t="s">
        <v>80</v>
      </c>
      <c r="D212" s="6" t="s">
        <v>1084</v>
      </c>
    </row>
    <row r="213" spans="1:4" hidden="1" x14ac:dyDescent="0.35">
      <c r="A213" s="6">
        <v>3027</v>
      </c>
      <c r="B213" s="6" t="s">
        <v>2589</v>
      </c>
      <c r="C213" s="6" t="s">
        <v>80</v>
      </c>
      <c r="D213" s="6" t="s">
        <v>1084</v>
      </c>
    </row>
    <row r="214" spans="1:4" hidden="1" x14ac:dyDescent="0.35">
      <c r="A214" s="6">
        <v>3050</v>
      </c>
      <c r="B214" s="6" t="s">
        <v>2590</v>
      </c>
      <c r="C214" s="6" t="s">
        <v>80</v>
      </c>
      <c r="D214" s="6" t="s">
        <v>1084</v>
      </c>
    </row>
    <row r="215" spans="1:4" hidden="1" x14ac:dyDescent="0.35">
      <c r="A215" s="6">
        <v>3201</v>
      </c>
      <c r="B215" s="6" t="s">
        <v>2591</v>
      </c>
      <c r="C215" s="6" t="s">
        <v>80</v>
      </c>
      <c r="D215" s="6" t="s">
        <v>1084</v>
      </c>
    </row>
    <row r="216" spans="1:4" hidden="1" x14ac:dyDescent="0.35">
      <c r="A216" s="6">
        <v>330476</v>
      </c>
      <c r="B216" s="6" t="s">
        <v>3363</v>
      </c>
      <c r="C216" s="6" t="s">
        <v>1244</v>
      </c>
      <c r="D216" s="6" t="s">
        <v>3623</v>
      </c>
    </row>
    <row r="217" spans="1:4" hidden="1" x14ac:dyDescent="0.35">
      <c r="A217" s="6" t="s">
        <v>2592</v>
      </c>
      <c r="B217" s="6" t="s">
        <v>2593</v>
      </c>
      <c r="C217" s="6" t="s">
        <v>1242</v>
      </c>
      <c r="D217" s="6" t="s">
        <v>1084</v>
      </c>
    </row>
    <row r="218" spans="1:4" hidden="1" x14ac:dyDescent="0.35">
      <c r="A218" s="6" t="s">
        <v>1707</v>
      </c>
      <c r="B218" s="6" t="s">
        <v>1397</v>
      </c>
      <c r="C218" s="6" t="s">
        <v>1244</v>
      </c>
      <c r="D218" s="6" t="s">
        <v>3622</v>
      </c>
    </row>
    <row r="219" spans="1:4" hidden="1" x14ac:dyDescent="0.35">
      <c r="A219" s="6">
        <v>4900</v>
      </c>
      <c r="B219" s="6" t="s">
        <v>2594</v>
      </c>
      <c r="C219" s="6" t="s">
        <v>1244</v>
      </c>
      <c r="D219" s="6" t="s">
        <v>1084</v>
      </c>
    </row>
    <row r="220" spans="1:4" hidden="1" x14ac:dyDescent="0.35">
      <c r="A220" s="6">
        <v>701054</v>
      </c>
      <c r="B220" s="6" t="s">
        <v>3364</v>
      </c>
      <c r="C220" s="6" t="s">
        <v>64</v>
      </c>
      <c r="D220" s="6" t="s">
        <v>1084</v>
      </c>
    </row>
    <row r="221" spans="1:4" hidden="1" x14ac:dyDescent="0.35">
      <c r="A221" s="6">
        <v>701072</v>
      </c>
      <c r="B221" s="6" t="s">
        <v>3365</v>
      </c>
      <c r="C221" s="6" t="s">
        <v>1249</v>
      </c>
      <c r="D221" s="6" t="s">
        <v>1084</v>
      </c>
    </row>
    <row r="222" spans="1:4" hidden="1" x14ac:dyDescent="0.35">
      <c r="A222" s="6">
        <v>703054</v>
      </c>
      <c r="B222" s="6" t="s">
        <v>3366</v>
      </c>
      <c r="C222" s="6" t="s">
        <v>64</v>
      </c>
      <c r="D222" s="6" t="s">
        <v>1084</v>
      </c>
    </row>
    <row r="223" spans="1:4" hidden="1" x14ac:dyDescent="0.35">
      <c r="A223" s="6">
        <v>703072</v>
      </c>
      <c r="B223" s="6" t="s">
        <v>3367</v>
      </c>
      <c r="C223" s="6" t="s">
        <v>1249</v>
      </c>
      <c r="D223" s="6" t="s">
        <v>1084</v>
      </c>
    </row>
    <row r="224" spans="1:4" hidden="1" x14ac:dyDescent="0.35">
      <c r="A224" s="6">
        <v>7215</v>
      </c>
      <c r="B224" s="6" t="s">
        <v>2595</v>
      </c>
      <c r="C224" s="6" t="s">
        <v>1244</v>
      </c>
      <c r="D224" s="6" t="s">
        <v>1084</v>
      </c>
    </row>
    <row r="225" spans="1:4" hidden="1" x14ac:dyDescent="0.35">
      <c r="A225" s="6">
        <v>7234</v>
      </c>
      <c r="B225" s="6" t="s">
        <v>3368</v>
      </c>
      <c r="C225" s="6" t="s">
        <v>1242</v>
      </c>
      <c r="D225" s="6" t="s">
        <v>1084</v>
      </c>
    </row>
    <row r="226" spans="1:4" hidden="1" x14ac:dyDescent="0.35">
      <c r="A226" s="6">
        <v>7310</v>
      </c>
      <c r="B226" s="6" t="s">
        <v>3369</v>
      </c>
      <c r="C226" s="6" t="s">
        <v>1244</v>
      </c>
      <c r="D226" s="6" t="s">
        <v>1084</v>
      </c>
    </row>
    <row r="227" spans="1:4" hidden="1" x14ac:dyDescent="0.35">
      <c r="A227" s="6">
        <v>7455</v>
      </c>
      <c r="B227" s="6" t="s">
        <v>2596</v>
      </c>
      <c r="C227" s="6" t="s">
        <v>64</v>
      </c>
      <c r="D227" s="6" t="s">
        <v>1084</v>
      </c>
    </row>
    <row r="228" spans="1:4" hidden="1" x14ac:dyDescent="0.35">
      <c r="A228" s="6">
        <v>7471</v>
      </c>
      <c r="B228" s="6" t="s">
        <v>2597</v>
      </c>
      <c r="C228" s="6" t="s">
        <v>64</v>
      </c>
      <c r="D228" s="6" t="s">
        <v>1084</v>
      </c>
    </row>
    <row r="229" spans="1:4" hidden="1" x14ac:dyDescent="0.35">
      <c r="A229" s="6">
        <v>7493</v>
      </c>
      <c r="B229" s="6" t="s">
        <v>2598</v>
      </c>
      <c r="C229" s="6" t="s">
        <v>1244</v>
      </c>
      <c r="D229" s="6" t="s">
        <v>1084</v>
      </c>
    </row>
    <row r="230" spans="1:4" hidden="1" x14ac:dyDescent="0.35">
      <c r="A230" s="6">
        <v>7504</v>
      </c>
      <c r="B230" s="6" t="s">
        <v>2599</v>
      </c>
      <c r="C230" s="6" t="s">
        <v>1244</v>
      </c>
      <c r="D230" s="6" t="s">
        <v>1084</v>
      </c>
    </row>
    <row r="231" spans="1:4" hidden="1" x14ac:dyDescent="0.35">
      <c r="A231" s="6">
        <v>7630</v>
      </c>
      <c r="B231" s="6" t="s">
        <v>3370</v>
      </c>
      <c r="C231" s="6" t="s">
        <v>1244</v>
      </c>
      <c r="D231" s="6" t="s">
        <v>1084</v>
      </c>
    </row>
    <row r="232" spans="1:4" hidden="1" x14ac:dyDescent="0.35">
      <c r="A232" s="6">
        <v>7631</v>
      </c>
      <c r="B232" s="6" t="s">
        <v>3371</v>
      </c>
      <c r="C232" s="6" t="s">
        <v>1244</v>
      </c>
      <c r="D232" s="6" t="s">
        <v>1084</v>
      </c>
    </row>
    <row r="233" spans="1:4" hidden="1" x14ac:dyDescent="0.35">
      <c r="A233" s="6">
        <v>7633</v>
      </c>
      <c r="B233" s="6" t="s">
        <v>2600</v>
      </c>
      <c r="C233" s="6" t="s">
        <v>1244</v>
      </c>
      <c r="D233" s="6" t="s">
        <v>1084</v>
      </c>
    </row>
    <row r="234" spans="1:4" hidden="1" x14ac:dyDescent="0.35">
      <c r="A234" s="6">
        <v>7680</v>
      </c>
      <c r="B234" s="6" t="s">
        <v>2601</v>
      </c>
      <c r="C234" s="6" t="s">
        <v>1244</v>
      </c>
      <c r="D234" s="6" t="s">
        <v>1084</v>
      </c>
    </row>
    <row r="235" spans="1:4" hidden="1" x14ac:dyDescent="0.35">
      <c r="A235" s="6">
        <v>7681</v>
      </c>
      <c r="B235" s="6" t="s">
        <v>3372</v>
      </c>
      <c r="C235" s="6" t="s">
        <v>1244</v>
      </c>
      <c r="D235" s="6" t="s">
        <v>1084</v>
      </c>
    </row>
    <row r="236" spans="1:4" hidden="1" x14ac:dyDescent="0.35">
      <c r="A236" s="6">
        <v>7712</v>
      </c>
      <c r="B236" s="6" t="s">
        <v>2602</v>
      </c>
      <c r="C236" s="6" t="s">
        <v>1242</v>
      </c>
      <c r="D236" s="6" t="s">
        <v>1084</v>
      </c>
    </row>
    <row r="237" spans="1:4" hidden="1" x14ac:dyDescent="0.35">
      <c r="A237" s="6">
        <v>7747</v>
      </c>
      <c r="B237" s="6" t="s">
        <v>2603</v>
      </c>
      <c r="C237" s="6" t="s">
        <v>1242</v>
      </c>
      <c r="D237" s="6" t="s">
        <v>1084</v>
      </c>
    </row>
    <row r="238" spans="1:4" hidden="1" x14ac:dyDescent="0.35">
      <c r="A238" s="6">
        <v>7748</v>
      </c>
      <c r="B238" s="6" t="s">
        <v>2604</v>
      </c>
      <c r="C238" s="6" t="s">
        <v>1242</v>
      </c>
      <c r="D238" s="6" t="s">
        <v>1084</v>
      </c>
    </row>
    <row r="239" spans="1:4" hidden="1" x14ac:dyDescent="0.35">
      <c r="A239" s="6">
        <v>7749</v>
      </c>
      <c r="B239" s="6" t="s">
        <v>2605</v>
      </c>
      <c r="C239" s="6" t="s">
        <v>1242</v>
      </c>
      <c r="D239" s="6" t="s">
        <v>1084</v>
      </c>
    </row>
    <row r="240" spans="1:4" hidden="1" x14ac:dyDescent="0.35">
      <c r="A240" s="6">
        <v>7801</v>
      </c>
      <c r="B240" s="6" t="s">
        <v>3373</v>
      </c>
      <c r="C240" s="6" t="s">
        <v>80</v>
      </c>
      <c r="D240" s="6" t="s">
        <v>1084</v>
      </c>
    </row>
    <row r="241" spans="1:4" hidden="1" x14ac:dyDescent="0.35">
      <c r="A241" s="6">
        <v>7802</v>
      </c>
      <c r="B241" s="6" t="s">
        <v>3374</v>
      </c>
      <c r="C241" s="6" t="s">
        <v>80</v>
      </c>
      <c r="D241" s="6" t="s">
        <v>1084</v>
      </c>
    </row>
    <row r="242" spans="1:4" hidden="1" x14ac:dyDescent="0.35">
      <c r="A242" s="6">
        <v>7810</v>
      </c>
      <c r="B242" s="6" t="s">
        <v>2606</v>
      </c>
      <c r="C242" s="6" t="s">
        <v>80</v>
      </c>
      <c r="D242" s="6" t="s">
        <v>1084</v>
      </c>
    </row>
    <row r="243" spans="1:4" hidden="1" x14ac:dyDescent="0.35">
      <c r="A243" s="6">
        <v>7902</v>
      </c>
      <c r="B243" s="6" t="s">
        <v>2607</v>
      </c>
      <c r="C243" s="6" t="s">
        <v>64</v>
      </c>
      <c r="D243" s="6" t="s">
        <v>1084</v>
      </c>
    </row>
    <row r="244" spans="1:4" hidden="1" x14ac:dyDescent="0.35">
      <c r="A244" s="6" t="s">
        <v>1708</v>
      </c>
      <c r="B244" s="6" t="s">
        <v>1247</v>
      </c>
      <c r="C244" s="6" t="s">
        <v>64</v>
      </c>
      <c r="D244" s="6" t="s">
        <v>3622</v>
      </c>
    </row>
    <row r="245" spans="1:4" hidden="1" x14ac:dyDescent="0.35">
      <c r="A245" s="6" t="s">
        <v>2608</v>
      </c>
      <c r="B245" s="6" t="s">
        <v>2609</v>
      </c>
      <c r="C245" s="6" t="s">
        <v>1244</v>
      </c>
      <c r="D245" s="6" t="s">
        <v>1084</v>
      </c>
    </row>
    <row r="246" spans="1:4" hidden="1" x14ac:dyDescent="0.35">
      <c r="A246" s="6" t="s">
        <v>2610</v>
      </c>
      <c r="B246" s="6" t="s">
        <v>2611</v>
      </c>
      <c r="C246" s="6" t="s">
        <v>64</v>
      </c>
      <c r="D246" s="6" t="s">
        <v>1084</v>
      </c>
    </row>
    <row r="247" spans="1:4" hidden="1" x14ac:dyDescent="0.35">
      <c r="A247" s="6" t="s">
        <v>1709</v>
      </c>
      <c r="B247" s="6" t="s">
        <v>1710</v>
      </c>
      <c r="C247" s="6" t="s">
        <v>1244</v>
      </c>
      <c r="D247" s="6" t="s">
        <v>3622</v>
      </c>
    </row>
    <row r="248" spans="1:4" hidden="1" x14ac:dyDescent="0.35">
      <c r="A248" s="6" t="s">
        <v>1711</v>
      </c>
      <c r="B248" s="6" t="s">
        <v>1712</v>
      </c>
      <c r="C248" s="6" t="s">
        <v>1244</v>
      </c>
      <c r="D248" s="6" t="s">
        <v>3622</v>
      </c>
    </row>
    <row r="249" spans="1:4" hidden="1" x14ac:dyDescent="0.35">
      <c r="A249" s="6" t="s">
        <v>1713</v>
      </c>
      <c r="B249" s="6" t="s">
        <v>1714</v>
      </c>
      <c r="C249" s="6" t="s">
        <v>1244</v>
      </c>
      <c r="D249" s="6" t="s">
        <v>3624</v>
      </c>
    </row>
    <row r="250" spans="1:4" hidden="1" x14ac:dyDescent="0.35">
      <c r="A250" s="6" t="s">
        <v>1715</v>
      </c>
      <c r="B250" s="6" t="s">
        <v>3375</v>
      </c>
      <c r="C250" s="6" t="s">
        <v>1242</v>
      </c>
      <c r="D250" s="6" t="s">
        <v>3622</v>
      </c>
    </row>
    <row r="251" spans="1:4" hidden="1" x14ac:dyDescent="0.35">
      <c r="A251" s="6" t="s">
        <v>2612</v>
      </c>
      <c r="B251" s="6" t="s">
        <v>3376</v>
      </c>
      <c r="C251" s="6" t="s">
        <v>1242</v>
      </c>
      <c r="D251" s="6" t="s">
        <v>3622</v>
      </c>
    </row>
    <row r="252" spans="1:4" hidden="1" x14ac:dyDescent="0.35">
      <c r="A252" s="6" t="s">
        <v>2613</v>
      </c>
      <c r="B252" s="6" t="s">
        <v>2614</v>
      </c>
      <c r="C252" s="6" t="s">
        <v>64</v>
      </c>
      <c r="D252" s="6" t="s">
        <v>1084</v>
      </c>
    </row>
    <row r="253" spans="1:4" hidden="1" x14ac:dyDescent="0.35">
      <c r="A253" s="6" t="s">
        <v>1716</v>
      </c>
      <c r="B253" s="6" t="s">
        <v>1503</v>
      </c>
      <c r="C253" s="6" t="s">
        <v>1242</v>
      </c>
      <c r="D253" s="6" t="s">
        <v>3622</v>
      </c>
    </row>
    <row r="254" spans="1:4" hidden="1" x14ac:dyDescent="0.35">
      <c r="A254" s="6" t="s">
        <v>1717</v>
      </c>
      <c r="B254" s="6" t="s">
        <v>1535</v>
      </c>
      <c r="C254" s="6" t="s">
        <v>1244</v>
      </c>
      <c r="D254" s="6" t="s">
        <v>3623</v>
      </c>
    </row>
    <row r="255" spans="1:4" hidden="1" x14ac:dyDescent="0.35">
      <c r="A255" s="6" t="s">
        <v>2615</v>
      </c>
      <c r="B255" s="6" t="s">
        <v>2616</v>
      </c>
      <c r="C255" s="6" t="s">
        <v>1244</v>
      </c>
      <c r="D255" s="6" t="s">
        <v>1084</v>
      </c>
    </row>
    <row r="256" spans="1:4" hidden="1" x14ac:dyDescent="0.35">
      <c r="A256" s="6" t="s">
        <v>2617</v>
      </c>
      <c r="B256" s="6" t="s">
        <v>2618</v>
      </c>
      <c r="C256" s="6" t="s">
        <v>1244</v>
      </c>
      <c r="D256" s="6" t="s">
        <v>1084</v>
      </c>
    </row>
    <row r="257" spans="1:4" hidden="1" x14ac:dyDescent="0.35">
      <c r="A257" s="6" t="s">
        <v>2619</v>
      </c>
      <c r="B257" s="6" t="s">
        <v>2620</v>
      </c>
      <c r="C257" s="6" t="s">
        <v>1244</v>
      </c>
      <c r="D257" s="6" t="s">
        <v>1084</v>
      </c>
    </row>
    <row r="258" spans="1:4" hidden="1" x14ac:dyDescent="0.35">
      <c r="A258" s="6" t="s">
        <v>1718</v>
      </c>
      <c r="B258" s="6" t="s">
        <v>1719</v>
      </c>
      <c r="C258" s="6" t="s">
        <v>1244</v>
      </c>
      <c r="D258" s="6" t="s">
        <v>3622</v>
      </c>
    </row>
    <row r="259" spans="1:4" hidden="1" x14ac:dyDescent="0.35">
      <c r="A259" s="6" t="s">
        <v>2621</v>
      </c>
      <c r="B259" s="6" t="s">
        <v>2622</v>
      </c>
      <c r="C259" s="6" t="s">
        <v>64</v>
      </c>
      <c r="D259" s="6" t="s">
        <v>1084</v>
      </c>
    </row>
    <row r="260" spans="1:4" hidden="1" x14ac:dyDescent="0.35">
      <c r="A260" s="6" t="s">
        <v>1720</v>
      </c>
      <c r="B260" s="6" t="s">
        <v>1380</v>
      </c>
      <c r="C260" s="6" t="s">
        <v>1244</v>
      </c>
      <c r="D260" s="6" t="s">
        <v>3622</v>
      </c>
    </row>
    <row r="261" spans="1:4" hidden="1" x14ac:dyDescent="0.35">
      <c r="A261" s="6" t="s">
        <v>2623</v>
      </c>
      <c r="B261" s="6" t="s">
        <v>2624</v>
      </c>
      <c r="C261" s="6" t="s">
        <v>1242</v>
      </c>
      <c r="D261" s="6" t="s">
        <v>3622</v>
      </c>
    </row>
    <row r="262" spans="1:4" hidden="1" x14ac:dyDescent="0.35">
      <c r="A262" s="6" t="s">
        <v>1721</v>
      </c>
      <c r="B262" s="6" t="s">
        <v>1722</v>
      </c>
      <c r="C262" s="6" t="s">
        <v>1244</v>
      </c>
      <c r="D262" s="6" t="s">
        <v>3622</v>
      </c>
    </row>
    <row r="263" spans="1:4" hidden="1" x14ac:dyDescent="0.35">
      <c r="A263" s="6" t="s">
        <v>1723</v>
      </c>
      <c r="B263" s="6" t="s">
        <v>1379</v>
      </c>
      <c r="C263" s="6" t="s">
        <v>1244</v>
      </c>
      <c r="D263" s="6" t="s">
        <v>3624</v>
      </c>
    </row>
    <row r="264" spans="1:4" hidden="1" x14ac:dyDescent="0.35">
      <c r="A264" s="6" t="s">
        <v>1724</v>
      </c>
      <c r="B264" s="6" t="s">
        <v>1725</v>
      </c>
      <c r="C264" s="6" t="s">
        <v>1244</v>
      </c>
      <c r="D264" s="6" t="s">
        <v>3622</v>
      </c>
    </row>
    <row r="265" spans="1:4" hidden="1" x14ac:dyDescent="0.35">
      <c r="A265" s="6" t="s">
        <v>2625</v>
      </c>
      <c r="B265" s="6" t="s">
        <v>2626</v>
      </c>
      <c r="C265" s="6" t="s">
        <v>1244</v>
      </c>
      <c r="D265" s="6" t="s">
        <v>1084</v>
      </c>
    </row>
    <row r="266" spans="1:4" hidden="1" x14ac:dyDescent="0.35">
      <c r="A266" s="6" t="s">
        <v>1726</v>
      </c>
      <c r="B266" s="6" t="s">
        <v>1398</v>
      </c>
      <c r="C266" s="6" t="s">
        <v>1244</v>
      </c>
      <c r="D266" s="6" t="s">
        <v>3623</v>
      </c>
    </row>
    <row r="267" spans="1:4" hidden="1" x14ac:dyDescent="0.35">
      <c r="A267" s="6" t="s">
        <v>1727</v>
      </c>
      <c r="B267" s="6" t="s">
        <v>1534</v>
      </c>
      <c r="C267" s="6" t="s">
        <v>1244</v>
      </c>
      <c r="D267" s="6" t="s">
        <v>3624</v>
      </c>
    </row>
    <row r="268" spans="1:4" hidden="1" x14ac:dyDescent="0.35">
      <c r="A268" s="6" t="s">
        <v>2627</v>
      </c>
      <c r="B268" s="6" t="s">
        <v>2628</v>
      </c>
      <c r="C268" s="6" t="s">
        <v>1244</v>
      </c>
      <c r="D268" s="6" t="s">
        <v>1084</v>
      </c>
    </row>
    <row r="269" spans="1:4" hidden="1" x14ac:dyDescent="0.35">
      <c r="A269" s="6" t="s">
        <v>1728</v>
      </c>
      <c r="B269" s="6" t="s">
        <v>1369</v>
      </c>
      <c r="C269" s="6" t="s">
        <v>1244</v>
      </c>
      <c r="D269" s="6" t="s">
        <v>3623</v>
      </c>
    </row>
    <row r="270" spans="1:4" hidden="1" x14ac:dyDescent="0.35">
      <c r="A270" s="6" t="s">
        <v>1729</v>
      </c>
      <c r="B270" s="6" t="s">
        <v>1730</v>
      </c>
      <c r="C270" s="6" t="s">
        <v>1244</v>
      </c>
      <c r="D270" s="6" t="s">
        <v>3624</v>
      </c>
    </row>
    <row r="271" spans="1:4" hidden="1" x14ac:dyDescent="0.35">
      <c r="A271" s="6" t="s">
        <v>1731</v>
      </c>
      <c r="B271" s="6" t="s">
        <v>1732</v>
      </c>
      <c r="C271" s="6" t="s">
        <v>1244</v>
      </c>
      <c r="D271" s="6" t="s">
        <v>3622</v>
      </c>
    </row>
    <row r="272" spans="1:4" hidden="1" x14ac:dyDescent="0.35">
      <c r="A272" s="6" t="s">
        <v>1733</v>
      </c>
      <c r="B272" s="6" t="s">
        <v>1734</v>
      </c>
      <c r="C272" s="6" t="s">
        <v>1244</v>
      </c>
      <c r="D272" s="6" t="s">
        <v>3624</v>
      </c>
    </row>
    <row r="273" spans="1:4" hidden="1" x14ac:dyDescent="0.35">
      <c r="A273" s="6" t="s">
        <v>1735</v>
      </c>
      <c r="B273" s="6" t="s">
        <v>1338</v>
      </c>
      <c r="C273" s="6" t="s">
        <v>1244</v>
      </c>
      <c r="D273" s="6" t="s">
        <v>3622</v>
      </c>
    </row>
    <row r="274" spans="1:4" hidden="1" x14ac:dyDescent="0.35">
      <c r="A274" s="6" t="s">
        <v>1154</v>
      </c>
      <c r="B274" s="6" t="s">
        <v>2629</v>
      </c>
      <c r="C274" s="6" t="s">
        <v>1086</v>
      </c>
      <c r="D274" s="6" t="s">
        <v>3622</v>
      </c>
    </row>
    <row r="275" spans="1:4" hidden="1" x14ac:dyDescent="0.35">
      <c r="A275" s="6" t="s">
        <v>1152</v>
      </c>
      <c r="B275" s="6" t="s">
        <v>2630</v>
      </c>
      <c r="C275" s="6" t="s">
        <v>1086</v>
      </c>
      <c r="D275" s="6" t="s">
        <v>3622</v>
      </c>
    </row>
    <row r="276" spans="1:4" hidden="1" x14ac:dyDescent="0.35">
      <c r="A276" s="6" t="s">
        <v>1156</v>
      </c>
      <c r="B276" s="6" t="s">
        <v>2631</v>
      </c>
      <c r="C276" s="6" t="s">
        <v>1086</v>
      </c>
      <c r="D276" s="6" t="s">
        <v>3622</v>
      </c>
    </row>
    <row r="277" spans="1:4" hidden="1" x14ac:dyDescent="0.35">
      <c r="A277" s="6" t="s">
        <v>1155</v>
      </c>
      <c r="B277" s="6" t="s">
        <v>2632</v>
      </c>
      <c r="C277" s="6" t="s">
        <v>1086</v>
      </c>
      <c r="D277" s="6" t="s">
        <v>3622</v>
      </c>
    </row>
    <row r="278" spans="1:4" hidden="1" x14ac:dyDescent="0.35">
      <c r="A278" s="6" t="s">
        <v>1157</v>
      </c>
      <c r="B278" s="6" t="s">
        <v>2633</v>
      </c>
      <c r="C278" s="6" t="s">
        <v>1086</v>
      </c>
      <c r="D278" s="6" t="s">
        <v>3622</v>
      </c>
    </row>
    <row r="279" spans="1:4" hidden="1" x14ac:dyDescent="0.35">
      <c r="A279" s="6" t="s">
        <v>2634</v>
      </c>
      <c r="B279" s="6" t="s">
        <v>2635</v>
      </c>
      <c r="C279" s="6" t="s">
        <v>1086</v>
      </c>
      <c r="D279" s="6" t="s">
        <v>3622</v>
      </c>
    </row>
    <row r="280" spans="1:4" hidden="1" x14ac:dyDescent="0.35">
      <c r="A280" s="6" t="s">
        <v>1153</v>
      </c>
      <c r="B280" s="6" t="s">
        <v>2636</v>
      </c>
      <c r="C280" s="6" t="s">
        <v>1086</v>
      </c>
      <c r="D280" s="6" t="s">
        <v>3622</v>
      </c>
    </row>
    <row r="281" spans="1:4" hidden="1" x14ac:dyDescent="0.35">
      <c r="A281" s="6" t="s">
        <v>1736</v>
      </c>
      <c r="B281" s="6" t="s">
        <v>1246</v>
      </c>
      <c r="C281" s="6" t="s">
        <v>1244</v>
      </c>
      <c r="D281" s="6" t="s">
        <v>3622</v>
      </c>
    </row>
    <row r="282" spans="1:4" hidden="1" x14ac:dyDescent="0.35">
      <c r="A282" s="6" t="s">
        <v>1737</v>
      </c>
      <c r="B282" s="6" t="s">
        <v>3377</v>
      </c>
      <c r="C282" s="6" t="s">
        <v>1244</v>
      </c>
      <c r="D282" s="6" t="s">
        <v>3623</v>
      </c>
    </row>
    <row r="283" spans="1:4" hidden="1" x14ac:dyDescent="0.35">
      <c r="A283" s="6" t="s">
        <v>1738</v>
      </c>
      <c r="B283" s="6" t="s">
        <v>1739</v>
      </c>
      <c r="C283" s="6" t="s">
        <v>1248</v>
      </c>
      <c r="D283" s="6" t="s">
        <v>3623</v>
      </c>
    </row>
    <row r="284" spans="1:4" hidden="1" x14ac:dyDescent="0.35">
      <c r="A284" s="6" t="s">
        <v>2637</v>
      </c>
      <c r="B284" s="6" t="s">
        <v>2638</v>
      </c>
      <c r="C284" s="6" t="s">
        <v>64</v>
      </c>
      <c r="D284" s="6" t="s">
        <v>1084</v>
      </c>
    </row>
    <row r="285" spans="1:4" hidden="1" x14ac:dyDescent="0.35">
      <c r="A285" s="6" t="s">
        <v>1740</v>
      </c>
      <c r="B285" s="6" t="s">
        <v>1741</v>
      </c>
      <c r="C285" s="6" t="s">
        <v>45</v>
      </c>
      <c r="D285" s="6" t="s">
        <v>3623</v>
      </c>
    </row>
    <row r="286" spans="1:4" hidden="1" x14ac:dyDescent="0.35">
      <c r="A286" s="6" t="s">
        <v>1742</v>
      </c>
      <c r="B286" s="6" t="s">
        <v>1743</v>
      </c>
      <c r="C286" s="6" t="s">
        <v>45</v>
      </c>
      <c r="D286" s="6" t="s">
        <v>3623</v>
      </c>
    </row>
    <row r="287" spans="1:4" hidden="1" x14ac:dyDescent="0.35">
      <c r="A287" s="6" t="s">
        <v>1744</v>
      </c>
      <c r="B287" s="6" t="s">
        <v>1610</v>
      </c>
      <c r="C287" s="6" t="s">
        <v>1244</v>
      </c>
      <c r="D287" s="6" t="s">
        <v>3623</v>
      </c>
    </row>
    <row r="288" spans="1:4" hidden="1" x14ac:dyDescent="0.35">
      <c r="A288" s="6" t="s">
        <v>3378</v>
      </c>
      <c r="B288" s="6" t="s">
        <v>3379</v>
      </c>
      <c r="C288" s="6" t="s">
        <v>1244</v>
      </c>
      <c r="D288" s="6" t="s">
        <v>3623</v>
      </c>
    </row>
    <row r="289" spans="1:4" hidden="1" x14ac:dyDescent="0.35">
      <c r="A289" s="6" t="s">
        <v>3380</v>
      </c>
      <c r="B289" s="6" t="s">
        <v>3381</v>
      </c>
      <c r="C289" s="6" t="s">
        <v>1244</v>
      </c>
      <c r="D289" s="6" t="s">
        <v>3623</v>
      </c>
    </row>
    <row r="290" spans="1:4" hidden="1" x14ac:dyDescent="0.35">
      <c r="A290" s="6" t="s">
        <v>1745</v>
      </c>
      <c r="B290" s="6" t="s">
        <v>1609</v>
      </c>
      <c r="C290" s="6" t="s">
        <v>1244</v>
      </c>
      <c r="D290" s="6" t="s">
        <v>3622</v>
      </c>
    </row>
    <row r="291" spans="1:4" hidden="1" x14ac:dyDescent="0.35">
      <c r="A291" s="6" t="s">
        <v>1746</v>
      </c>
      <c r="B291" s="6" t="s">
        <v>1608</v>
      </c>
      <c r="C291" s="6" t="s">
        <v>1244</v>
      </c>
      <c r="D291" s="6" t="s">
        <v>3624</v>
      </c>
    </row>
    <row r="292" spans="1:4" hidden="1" x14ac:dyDescent="0.35">
      <c r="A292" s="6" t="s">
        <v>1747</v>
      </c>
      <c r="B292" s="6" t="s">
        <v>1748</v>
      </c>
      <c r="C292" s="6" t="s">
        <v>1244</v>
      </c>
      <c r="D292" s="6" t="s">
        <v>3623</v>
      </c>
    </row>
    <row r="293" spans="1:4" hidden="1" x14ac:dyDescent="0.35">
      <c r="A293" s="6" t="s">
        <v>3382</v>
      </c>
      <c r="B293" s="6" t="s">
        <v>3383</v>
      </c>
      <c r="C293" s="6" t="s">
        <v>1242</v>
      </c>
      <c r="D293" s="6" t="s">
        <v>3622</v>
      </c>
    </row>
    <row r="294" spans="1:4" hidden="1" x14ac:dyDescent="0.35">
      <c r="A294" s="6" t="s">
        <v>3384</v>
      </c>
      <c r="B294" s="6" t="s">
        <v>3385</v>
      </c>
      <c r="C294" s="6" t="s">
        <v>1244</v>
      </c>
      <c r="D294" s="6" t="s">
        <v>3623</v>
      </c>
    </row>
    <row r="295" spans="1:4" hidden="1" x14ac:dyDescent="0.35">
      <c r="A295" s="6" t="s">
        <v>2639</v>
      </c>
      <c r="B295" s="6" t="s">
        <v>2640</v>
      </c>
      <c r="C295" s="6" t="s">
        <v>1244</v>
      </c>
      <c r="D295" s="6" t="s">
        <v>3623</v>
      </c>
    </row>
    <row r="296" spans="1:4" hidden="1" x14ac:dyDescent="0.35">
      <c r="A296" s="6" t="s">
        <v>3386</v>
      </c>
      <c r="B296" s="6" t="s">
        <v>3387</v>
      </c>
      <c r="C296" s="6" t="s">
        <v>1244</v>
      </c>
      <c r="D296" s="6" t="s">
        <v>3623</v>
      </c>
    </row>
    <row r="297" spans="1:4" hidden="1" x14ac:dyDescent="0.35">
      <c r="A297" s="6" t="s">
        <v>1749</v>
      </c>
      <c r="B297" s="6" t="s">
        <v>1750</v>
      </c>
      <c r="C297" s="6" t="s">
        <v>1244</v>
      </c>
      <c r="D297" s="6" t="s">
        <v>3622</v>
      </c>
    </row>
    <row r="298" spans="1:4" hidden="1" x14ac:dyDescent="0.35">
      <c r="A298" s="6" t="s">
        <v>1751</v>
      </c>
      <c r="B298" s="6" t="s">
        <v>1752</v>
      </c>
      <c r="C298" s="6" t="s">
        <v>1244</v>
      </c>
      <c r="D298" s="6" t="s">
        <v>3622</v>
      </c>
    </row>
    <row r="299" spans="1:4" hidden="1" x14ac:dyDescent="0.35">
      <c r="A299" s="6" t="s">
        <v>1753</v>
      </c>
      <c r="B299" s="6" t="s">
        <v>1754</v>
      </c>
      <c r="C299" s="6" t="s">
        <v>1244</v>
      </c>
      <c r="D299" s="6" t="s">
        <v>3622</v>
      </c>
    </row>
    <row r="300" spans="1:4" hidden="1" x14ac:dyDescent="0.35">
      <c r="A300" s="6" t="s">
        <v>3388</v>
      </c>
      <c r="B300" s="6" t="s">
        <v>3389</v>
      </c>
      <c r="C300" s="6" t="s">
        <v>1244</v>
      </c>
      <c r="D300" s="6" t="s">
        <v>3623</v>
      </c>
    </row>
    <row r="301" spans="1:4" hidden="1" x14ac:dyDescent="0.35">
      <c r="A301" s="6" t="s">
        <v>1755</v>
      </c>
      <c r="B301" s="6" t="s">
        <v>3390</v>
      </c>
      <c r="C301" s="6" t="s">
        <v>1244</v>
      </c>
      <c r="D301" s="6" t="s">
        <v>3623</v>
      </c>
    </row>
    <row r="302" spans="1:4" hidden="1" x14ac:dyDescent="0.35">
      <c r="A302" s="6" t="s">
        <v>2641</v>
      </c>
      <c r="B302" s="6" t="s">
        <v>2642</v>
      </c>
      <c r="C302" s="6" t="s">
        <v>1244</v>
      </c>
      <c r="D302" s="6" t="s">
        <v>3623</v>
      </c>
    </row>
    <row r="303" spans="1:4" hidden="1" x14ac:dyDescent="0.35">
      <c r="A303" s="6" t="s">
        <v>1756</v>
      </c>
      <c r="B303" s="6" t="s">
        <v>1467</v>
      </c>
      <c r="C303" s="6" t="s">
        <v>1248</v>
      </c>
      <c r="D303" s="6" t="s">
        <v>3623</v>
      </c>
    </row>
    <row r="304" spans="1:4" hidden="1" x14ac:dyDescent="0.35">
      <c r="A304" s="6" t="s">
        <v>1757</v>
      </c>
      <c r="B304" s="6" t="s">
        <v>1542</v>
      </c>
      <c r="C304" s="6" t="s">
        <v>1244</v>
      </c>
      <c r="D304" s="6" t="s">
        <v>3622</v>
      </c>
    </row>
    <row r="305" spans="1:4" hidden="1" x14ac:dyDescent="0.35">
      <c r="A305" s="6" t="s">
        <v>1758</v>
      </c>
      <c r="B305" s="6" t="s">
        <v>1759</v>
      </c>
      <c r="C305" s="6" t="s">
        <v>1244</v>
      </c>
      <c r="D305" s="6" t="s">
        <v>3622</v>
      </c>
    </row>
    <row r="306" spans="1:4" hidden="1" x14ac:dyDescent="0.35">
      <c r="A306" s="6" t="s">
        <v>1760</v>
      </c>
      <c r="B306" s="6" t="s">
        <v>1761</v>
      </c>
      <c r="C306" s="6" t="s">
        <v>1244</v>
      </c>
      <c r="D306" s="6" t="s">
        <v>3622</v>
      </c>
    </row>
    <row r="307" spans="1:4" hidden="1" x14ac:dyDescent="0.35">
      <c r="A307" s="6" t="s">
        <v>2643</v>
      </c>
      <c r="B307" s="6" t="s">
        <v>2644</v>
      </c>
      <c r="C307" s="6" t="s">
        <v>1244</v>
      </c>
      <c r="D307" s="6" t="s">
        <v>3622</v>
      </c>
    </row>
    <row r="308" spans="1:4" hidden="1" x14ac:dyDescent="0.35">
      <c r="A308" s="6" t="s">
        <v>2645</v>
      </c>
      <c r="B308" s="6" t="s">
        <v>2646</v>
      </c>
      <c r="C308" s="6" t="s">
        <v>1244</v>
      </c>
      <c r="D308" s="6" t="s">
        <v>3622</v>
      </c>
    </row>
    <row r="309" spans="1:4" hidden="1" x14ac:dyDescent="0.35">
      <c r="A309" s="6" t="s">
        <v>2647</v>
      </c>
      <c r="B309" s="6" t="s">
        <v>2648</v>
      </c>
      <c r="C309" s="6" t="s">
        <v>1242</v>
      </c>
      <c r="D309" s="6" t="s">
        <v>1084</v>
      </c>
    </row>
    <row r="310" spans="1:4" hidden="1" x14ac:dyDescent="0.35">
      <c r="A310" s="6" t="s">
        <v>1762</v>
      </c>
      <c r="B310" s="6" t="s">
        <v>1458</v>
      </c>
      <c r="C310" s="6" t="s">
        <v>1244</v>
      </c>
      <c r="D310" s="6" t="s">
        <v>3622</v>
      </c>
    </row>
    <row r="311" spans="1:4" hidden="1" x14ac:dyDescent="0.35">
      <c r="A311" s="6" t="s">
        <v>1763</v>
      </c>
      <c r="B311" s="6" t="s">
        <v>1764</v>
      </c>
      <c r="C311" s="6" t="s">
        <v>1244</v>
      </c>
      <c r="D311" s="6" t="s">
        <v>3622</v>
      </c>
    </row>
    <row r="312" spans="1:4" hidden="1" x14ac:dyDescent="0.35">
      <c r="A312" s="6" t="s">
        <v>1765</v>
      </c>
      <c r="B312" s="6" t="s">
        <v>1459</v>
      </c>
      <c r="C312" s="6" t="s">
        <v>1244</v>
      </c>
      <c r="D312" s="6" t="s">
        <v>3624</v>
      </c>
    </row>
    <row r="313" spans="1:4" hidden="1" x14ac:dyDescent="0.35">
      <c r="A313" s="6" t="s">
        <v>2649</v>
      </c>
      <c r="B313" s="6" t="s">
        <v>2650</v>
      </c>
      <c r="C313" s="6" t="s">
        <v>1242</v>
      </c>
      <c r="D313" s="6" t="s">
        <v>3623</v>
      </c>
    </row>
    <row r="314" spans="1:4" hidden="1" x14ac:dyDescent="0.35">
      <c r="A314" s="6" t="s">
        <v>1766</v>
      </c>
      <c r="B314" s="6" t="s">
        <v>1767</v>
      </c>
      <c r="C314" s="6" t="s">
        <v>1242</v>
      </c>
      <c r="D314" s="6" t="s">
        <v>3622</v>
      </c>
    </row>
    <row r="315" spans="1:4" hidden="1" x14ac:dyDescent="0.35">
      <c r="A315" s="6" t="s">
        <v>2651</v>
      </c>
      <c r="B315" s="6" t="s">
        <v>2652</v>
      </c>
      <c r="C315" s="6" t="s">
        <v>1242</v>
      </c>
      <c r="D315" s="6" t="s">
        <v>1084</v>
      </c>
    </row>
    <row r="316" spans="1:4" hidden="1" x14ac:dyDescent="0.35">
      <c r="A316" s="6" t="s">
        <v>2653</v>
      </c>
      <c r="B316" s="6" t="s">
        <v>3391</v>
      </c>
      <c r="C316" s="6" t="s">
        <v>1244</v>
      </c>
      <c r="D316" s="6" t="s">
        <v>1084</v>
      </c>
    </row>
    <row r="317" spans="1:4" hidden="1" x14ac:dyDescent="0.35">
      <c r="A317" s="6" t="s">
        <v>1768</v>
      </c>
      <c r="B317" s="6" t="s">
        <v>1486</v>
      </c>
      <c r="C317" s="6" t="s">
        <v>1244</v>
      </c>
      <c r="D317" s="6" t="s">
        <v>3623</v>
      </c>
    </row>
    <row r="318" spans="1:4" hidden="1" x14ac:dyDescent="0.35">
      <c r="A318" s="6" t="s">
        <v>2654</v>
      </c>
      <c r="B318" s="6" t="s">
        <v>3392</v>
      </c>
      <c r="C318" s="6" t="s">
        <v>64</v>
      </c>
      <c r="D318" s="6" t="s">
        <v>1084</v>
      </c>
    </row>
    <row r="319" spans="1:4" hidden="1" x14ac:dyDescent="0.35">
      <c r="A319" s="6" t="s">
        <v>2655</v>
      </c>
      <c r="B319" s="6" t="s">
        <v>3393</v>
      </c>
      <c r="C319" s="6" t="s">
        <v>64</v>
      </c>
      <c r="D319" s="6" t="s">
        <v>3624</v>
      </c>
    </row>
    <row r="320" spans="1:4" hidden="1" x14ac:dyDescent="0.35">
      <c r="A320" s="6" t="s">
        <v>2656</v>
      </c>
      <c r="B320" s="6" t="s">
        <v>2657</v>
      </c>
      <c r="C320" s="6" t="s">
        <v>1244</v>
      </c>
      <c r="D320" s="6" t="s">
        <v>3623</v>
      </c>
    </row>
    <row r="321" spans="1:4" hidden="1" x14ac:dyDescent="0.35">
      <c r="A321" s="6" t="s">
        <v>2658</v>
      </c>
      <c r="B321" s="6" t="s">
        <v>2659</v>
      </c>
      <c r="C321" s="6" t="s">
        <v>1244</v>
      </c>
      <c r="D321" s="6" t="s">
        <v>3622</v>
      </c>
    </row>
    <row r="322" spans="1:4" hidden="1" x14ac:dyDescent="0.35">
      <c r="A322" s="6" t="s">
        <v>2660</v>
      </c>
      <c r="B322" s="6" t="s">
        <v>2661</v>
      </c>
      <c r="C322" s="6" t="s">
        <v>64</v>
      </c>
      <c r="D322" s="6" t="s">
        <v>1084</v>
      </c>
    </row>
    <row r="323" spans="1:4" hidden="1" x14ac:dyDescent="0.35">
      <c r="A323" s="6" t="s">
        <v>1769</v>
      </c>
      <c r="B323" s="6" t="s">
        <v>1628</v>
      </c>
      <c r="C323" s="6" t="s">
        <v>1244</v>
      </c>
      <c r="D323" s="6" t="s">
        <v>3622</v>
      </c>
    </row>
    <row r="324" spans="1:4" hidden="1" x14ac:dyDescent="0.35">
      <c r="A324" s="6" t="s">
        <v>1770</v>
      </c>
      <c r="B324" s="6" t="s">
        <v>1629</v>
      </c>
      <c r="C324" s="6" t="s">
        <v>1244</v>
      </c>
      <c r="D324" s="6" t="s">
        <v>3624</v>
      </c>
    </row>
    <row r="325" spans="1:4" hidden="1" x14ac:dyDescent="0.35">
      <c r="A325" s="6" t="s">
        <v>329</v>
      </c>
      <c r="B325" s="6" t="s">
        <v>1448</v>
      </c>
      <c r="C325" s="6" t="s">
        <v>1244</v>
      </c>
      <c r="D325" s="6" t="s">
        <v>3622</v>
      </c>
    </row>
    <row r="326" spans="1:4" hidden="1" x14ac:dyDescent="0.35">
      <c r="A326" s="6" t="s">
        <v>2662</v>
      </c>
      <c r="B326" s="6" t="s">
        <v>2663</v>
      </c>
      <c r="C326" s="6" t="s">
        <v>1242</v>
      </c>
      <c r="D326" s="6" t="s">
        <v>3624</v>
      </c>
    </row>
    <row r="327" spans="1:4" hidden="1" x14ac:dyDescent="0.35">
      <c r="A327" s="6" t="s">
        <v>1771</v>
      </c>
      <c r="B327" s="6" t="s">
        <v>1551</v>
      </c>
      <c r="C327" s="6" t="s">
        <v>1244</v>
      </c>
      <c r="D327" s="6" t="s">
        <v>3622</v>
      </c>
    </row>
    <row r="328" spans="1:4" hidden="1" x14ac:dyDescent="0.35">
      <c r="A328" s="6" t="s">
        <v>1772</v>
      </c>
      <c r="B328" s="6" t="s">
        <v>1773</v>
      </c>
      <c r="C328" s="6" t="s">
        <v>1244</v>
      </c>
      <c r="D328" s="6" t="s">
        <v>3623</v>
      </c>
    </row>
    <row r="329" spans="1:4" hidden="1" x14ac:dyDescent="0.35">
      <c r="A329" s="6" t="s">
        <v>1774</v>
      </c>
      <c r="B329" s="6" t="s">
        <v>1552</v>
      </c>
      <c r="C329" s="6" t="s">
        <v>1244</v>
      </c>
      <c r="D329" s="6" t="s">
        <v>3624</v>
      </c>
    </row>
    <row r="330" spans="1:4" hidden="1" x14ac:dyDescent="0.35">
      <c r="A330" s="6" t="s">
        <v>1775</v>
      </c>
      <c r="B330" s="6" t="s">
        <v>1776</v>
      </c>
      <c r="C330" s="6" t="s">
        <v>1242</v>
      </c>
      <c r="D330" s="6" t="s">
        <v>3622</v>
      </c>
    </row>
    <row r="331" spans="1:4" hidden="1" x14ac:dyDescent="0.35">
      <c r="A331" s="6" t="s">
        <v>1777</v>
      </c>
      <c r="B331" s="6" t="s">
        <v>1778</v>
      </c>
      <c r="C331" s="6" t="s">
        <v>1249</v>
      </c>
      <c r="D331" s="6" t="s">
        <v>3623</v>
      </c>
    </row>
    <row r="332" spans="1:4" hidden="1" x14ac:dyDescent="0.35">
      <c r="A332" s="6" t="s">
        <v>2664</v>
      </c>
      <c r="B332" s="6" t="s">
        <v>2665</v>
      </c>
      <c r="C332" s="6" t="s">
        <v>1249</v>
      </c>
      <c r="D332" s="6" t="s">
        <v>3622</v>
      </c>
    </row>
    <row r="333" spans="1:4" hidden="1" x14ac:dyDescent="0.35">
      <c r="A333" s="6" t="s">
        <v>2666</v>
      </c>
      <c r="B333" s="6" t="s">
        <v>2667</v>
      </c>
      <c r="C333" s="6" t="s">
        <v>1249</v>
      </c>
      <c r="D333" s="6" t="s">
        <v>3624</v>
      </c>
    </row>
    <row r="334" spans="1:4" hidden="1" x14ac:dyDescent="0.35">
      <c r="A334" s="6" t="s">
        <v>2668</v>
      </c>
      <c r="B334" s="6" t="s">
        <v>2669</v>
      </c>
      <c r="C334" s="6" t="s">
        <v>1244</v>
      </c>
      <c r="D334" s="6" t="s">
        <v>1084</v>
      </c>
    </row>
    <row r="335" spans="1:4" hidden="1" x14ac:dyDescent="0.35">
      <c r="A335" s="6" t="s">
        <v>2670</v>
      </c>
      <c r="B335" s="6" t="s">
        <v>2671</v>
      </c>
      <c r="C335" s="6" t="s">
        <v>64</v>
      </c>
      <c r="D335" s="6" t="s">
        <v>1084</v>
      </c>
    </row>
    <row r="336" spans="1:4" hidden="1" x14ac:dyDescent="0.35">
      <c r="A336" s="6" t="s">
        <v>1779</v>
      </c>
      <c r="B336" s="6" t="s">
        <v>1780</v>
      </c>
      <c r="C336" s="6" t="s">
        <v>1244</v>
      </c>
      <c r="D336" s="6" t="s">
        <v>3622</v>
      </c>
    </row>
    <row r="337" spans="1:4" hidden="1" x14ac:dyDescent="0.35">
      <c r="A337" s="6" t="s">
        <v>1781</v>
      </c>
      <c r="B337" s="6" t="s">
        <v>2672</v>
      </c>
      <c r="C337" s="6" t="s">
        <v>64</v>
      </c>
      <c r="D337" s="6" t="s">
        <v>1084</v>
      </c>
    </row>
    <row r="338" spans="1:4" hidden="1" x14ac:dyDescent="0.35">
      <c r="A338" s="6" t="s">
        <v>2673</v>
      </c>
      <c r="B338" s="6" t="s">
        <v>2674</v>
      </c>
      <c r="C338" s="6" t="s">
        <v>64</v>
      </c>
      <c r="D338" s="6" t="s">
        <v>3622</v>
      </c>
    </row>
    <row r="339" spans="1:4" hidden="1" x14ac:dyDescent="0.35">
      <c r="A339" s="6" t="s">
        <v>2675</v>
      </c>
      <c r="B339" s="6" t="s">
        <v>2676</v>
      </c>
      <c r="C339" s="6" t="s">
        <v>64</v>
      </c>
      <c r="D339" s="6" t="s">
        <v>3624</v>
      </c>
    </row>
    <row r="340" spans="1:4" hidden="1" x14ac:dyDescent="0.35">
      <c r="A340" s="6" t="s">
        <v>2677</v>
      </c>
      <c r="B340" s="6" t="s">
        <v>1782</v>
      </c>
      <c r="C340" s="6" t="s">
        <v>1244</v>
      </c>
      <c r="D340" s="6" t="s">
        <v>3623</v>
      </c>
    </row>
    <row r="341" spans="1:4" hidden="1" x14ac:dyDescent="0.35">
      <c r="A341" s="6" t="s">
        <v>2678</v>
      </c>
      <c r="B341" s="6" t="s">
        <v>2679</v>
      </c>
      <c r="C341" s="6" t="s">
        <v>1244</v>
      </c>
      <c r="D341" s="6" t="s">
        <v>3623</v>
      </c>
    </row>
    <row r="342" spans="1:4" hidden="1" x14ac:dyDescent="0.35">
      <c r="A342" s="6" t="s">
        <v>1783</v>
      </c>
      <c r="B342" s="6" t="s">
        <v>1520</v>
      </c>
      <c r="C342" s="6" t="s">
        <v>1244</v>
      </c>
      <c r="D342" s="6" t="s">
        <v>3622</v>
      </c>
    </row>
    <row r="343" spans="1:4" hidden="1" x14ac:dyDescent="0.35">
      <c r="A343" s="6" t="s">
        <v>2680</v>
      </c>
      <c r="B343" s="6" t="s">
        <v>3394</v>
      </c>
      <c r="C343" s="6" t="s">
        <v>1242</v>
      </c>
      <c r="D343" s="6" t="s">
        <v>1084</v>
      </c>
    </row>
    <row r="344" spans="1:4" hidden="1" x14ac:dyDescent="0.35">
      <c r="A344" s="6" t="s">
        <v>1784</v>
      </c>
      <c r="B344" s="6" t="s">
        <v>1321</v>
      </c>
      <c r="C344" s="6" t="s">
        <v>1244</v>
      </c>
      <c r="D344" s="6" t="s">
        <v>3624</v>
      </c>
    </row>
    <row r="345" spans="1:4" hidden="1" x14ac:dyDescent="0.35">
      <c r="A345" s="6" t="s">
        <v>1785</v>
      </c>
      <c r="B345" s="6" t="s">
        <v>1616</v>
      </c>
      <c r="C345" s="6" t="s">
        <v>1244</v>
      </c>
      <c r="D345" s="6" t="s">
        <v>3624</v>
      </c>
    </row>
    <row r="346" spans="1:4" hidden="1" x14ac:dyDescent="0.35">
      <c r="A346" s="6" t="s">
        <v>1786</v>
      </c>
      <c r="B346" s="6" t="s">
        <v>1787</v>
      </c>
      <c r="C346" s="6" t="s">
        <v>1244</v>
      </c>
      <c r="D346" s="6" t="s">
        <v>3622</v>
      </c>
    </row>
    <row r="347" spans="1:4" hidden="1" x14ac:dyDescent="0.35">
      <c r="A347" s="6" t="s">
        <v>1788</v>
      </c>
      <c r="B347" s="6" t="s">
        <v>1789</v>
      </c>
      <c r="C347" s="6" t="s">
        <v>1244</v>
      </c>
      <c r="D347" s="6" t="s">
        <v>3623</v>
      </c>
    </row>
    <row r="348" spans="1:4" hidden="1" x14ac:dyDescent="0.35">
      <c r="A348" s="6" t="s">
        <v>1790</v>
      </c>
      <c r="B348" s="6" t="s">
        <v>1791</v>
      </c>
      <c r="C348" s="6" t="s">
        <v>64</v>
      </c>
      <c r="D348" s="6" t="s">
        <v>3622</v>
      </c>
    </row>
    <row r="349" spans="1:4" hidden="1" x14ac:dyDescent="0.35">
      <c r="A349" s="6" t="s">
        <v>1792</v>
      </c>
      <c r="B349" s="6" t="s">
        <v>1793</v>
      </c>
      <c r="C349" s="6" t="s">
        <v>1244</v>
      </c>
      <c r="D349" s="6" t="s">
        <v>3624</v>
      </c>
    </row>
    <row r="350" spans="1:4" hidden="1" x14ac:dyDescent="0.35">
      <c r="A350" s="6" t="s">
        <v>1794</v>
      </c>
      <c r="B350" s="6" t="s">
        <v>1795</v>
      </c>
      <c r="C350" s="6" t="s">
        <v>1244</v>
      </c>
      <c r="D350" s="6" t="s">
        <v>3622</v>
      </c>
    </row>
    <row r="351" spans="1:4" hidden="1" x14ac:dyDescent="0.35">
      <c r="A351" s="6" t="s">
        <v>1796</v>
      </c>
      <c r="B351" s="6" t="s">
        <v>1320</v>
      </c>
      <c r="C351" s="6" t="s">
        <v>1244</v>
      </c>
      <c r="D351" s="6" t="s">
        <v>3622</v>
      </c>
    </row>
    <row r="352" spans="1:4" hidden="1" x14ac:dyDescent="0.35">
      <c r="A352" s="6" t="s">
        <v>1797</v>
      </c>
      <c r="B352" s="6" t="s">
        <v>1615</v>
      </c>
      <c r="C352" s="6" t="s">
        <v>1244</v>
      </c>
      <c r="D352" s="6" t="s">
        <v>3622</v>
      </c>
    </row>
    <row r="353" spans="1:4" hidden="1" x14ac:dyDescent="0.35">
      <c r="A353" s="6" t="s">
        <v>2681</v>
      </c>
      <c r="B353" s="6" t="s">
        <v>3395</v>
      </c>
      <c r="C353" s="6" t="s">
        <v>1242</v>
      </c>
      <c r="D353" s="6" t="s">
        <v>1084</v>
      </c>
    </row>
    <row r="354" spans="1:4" hidden="1" x14ac:dyDescent="0.35">
      <c r="A354" s="6" t="s">
        <v>1798</v>
      </c>
      <c r="B354" s="6" t="s">
        <v>1556</v>
      </c>
      <c r="C354" s="6" t="s">
        <v>1244</v>
      </c>
      <c r="D354" s="6" t="s">
        <v>3624</v>
      </c>
    </row>
    <row r="355" spans="1:4" hidden="1" x14ac:dyDescent="0.35">
      <c r="A355" s="6" t="s">
        <v>1799</v>
      </c>
      <c r="B355" s="6" t="s">
        <v>1555</v>
      </c>
      <c r="C355" s="6" t="s">
        <v>1244</v>
      </c>
      <c r="D355" s="6" t="s">
        <v>3622</v>
      </c>
    </row>
    <row r="356" spans="1:4" hidden="1" x14ac:dyDescent="0.35">
      <c r="A356" s="6" t="s">
        <v>1800</v>
      </c>
      <c r="B356" s="6" t="s">
        <v>1481</v>
      </c>
      <c r="C356" s="6" t="s">
        <v>1244</v>
      </c>
      <c r="D356" s="6" t="s">
        <v>3622</v>
      </c>
    </row>
    <row r="357" spans="1:4" hidden="1" x14ac:dyDescent="0.35">
      <c r="A357" s="6" t="s">
        <v>2682</v>
      </c>
      <c r="B357" s="6" t="s">
        <v>2683</v>
      </c>
      <c r="C357" s="6" t="s">
        <v>1244</v>
      </c>
      <c r="D357" s="6" t="s">
        <v>1084</v>
      </c>
    </row>
    <row r="358" spans="1:4" hidden="1" x14ac:dyDescent="0.35">
      <c r="A358" s="6" t="s">
        <v>1801</v>
      </c>
      <c r="B358" s="6" t="s">
        <v>1449</v>
      </c>
      <c r="C358" s="6" t="s">
        <v>1244</v>
      </c>
      <c r="D358" s="6" t="s">
        <v>3624</v>
      </c>
    </row>
    <row r="359" spans="1:4" hidden="1" x14ac:dyDescent="0.35">
      <c r="A359" s="6" t="s">
        <v>2684</v>
      </c>
      <c r="B359" s="6" t="s">
        <v>2685</v>
      </c>
      <c r="C359" s="6" t="s">
        <v>1242</v>
      </c>
      <c r="D359" s="6" t="s">
        <v>3624</v>
      </c>
    </row>
    <row r="360" spans="1:4" hidden="1" x14ac:dyDescent="0.35">
      <c r="A360" s="6" t="s">
        <v>1802</v>
      </c>
      <c r="B360" s="6" t="s">
        <v>1803</v>
      </c>
      <c r="C360" s="6" t="s">
        <v>1244</v>
      </c>
      <c r="D360" s="6" t="s">
        <v>3622</v>
      </c>
    </row>
    <row r="361" spans="1:4" hidden="1" x14ac:dyDescent="0.35">
      <c r="A361" s="6" t="s">
        <v>2686</v>
      </c>
      <c r="B361" s="6" t="s">
        <v>2687</v>
      </c>
      <c r="C361" s="6" t="s">
        <v>1242</v>
      </c>
      <c r="D361" s="6" t="s">
        <v>1084</v>
      </c>
    </row>
    <row r="362" spans="1:4" hidden="1" x14ac:dyDescent="0.35">
      <c r="A362" s="6" t="s">
        <v>2688</v>
      </c>
      <c r="B362" s="6" t="s">
        <v>3396</v>
      </c>
      <c r="C362" s="6" t="s">
        <v>1244</v>
      </c>
      <c r="D362" s="6" t="s">
        <v>1084</v>
      </c>
    </row>
    <row r="363" spans="1:4" hidden="1" x14ac:dyDescent="0.35">
      <c r="A363" s="6" t="s">
        <v>2689</v>
      </c>
      <c r="B363" s="6" t="s">
        <v>2690</v>
      </c>
      <c r="C363" s="6" t="s">
        <v>1244</v>
      </c>
      <c r="D363" s="6" t="s">
        <v>1084</v>
      </c>
    </row>
    <row r="364" spans="1:4" hidden="1" x14ac:dyDescent="0.35">
      <c r="A364" s="6" t="s">
        <v>1804</v>
      </c>
      <c r="B364" s="6" t="s">
        <v>1805</v>
      </c>
      <c r="C364" s="6" t="s">
        <v>1244</v>
      </c>
      <c r="D364" s="6" t="s">
        <v>3624</v>
      </c>
    </row>
    <row r="365" spans="1:4" hidden="1" x14ac:dyDescent="0.35">
      <c r="A365" s="6" t="s">
        <v>1806</v>
      </c>
      <c r="B365" s="6" t="s">
        <v>1419</v>
      </c>
      <c r="C365" s="6" t="s">
        <v>64</v>
      </c>
      <c r="D365" s="6" t="s">
        <v>3622</v>
      </c>
    </row>
    <row r="366" spans="1:4" hidden="1" x14ac:dyDescent="0.35">
      <c r="A366" s="6" t="s">
        <v>1807</v>
      </c>
      <c r="B366" s="6" t="s">
        <v>1420</v>
      </c>
      <c r="C366" s="6" t="s">
        <v>64</v>
      </c>
      <c r="D366" s="6" t="s">
        <v>3624</v>
      </c>
    </row>
    <row r="367" spans="1:4" hidden="1" x14ac:dyDescent="0.35">
      <c r="A367" s="6" t="s">
        <v>1808</v>
      </c>
      <c r="B367" s="6" t="s">
        <v>1809</v>
      </c>
      <c r="C367" s="6" t="s">
        <v>1244</v>
      </c>
      <c r="D367" s="6" t="s">
        <v>3622</v>
      </c>
    </row>
    <row r="368" spans="1:4" hidden="1" x14ac:dyDescent="0.35">
      <c r="A368" s="6" t="s">
        <v>1810</v>
      </c>
      <c r="B368" s="6" t="s">
        <v>1811</v>
      </c>
      <c r="C368" s="6" t="s">
        <v>1244</v>
      </c>
      <c r="D368" s="6" t="s">
        <v>3622</v>
      </c>
    </row>
    <row r="369" spans="1:4" hidden="1" x14ac:dyDescent="0.35">
      <c r="A369" s="6" t="s">
        <v>2691</v>
      </c>
      <c r="B369" s="6" t="s">
        <v>2692</v>
      </c>
      <c r="C369" s="6" t="s">
        <v>64</v>
      </c>
      <c r="D369" s="6" t="s">
        <v>1084</v>
      </c>
    </row>
    <row r="370" spans="1:4" hidden="1" x14ac:dyDescent="0.35">
      <c r="A370" s="6" t="s">
        <v>1812</v>
      </c>
      <c r="B370" s="6" t="s">
        <v>1813</v>
      </c>
      <c r="C370" s="6" t="s">
        <v>1244</v>
      </c>
      <c r="D370" s="6" t="s">
        <v>3623</v>
      </c>
    </row>
    <row r="371" spans="1:4" hidden="1" x14ac:dyDescent="0.35">
      <c r="A371" s="6" t="s">
        <v>2693</v>
      </c>
      <c r="B371" s="6" t="s">
        <v>2694</v>
      </c>
      <c r="C371" s="6" t="s">
        <v>1242</v>
      </c>
      <c r="D371" s="6" t="s">
        <v>1084</v>
      </c>
    </row>
    <row r="372" spans="1:4" hidden="1" x14ac:dyDescent="0.35">
      <c r="A372" s="6" t="s">
        <v>2695</v>
      </c>
      <c r="B372" s="6" t="s">
        <v>3397</v>
      </c>
      <c r="C372" s="6" t="s">
        <v>1242</v>
      </c>
      <c r="D372" s="6" t="s">
        <v>3624</v>
      </c>
    </row>
    <row r="373" spans="1:4" hidden="1" x14ac:dyDescent="0.35">
      <c r="A373" s="6" t="s">
        <v>2696</v>
      </c>
      <c r="B373" s="6" t="s">
        <v>2697</v>
      </c>
      <c r="C373" s="6" t="s">
        <v>1244</v>
      </c>
      <c r="D373" s="6" t="s">
        <v>3623</v>
      </c>
    </row>
    <row r="374" spans="1:4" hidden="1" x14ac:dyDescent="0.35">
      <c r="A374" s="6" t="s">
        <v>1814</v>
      </c>
      <c r="B374" s="6" t="s">
        <v>1624</v>
      </c>
      <c r="C374" s="6" t="s">
        <v>1244</v>
      </c>
      <c r="D374" s="6" t="s">
        <v>3622</v>
      </c>
    </row>
    <row r="375" spans="1:4" hidden="1" x14ac:dyDescent="0.35">
      <c r="A375" s="6" t="s">
        <v>1815</v>
      </c>
      <c r="B375" s="6" t="s">
        <v>1598</v>
      </c>
      <c r="C375" s="6" t="s">
        <v>1244</v>
      </c>
      <c r="D375" s="6" t="s">
        <v>3624</v>
      </c>
    </row>
    <row r="376" spans="1:4" hidden="1" x14ac:dyDescent="0.35">
      <c r="A376" s="6" t="s">
        <v>2698</v>
      </c>
      <c r="B376" s="6" t="s">
        <v>2699</v>
      </c>
      <c r="C376" s="6" t="s">
        <v>1244</v>
      </c>
      <c r="D376" s="6" t="s">
        <v>1084</v>
      </c>
    </row>
    <row r="377" spans="1:4" hidden="1" x14ac:dyDescent="0.35">
      <c r="A377" s="6" t="s">
        <v>2700</v>
      </c>
      <c r="B377" s="6" t="s">
        <v>2701</v>
      </c>
      <c r="C377" s="6" t="s">
        <v>1242</v>
      </c>
      <c r="D377" s="6" t="s">
        <v>1084</v>
      </c>
    </row>
    <row r="378" spans="1:4" hidden="1" x14ac:dyDescent="0.35">
      <c r="A378" s="6" t="s">
        <v>2702</v>
      </c>
      <c r="B378" s="6" t="s">
        <v>2703</v>
      </c>
      <c r="C378" s="6" t="s">
        <v>1244</v>
      </c>
      <c r="D378" s="6" t="s">
        <v>3623</v>
      </c>
    </row>
    <row r="379" spans="1:4" hidden="1" x14ac:dyDescent="0.35">
      <c r="A379" s="6" t="s">
        <v>1816</v>
      </c>
      <c r="B379" s="6" t="s">
        <v>1817</v>
      </c>
      <c r="C379" s="6" t="s">
        <v>1244</v>
      </c>
      <c r="D379" s="6" t="s">
        <v>3623</v>
      </c>
    </row>
    <row r="380" spans="1:4" hidden="1" x14ac:dyDescent="0.35">
      <c r="A380" s="6" t="s">
        <v>1818</v>
      </c>
      <c r="B380" s="6" t="s">
        <v>3398</v>
      </c>
      <c r="C380" s="6" t="s">
        <v>64</v>
      </c>
      <c r="D380" s="6" t="s">
        <v>3624</v>
      </c>
    </row>
    <row r="381" spans="1:4" hidden="1" x14ac:dyDescent="0.35">
      <c r="A381" s="6" t="s">
        <v>2704</v>
      </c>
      <c r="B381" s="6" t="s">
        <v>3399</v>
      </c>
      <c r="C381" s="6" t="s">
        <v>1242</v>
      </c>
      <c r="D381" s="6" t="s">
        <v>3624</v>
      </c>
    </row>
    <row r="382" spans="1:4" hidden="1" x14ac:dyDescent="0.35">
      <c r="A382" s="6" t="s">
        <v>1819</v>
      </c>
      <c r="B382" s="6" t="s">
        <v>1599</v>
      </c>
      <c r="C382" s="6" t="s">
        <v>1244</v>
      </c>
      <c r="D382" s="6" t="s">
        <v>3622</v>
      </c>
    </row>
    <row r="383" spans="1:4" hidden="1" x14ac:dyDescent="0.35">
      <c r="A383" s="6" t="s">
        <v>1820</v>
      </c>
      <c r="B383" s="6" t="s">
        <v>3400</v>
      </c>
      <c r="C383" s="6" t="s">
        <v>1242</v>
      </c>
      <c r="D383" s="6" t="s">
        <v>1084</v>
      </c>
    </row>
    <row r="384" spans="1:4" hidden="1" x14ac:dyDescent="0.35">
      <c r="A384" s="6" t="s">
        <v>2705</v>
      </c>
      <c r="B384" s="6" t="s">
        <v>1250</v>
      </c>
      <c r="C384" s="6" t="s">
        <v>1244</v>
      </c>
      <c r="D384" s="6" t="s">
        <v>3623</v>
      </c>
    </row>
    <row r="385" spans="1:4" hidden="1" x14ac:dyDescent="0.35">
      <c r="A385" s="6" t="s">
        <v>1821</v>
      </c>
      <c r="B385" s="6" t="s">
        <v>1595</v>
      </c>
      <c r="C385" s="6" t="s">
        <v>1244</v>
      </c>
      <c r="D385" s="6" t="s">
        <v>3624</v>
      </c>
    </row>
    <row r="386" spans="1:4" hidden="1" x14ac:dyDescent="0.35">
      <c r="A386" s="6" t="s">
        <v>1822</v>
      </c>
      <c r="B386" s="6" t="s">
        <v>1251</v>
      </c>
      <c r="C386" s="6" t="s">
        <v>1244</v>
      </c>
      <c r="D386" s="6" t="s">
        <v>3623</v>
      </c>
    </row>
    <row r="387" spans="1:4" hidden="1" x14ac:dyDescent="0.35">
      <c r="A387" s="6" t="s">
        <v>2706</v>
      </c>
      <c r="B387" s="6" t="s">
        <v>2707</v>
      </c>
      <c r="C387" s="6" t="s">
        <v>1244</v>
      </c>
      <c r="D387" s="6" t="s">
        <v>1084</v>
      </c>
    </row>
    <row r="388" spans="1:4" hidden="1" x14ac:dyDescent="0.35">
      <c r="A388" s="6" t="s">
        <v>2708</v>
      </c>
      <c r="B388" s="6" t="s">
        <v>2709</v>
      </c>
      <c r="C388" s="6" t="s">
        <v>1244</v>
      </c>
      <c r="D388" s="6" t="s">
        <v>1084</v>
      </c>
    </row>
    <row r="389" spans="1:4" hidden="1" x14ac:dyDescent="0.35">
      <c r="A389" s="6" t="s">
        <v>1823</v>
      </c>
      <c r="B389" s="6" t="s">
        <v>1824</v>
      </c>
      <c r="C389" s="6" t="s">
        <v>1244</v>
      </c>
      <c r="D389" s="6" t="s">
        <v>3624</v>
      </c>
    </row>
    <row r="390" spans="1:4" hidden="1" x14ac:dyDescent="0.35">
      <c r="A390" s="6" t="s">
        <v>1825</v>
      </c>
      <c r="B390" s="6" t="s">
        <v>1399</v>
      </c>
      <c r="C390" s="6" t="s">
        <v>1244</v>
      </c>
      <c r="D390" s="6" t="s">
        <v>3622</v>
      </c>
    </row>
    <row r="391" spans="1:4" hidden="1" x14ac:dyDescent="0.35">
      <c r="A391" s="6" t="s">
        <v>2710</v>
      </c>
      <c r="B391" s="6" t="s">
        <v>3401</v>
      </c>
      <c r="C391" s="6" t="s">
        <v>1242</v>
      </c>
      <c r="D391" s="6" t="s">
        <v>1084</v>
      </c>
    </row>
    <row r="392" spans="1:4" hidden="1" x14ac:dyDescent="0.35">
      <c r="A392" s="6" t="s">
        <v>2711</v>
      </c>
      <c r="B392" s="6" t="s">
        <v>3402</v>
      </c>
      <c r="C392" s="6" t="s">
        <v>1242</v>
      </c>
      <c r="D392" s="6" t="s">
        <v>3624</v>
      </c>
    </row>
    <row r="393" spans="1:4" hidden="1" x14ac:dyDescent="0.35">
      <c r="A393" s="6" t="s">
        <v>2712</v>
      </c>
      <c r="B393" s="6" t="s">
        <v>2713</v>
      </c>
      <c r="C393" s="6" t="s">
        <v>1242</v>
      </c>
      <c r="D393" s="6" t="s">
        <v>3624</v>
      </c>
    </row>
    <row r="394" spans="1:4" hidden="1" x14ac:dyDescent="0.35">
      <c r="A394" s="6" t="s">
        <v>1826</v>
      </c>
      <c r="B394" s="6" t="s">
        <v>1827</v>
      </c>
      <c r="C394" s="6" t="s">
        <v>1244</v>
      </c>
      <c r="D394" s="6" t="s">
        <v>3622</v>
      </c>
    </row>
    <row r="395" spans="1:4" hidden="1" x14ac:dyDescent="0.35">
      <c r="A395" s="6" t="s">
        <v>1828</v>
      </c>
      <c r="B395" s="6" t="s">
        <v>1400</v>
      </c>
      <c r="C395" s="6" t="s">
        <v>1244</v>
      </c>
      <c r="D395" s="6" t="s">
        <v>3624</v>
      </c>
    </row>
    <row r="396" spans="1:4" hidden="1" x14ac:dyDescent="0.35">
      <c r="A396" s="6" t="s">
        <v>1829</v>
      </c>
      <c r="B396" s="6" t="s">
        <v>1830</v>
      </c>
      <c r="C396" s="6" t="s">
        <v>1244</v>
      </c>
      <c r="D396" s="6" t="s">
        <v>3622</v>
      </c>
    </row>
    <row r="397" spans="1:4" hidden="1" x14ac:dyDescent="0.35">
      <c r="A397" s="6" t="s">
        <v>1831</v>
      </c>
      <c r="B397" s="6" t="s">
        <v>1832</v>
      </c>
      <c r="C397" s="6" t="s">
        <v>1244</v>
      </c>
      <c r="D397" s="6" t="s">
        <v>3622</v>
      </c>
    </row>
    <row r="398" spans="1:4" hidden="1" x14ac:dyDescent="0.35">
      <c r="A398" s="6" t="s">
        <v>1833</v>
      </c>
      <c r="B398" s="6" t="s">
        <v>1384</v>
      </c>
      <c r="C398" s="6" t="s">
        <v>2714</v>
      </c>
      <c r="D398" s="6" t="s">
        <v>3622</v>
      </c>
    </row>
    <row r="399" spans="1:4" hidden="1" x14ac:dyDescent="0.35">
      <c r="A399" s="6" t="s">
        <v>1834</v>
      </c>
      <c r="B399" s="6" t="s">
        <v>1382</v>
      </c>
      <c r="C399" s="6" t="s">
        <v>2714</v>
      </c>
      <c r="D399" s="6" t="s">
        <v>3624</v>
      </c>
    </row>
    <row r="400" spans="1:4" hidden="1" x14ac:dyDescent="0.35">
      <c r="A400" s="6" t="s">
        <v>1835</v>
      </c>
      <c r="B400" s="6" t="s">
        <v>1836</v>
      </c>
      <c r="C400" s="6" t="s">
        <v>1244</v>
      </c>
      <c r="D400" s="6" t="s">
        <v>3624</v>
      </c>
    </row>
    <row r="401" spans="1:4" hidden="1" x14ac:dyDescent="0.35">
      <c r="A401" s="6" t="s">
        <v>1837</v>
      </c>
      <c r="B401" s="6" t="s">
        <v>1838</v>
      </c>
      <c r="C401" s="6" t="s">
        <v>1244</v>
      </c>
      <c r="D401" s="6" t="s">
        <v>3622</v>
      </c>
    </row>
    <row r="402" spans="1:4" hidden="1" x14ac:dyDescent="0.35">
      <c r="A402" s="6" t="s">
        <v>1839</v>
      </c>
      <c r="B402" s="6" t="s">
        <v>1840</v>
      </c>
      <c r="C402" s="6" t="s">
        <v>1244</v>
      </c>
      <c r="D402" s="6" t="s">
        <v>3622</v>
      </c>
    </row>
    <row r="403" spans="1:4" hidden="1" x14ac:dyDescent="0.35">
      <c r="A403" s="6" t="s">
        <v>2715</v>
      </c>
      <c r="B403" s="6" t="s">
        <v>2716</v>
      </c>
      <c r="C403" s="6" t="s">
        <v>1242</v>
      </c>
      <c r="D403" s="6" t="s">
        <v>1084</v>
      </c>
    </row>
    <row r="404" spans="1:4" hidden="1" x14ac:dyDescent="0.35">
      <c r="A404" s="6" t="s">
        <v>2717</v>
      </c>
      <c r="B404" s="6" t="s">
        <v>3403</v>
      </c>
      <c r="C404" s="6" t="s">
        <v>1244</v>
      </c>
      <c r="D404" s="6" t="s">
        <v>3624</v>
      </c>
    </row>
    <row r="405" spans="1:4" hidden="1" x14ac:dyDescent="0.35">
      <c r="A405" s="6" t="s">
        <v>2718</v>
      </c>
      <c r="B405" s="6" t="s">
        <v>2719</v>
      </c>
      <c r="C405" s="6" t="s">
        <v>1242</v>
      </c>
      <c r="D405" s="6" t="s">
        <v>1084</v>
      </c>
    </row>
    <row r="406" spans="1:4" hidden="1" x14ac:dyDescent="0.35">
      <c r="A406" s="6" t="s">
        <v>2720</v>
      </c>
      <c r="B406" s="6" t="s">
        <v>2721</v>
      </c>
      <c r="C406" s="6" t="s">
        <v>1249</v>
      </c>
      <c r="D406" s="6" t="s">
        <v>1084</v>
      </c>
    </row>
    <row r="407" spans="1:4" hidden="1" x14ac:dyDescent="0.35">
      <c r="A407" s="6" t="s">
        <v>2722</v>
      </c>
      <c r="B407" s="6" t="s">
        <v>2723</v>
      </c>
      <c r="C407" s="6" t="s">
        <v>1244</v>
      </c>
      <c r="D407" s="6" t="s">
        <v>1084</v>
      </c>
    </row>
    <row r="408" spans="1:4" hidden="1" x14ac:dyDescent="0.35">
      <c r="A408" s="6" t="s">
        <v>1841</v>
      </c>
      <c r="B408" s="6" t="s">
        <v>1842</v>
      </c>
      <c r="C408" s="6" t="s">
        <v>1244</v>
      </c>
      <c r="D408" s="6" t="s">
        <v>3622</v>
      </c>
    </row>
    <row r="409" spans="1:4" hidden="1" x14ac:dyDescent="0.35">
      <c r="A409" s="6" t="s">
        <v>2724</v>
      </c>
      <c r="B409" s="6" t="s">
        <v>2725</v>
      </c>
      <c r="C409" s="6" t="s">
        <v>1242</v>
      </c>
      <c r="D409" s="6" t="s">
        <v>3623</v>
      </c>
    </row>
    <row r="410" spans="1:4" hidden="1" x14ac:dyDescent="0.35">
      <c r="A410" s="6" t="s">
        <v>2726</v>
      </c>
      <c r="B410" s="6" t="s">
        <v>2727</v>
      </c>
      <c r="C410" s="6" t="s">
        <v>1242</v>
      </c>
      <c r="D410" s="6" t="s">
        <v>3624</v>
      </c>
    </row>
    <row r="411" spans="1:4" hidden="1" x14ac:dyDescent="0.35">
      <c r="A411" s="6" t="s">
        <v>2728</v>
      </c>
      <c r="B411" s="6" t="s">
        <v>3404</v>
      </c>
      <c r="C411" s="6" t="s">
        <v>1244</v>
      </c>
      <c r="D411" s="6" t="s">
        <v>1084</v>
      </c>
    </row>
    <row r="412" spans="1:4" hidden="1" x14ac:dyDescent="0.35">
      <c r="A412" s="6" t="s">
        <v>2729</v>
      </c>
      <c r="B412" s="6" t="s">
        <v>3405</v>
      </c>
      <c r="C412" s="6" t="s">
        <v>1244</v>
      </c>
      <c r="D412" s="6" t="s">
        <v>3622</v>
      </c>
    </row>
    <row r="413" spans="1:4" hidden="1" x14ac:dyDescent="0.35">
      <c r="A413" s="6" t="s">
        <v>2730</v>
      </c>
      <c r="B413" s="6" t="s">
        <v>2731</v>
      </c>
      <c r="C413" s="6" t="s">
        <v>1242</v>
      </c>
      <c r="D413" s="6" t="s">
        <v>1084</v>
      </c>
    </row>
    <row r="414" spans="1:4" hidden="1" x14ac:dyDescent="0.35">
      <c r="A414" s="6" t="s">
        <v>2732</v>
      </c>
      <c r="B414" s="6" t="s">
        <v>2733</v>
      </c>
      <c r="C414" s="6" t="s">
        <v>1244</v>
      </c>
      <c r="D414" s="6" t="s">
        <v>1084</v>
      </c>
    </row>
    <row r="415" spans="1:4" hidden="1" x14ac:dyDescent="0.35">
      <c r="A415" s="6" t="s">
        <v>2734</v>
      </c>
      <c r="B415" s="6" t="s">
        <v>2735</v>
      </c>
      <c r="C415" s="6" t="s">
        <v>1242</v>
      </c>
      <c r="D415" s="6" t="s">
        <v>1084</v>
      </c>
    </row>
    <row r="416" spans="1:4" hidden="1" x14ac:dyDescent="0.35">
      <c r="A416" s="6" t="s">
        <v>2736</v>
      </c>
      <c r="B416" s="6" t="s">
        <v>2737</v>
      </c>
      <c r="C416" s="6" t="s">
        <v>1244</v>
      </c>
      <c r="D416" s="6" t="s">
        <v>3622</v>
      </c>
    </row>
    <row r="417" spans="1:4" hidden="1" x14ac:dyDescent="0.35">
      <c r="A417" s="6" t="s">
        <v>1843</v>
      </c>
      <c r="B417" s="6" t="s">
        <v>1844</v>
      </c>
      <c r="C417" s="6" t="s">
        <v>1244</v>
      </c>
      <c r="D417" s="6" t="s">
        <v>3623</v>
      </c>
    </row>
    <row r="418" spans="1:4" hidden="1" x14ac:dyDescent="0.35">
      <c r="A418" s="6" t="s">
        <v>2738</v>
      </c>
      <c r="B418" s="6" t="s">
        <v>2739</v>
      </c>
      <c r="C418" s="6" t="s">
        <v>1244</v>
      </c>
      <c r="D418" s="6" t="s">
        <v>3624</v>
      </c>
    </row>
    <row r="419" spans="1:4" hidden="1" x14ac:dyDescent="0.35">
      <c r="A419" s="6" t="s">
        <v>2740</v>
      </c>
      <c r="B419" s="6" t="s">
        <v>2741</v>
      </c>
      <c r="C419" s="6" t="s">
        <v>1244</v>
      </c>
      <c r="D419" s="6" t="s">
        <v>1084</v>
      </c>
    </row>
    <row r="420" spans="1:4" hidden="1" x14ac:dyDescent="0.35">
      <c r="A420" s="6" t="s">
        <v>2742</v>
      </c>
      <c r="B420" s="6" t="s">
        <v>2743</v>
      </c>
      <c r="C420" s="6" t="s">
        <v>45</v>
      </c>
      <c r="D420" s="6" t="s">
        <v>3623</v>
      </c>
    </row>
    <row r="421" spans="1:4" hidden="1" x14ac:dyDescent="0.35">
      <c r="A421" s="6" t="s">
        <v>2744</v>
      </c>
      <c r="B421" s="6" t="s">
        <v>2745</v>
      </c>
      <c r="C421" s="6" t="s">
        <v>1242</v>
      </c>
      <c r="D421" s="6" t="s">
        <v>1084</v>
      </c>
    </row>
    <row r="422" spans="1:4" hidden="1" x14ac:dyDescent="0.35">
      <c r="A422" s="6" t="s">
        <v>2746</v>
      </c>
      <c r="B422" s="6" t="s">
        <v>2747</v>
      </c>
      <c r="C422" s="6" t="s">
        <v>1242</v>
      </c>
      <c r="D422" s="6" t="s">
        <v>1084</v>
      </c>
    </row>
    <row r="423" spans="1:4" hidden="1" x14ac:dyDescent="0.35">
      <c r="A423" s="6" t="s">
        <v>2748</v>
      </c>
      <c r="B423" s="6" t="s">
        <v>2749</v>
      </c>
      <c r="C423" s="6" t="s">
        <v>1242</v>
      </c>
      <c r="D423" s="6" t="s">
        <v>1084</v>
      </c>
    </row>
    <row r="424" spans="1:4" hidden="1" x14ac:dyDescent="0.35">
      <c r="A424" s="6" t="s">
        <v>368</v>
      </c>
      <c r="B424" s="6" t="s">
        <v>1537</v>
      </c>
      <c r="C424" s="6" t="s">
        <v>1244</v>
      </c>
      <c r="D424" s="6" t="s">
        <v>3623</v>
      </c>
    </row>
    <row r="425" spans="1:4" hidden="1" x14ac:dyDescent="0.35">
      <c r="A425" s="6" t="s">
        <v>2750</v>
      </c>
      <c r="B425" s="6" t="s">
        <v>2751</v>
      </c>
      <c r="C425" s="6" t="s">
        <v>1242</v>
      </c>
      <c r="D425" s="6" t="s">
        <v>1084</v>
      </c>
    </row>
    <row r="426" spans="1:4" hidden="1" x14ac:dyDescent="0.35">
      <c r="A426" s="6" t="s">
        <v>1845</v>
      </c>
      <c r="B426" s="6" t="s">
        <v>3406</v>
      </c>
      <c r="C426" s="6" t="s">
        <v>1242</v>
      </c>
      <c r="D426" s="6" t="s">
        <v>3622</v>
      </c>
    </row>
    <row r="427" spans="1:4" hidden="1" x14ac:dyDescent="0.35">
      <c r="A427" s="6" t="s">
        <v>1529</v>
      </c>
      <c r="B427" s="6" t="s">
        <v>2752</v>
      </c>
      <c r="C427" s="6" t="s">
        <v>1244</v>
      </c>
      <c r="D427" s="6" t="s">
        <v>1084</v>
      </c>
    </row>
    <row r="428" spans="1:4" hidden="1" x14ac:dyDescent="0.35">
      <c r="A428" s="6" t="s">
        <v>1846</v>
      </c>
      <c r="B428" s="6" t="s">
        <v>1847</v>
      </c>
      <c r="C428" s="6" t="s">
        <v>1244</v>
      </c>
      <c r="D428" s="6" t="s">
        <v>3622</v>
      </c>
    </row>
    <row r="429" spans="1:4" hidden="1" x14ac:dyDescent="0.35">
      <c r="A429" s="6" t="s">
        <v>1848</v>
      </c>
      <c r="B429" s="6" t="s">
        <v>1645</v>
      </c>
      <c r="C429" s="6" t="s">
        <v>1242</v>
      </c>
      <c r="D429" s="6" t="s">
        <v>3624</v>
      </c>
    </row>
    <row r="430" spans="1:4" hidden="1" x14ac:dyDescent="0.35">
      <c r="A430" s="6" t="s">
        <v>2753</v>
      </c>
      <c r="B430" s="6" t="s">
        <v>2754</v>
      </c>
      <c r="C430" s="6" t="s">
        <v>45</v>
      </c>
      <c r="D430" s="6" t="s">
        <v>3624</v>
      </c>
    </row>
    <row r="431" spans="1:4" hidden="1" x14ac:dyDescent="0.35">
      <c r="A431" s="6" t="s">
        <v>1849</v>
      </c>
      <c r="B431" s="6" t="s">
        <v>3407</v>
      </c>
      <c r="C431" s="6" t="s">
        <v>1244</v>
      </c>
      <c r="D431" s="6" t="s">
        <v>3623</v>
      </c>
    </row>
    <row r="432" spans="1:4" hidden="1" x14ac:dyDescent="0.35">
      <c r="A432" s="6" t="s">
        <v>1850</v>
      </c>
      <c r="B432" s="6" t="s">
        <v>1646</v>
      </c>
      <c r="C432" s="6" t="s">
        <v>1242</v>
      </c>
      <c r="D432" s="6" t="s">
        <v>3624</v>
      </c>
    </row>
    <row r="433" spans="1:4" hidden="1" x14ac:dyDescent="0.35">
      <c r="A433" s="6" t="s">
        <v>2755</v>
      </c>
      <c r="B433" s="6" t="s">
        <v>2756</v>
      </c>
      <c r="C433" s="6" t="s">
        <v>1242</v>
      </c>
      <c r="D433" s="6" t="s">
        <v>3624</v>
      </c>
    </row>
    <row r="434" spans="1:4" hidden="1" x14ac:dyDescent="0.35">
      <c r="A434" s="6" t="s">
        <v>1851</v>
      </c>
      <c r="B434" s="6" t="s">
        <v>1647</v>
      </c>
      <c r="C434" s="6" t="s">
        <v>1242</v>
      </c>
      <c r="D434" s="6" t="s">
        <v>3624</v>
      </c>
    </row>
    <row r="435" spans="1:4" hidden="1" x14ac:dyDescent="0.35">
      <c r="A435" s="6" t="s">
        <v>1852</v>
      </c>
      <c r="B435" s="6" t="s">
        <v>1562</v>
      </c>
      <c r="C435" s="6" t="s">
        <v>1244</v>
      </c>
      <c r="D435" s="6" t="s">
        <v>3622</v>
      </c>
    </row>
    <row r="436" spans="1:4" hidden="1" x14ac:dyDescent="0.35">
      <c r="A436" s="6" t="s">
        <v>1853</v>
      </c>
      <c r="B436" s="6" t="s">
        <v>1559</v>
      </c>
      <c r="C436" s="6" t="s">
        <v>1244</v>
      </c>
      <c r="D436" s="6" t="s">
        <v>3624</v>
      </c>
    </row>
    <row r="437" spans="1:4" hidden="1" x14ac:dyDescent="0.35">
      <c r="A437" s="6" t="s">
        <v>3408</v>
      </c>
      <c r="B437" s="6" t="s">
        <v>3409</v>
      </c>
      <c r="C437" s="6" t="s">
        <v>1244</v>
      </c>
      <c r="D437" s="6" t="s">
        <v>3623</v>
      </c>
    </row>
    <row r="438" spans="1:4" hidden="1" x14ac:dyDescent="0.35">
      <c r="A438" s="6" t="s">
        <v>3410</v>
      </c>
      <c r="B438" s="6" t="s">
        <v>3411</v>
      </c>
      <c r="C438" s="6" t="s">
        <v>1244</v>
      </c>
      <c r="D438" s="6" t="s">
        <v>3623</v>
      </c>
    </row>
    <row r="439" spans="1:4" hidden="1" x14ac:dyDescent="0.35">
      <c r="A439" s="6" t="s">
        <v>1854</v>
      </c>
      <c r="B439" s="6" t="s">
        <v>1558</v>
      </c>
      <c r="C439" s="6" t="s">
        <v>1244</v>
      </c>
      <c r="D439" s="6" t="s">
        <v>3622</v>
      </c>
    </row>
    <row r="440" spans="1:4" hidden="1" x14ac:dyDescent="0.35">
      <c r="A440" s="6" t="s">
        <v>1855</v>
      </c>
      <c r="B440" s="6" t="s">
        <v>1430</v>
      </c>
      <c r="C440" s="6" t="s">
        <v>1244</v>
      </c>
      <c r="D440" s="6" t="s">
        <v>3622</v>
      </c>
    </row>
    <row r="441" spans="1:4" hidden="1" x14ac:dyDescent="0.35">
      <c r="A441" s="6" t="s">
        <v>2757</v>
      </c>
      <c r="B441" s="6" t="s">
        <v>2758</v>
      </c>
      <c r="C441" s="6" t="s">
        <v>1244</v>
      </c>
      <c r="D441" s="6" t="s">
        <v>3622</v>
      </c>
    </row>
    <row r="442" spans="1:4" hidden="1" x14ac:dyDescent="0.35">
      <c r="A442" s="6" t="s">
        <v>2759</v>
      </c>
      <c r="B442" s="6" t="s">
        <v>2760</v>
      </c>
      <c r="C442" s="6" t="s">
        <v>64</v>
      </c>
      <c r="D442" s="6" t="s">
        <v>1084</v>
      </c>
    </row>
    <row r="443" spans="1:4" hidden="1" x14ac:dyDescent="0.35">
      <c r="A443" s="6" t="s">
        <v>3412</v>
      </c>
      <c r="B443" s="6" t="s">
        <v>3413</v>
      </c>
      <c r="C443" s="6" t="s">
        <v>1244</v>
      </c>
      <c r="D443" s="6" t="s">
        <v>3623</v>
      </c>
    </row>
    <row r="444" spans="1:4" hidden="1" x14ac:dyDescent="0.35">
      <c r="A444" s="6" t="s">
        <v>3414</v>
      </c>
      <c r="B444" s="6" t="s">
        <v>3415</v>
      </c>
      <c r="C444" s="6" t="s">
        <v>1244</v>
      </c>
      <c r="D444" s="6" t="s">
        <v>3624</v>
      </c>
    </row>
    <row r="445" spans="1:4" hidden="1" x14ac:dyDescent="0.35">
      <c r="A445" s="6" t="s">
        <v>3416</v>
      </c>
      <c r="B445" s="6" t="s">
        <v>3417</v>
      </c>
      <c r="C445" s="6" t="s">
        <v>1244</v>
      </c>
      <c r="D445" s="6" t="s">
        <v>3624</v>
      </c>
    </row>
    <row r="446" spans="1:4" hidden="1" x14ac:dyDescent="0.35">
      <c r="A446" s="6" t="s">
        <v>3418</v>
      </c>
      <c r="B446" s="6" t="s">
        <v>3419</v>
      </c>
      <c r="C446" s="6" t="s">
        <v>1244</v>
      </c>
      <c r="D446" s="6" t="s">
        <v>3624</v>
      </c>
    </row>
    <row r="447" spans="1:4" hidden="1" x14ac:dyDescent="0.35">
      <c r="A447" s="6" t="s">
        <v>3420</v>
      </c>
      <c r="B447" s="6" t="s">
        <v>3421</v>
      </c>
      <c r="C447" s="6" t="s">
        <v>1244</v>
      </c>
      <c r="D447" s="6" t="s">
        <v>3624</v>
      </c>
    </row>
    <row r="448" spans="1:4" hidden="1" x14ac:dyDescent="0.35">
      <c r="A448" s="6" t="s">
        <v>373</v>
      </c>
      <c r="B448" s="6" t="s">
        <v>2761</v>
      </c>
      <c r="C448" s="6" t="s">
        <v>1249</v>
      </c>
      <c r="D448" s="6" t="s">
        <v>1084</v>
      </c>
    </row>
    <row r="449" spans="1:4" hidden="1" x14ac:dyDescent="0.35">
      <c r="A449" s="6" t="s">
        <v>2762</v>
      </c>
      <c r="B449" s="6" t="s">
        <v>3422</v>
      </c>
      <c r="C449" s="6" t="s">
        <v>1242</v>
      </c>
      <c r="D449" s="6" t="s">
        <v>1084</v>
      </c>
    </row>
    <row r="450" spans="1:4" hidden="1" x14ac:dyDescent="0.35">
      <c r="A450" s="6" t="s">
        <v>2763</v>
      </c>
      <c r="B450" s="6" t="s">
        <v>2764</v>
      </c>
      <c r="C450" s="6" t="s">
        <v>64</v>
      </c>
      <c r="D450" s="6" t="s">
        <v>1084</v>
      </c>
    </row>
    <row r="451" spans="1:4" hidden="1" x14ac:dyDescent="0.35">
      <c r="A451" s="6" t="s">
        <v>1856</v>
      </c>
      <c r="B451" s="6" t="s">
        <v>1857</v>
      </c>
      <c r="C451" s="6" t="s">
        <v>1244</v>
      </c>
      <c r="D451" s="6" t="s">
        <v>3623</v>
      </c>
    </row>
    <row r="452" spans="1:4" hidden="1" x14ac:dyDescent="0.35">
      <c r="A452" s="6" t="s">
        <v>377</v>
      </c>
      <c r="B452" s="6" t="s">
        <v>1317</v>
      </c>
      <c r="C452" s="6" t="s">
        <v>1244</v>
      </c>
      <c r="D452" s="6" t="s">
        <v>3624</v>
      </c>
    </row>
    <row r="453" spans="1:4" hidden="1" x14ac:dyDescent="0.35">
      <c r="A453" s="6" t="s">
        <v>1858</v>
      </c>
      <c r="B453" s="6" t="s">
        <v>3423</v>
      </c>
      <c r="C453" s="6" t="s">
        <v>1244</v>
      </c>
      <c r="D453" s="6" t="s">
        <v>3622</v>
      </c>
    </row>
    <row r="454" spans="1:4" hidden="1" x14ac:dyDescent="0.35">
      <c r="A454" s="6" t="s">
        <v>2765</v>
      </c>
      <c r="B454" s="6" t="s">
        <v>2766</v>
      </c>
      <c r="C454" s="6" t="s">
        <v>1244</v>
      </c>
      <c r="D454" s="6" t="s">
        <v>1084</v>
      </c>
    </row>
    <row r="455" spans="1:4" hidden="1" x14ac:dyDescent="0.35">
      <c r="A455" s="6" t="s">
        <v>1859</v>
      </c>
      <c r="B455" s="6" t="s">
        <v>1860</v>
      </c>
      <c r="C455" s="6" t="s">
        <v>1244</v>
      </c>
      <c r="D455" s="6" t="s">
        <v>3623</v>
      </c>
    </row>
    <row r="456" spans="1:4" hidden="1" x14ac:dyDescent="0.35">
      <c r="A456" s="6" t="s">
        <v>1861</v>
      </c>
      <c r="B456" s="6" t="s">
        <v>3424</v>
      </c>
      <c r="C456" s="6" t="s">
        <v>1244</v>
      </c>
      <c r="D456" s="6" t="s">
        <v>3624</v>
      </c>
    </row>
    <row r="457" spans="1:4" hidden="1" x14ac:dyDescent="0.35">
      <c r="A457" s="6" t="s">
        <v>1862</v>
      </c>
      <c r="B457" s="6" t="s">
        <v>1316</v>
      </c>
      <c r="C457" s="6" t="s">
        <v>1244</v>
      </c>
      <c r="D457" s="6" t="s">
        <v>3622</v>
      </c>
    </row>
    <row r="458" spans="1:4" hidden="1" x14ac:dyDescent="0.35">
      <c r="A458" s="6" t="s">
        <v>1863</v>
      </c>
      <c r="B458" s="6" t="s">
        <v>1864</v>
      </c>
      <c r="C458" s="6" t="s">
        <v>1244</v>
      </c>
      <c r="D458" s="6" t="s">
        <v>3624</v>
      </c>
    </row>
    <row r="459" spans="1:4" hidden="1" x14ac:dyDescent="0.35">
      <c r="A459" s="6" t="s">
        <v>1865</v>
      </c>
      <c r="B459" s="6" t="s">
        <v>1476</v>
      </c>
      <c r="C459" s="6" t="s">
        <v>1244</v>
      </c>
      <c r="D459" s="6" t="s">
        <v>3623</v>
      </c>
    </row>
    <row r="460" spans="1:4" hidden="1" x14ac:dyDescent="0.35">
      <c r="A460" s="6" t="s">
        <v>2767</v>
      </c>
      <c r="B460" s="6" t="s">
        <v>3425</v>
      </c>
      <c r="C460" s="6" t="s">
        <v>1244</v>
      </c>
      <c r="D460" s="6" t="s">
        <v>1084</v>
      </c>
    </row>
    <row r="461" spans="1:4" hidden="1" x14ac:dyDescent="0.35">
      <c r="A461" s="6" t="s">
        <v>1866</v>
      </c>
      <c r="B461" s="6" t="s">
        <v>1617</v>
      </c>
      <c r="C461" s="6" t="s">
        <v>1244</v>
      </c>
      <c r="D461" s="6" t="s">
        <v>3622</v>
      </c>
    </row>
    <row r="462" spans="1:4" hidden="1" x14ac:dyDescent="0.35">
      <c r="A462" s="6" t="s">
        <v>1867</v>
      </c>
      <c r="B462" s="6" t="s">
        <v>1618</v>
      </c>
      <c r="C462" s="6" t="s">
        <v>1244</v>
      </c>
      <c r="D462" s="6" t="s">
        <v>3624</v>
      </c>
    </row>
    <row r="463" spans="1:4" hidden="1" x14ac:dyDescent="0.35">
      <c r="A463" s="6" t="s">
        <v>2768</v>
      </c>
      <c r="B463" s="6" t="s">
        <v>2769</v>
      </c>
      <c r="C463" s="6" t="s">
        <v>1244</v>
      </c>
      <c r="D463" s="6" t="s">
        <v>3623</v>
      </c>
    </row>
    <row r="464" spans="1:4" hidden="1" x14ac:dyDescent="0.35">
      <c r="A464" s="6" t="s">
        <v>1868</v>
      </c>
      <c r="B464" s="6" t="s">
        <v>1553</v>
      </c>
      <c r="C464" s="6" t="s">
        <v>1244</v>
      </c>
      <c r="D464" s="6" t="s">
        <v>3624</v>
      </c>
    </row>
    <row r="465" spans="1:4" hidden="1" x14ac:dyDescent="0.35">
      <c r="A465" s="6" t="s">
        <v>1869</v>
      </c>
      <c r="B465" s="6" t="s">
        <v>2770</v>
      </c>
      <c r="C465" s="6" t="s">
        <v>64</v>
      </c>
      <c r="D465" s="6" t="s">
        <v>1084</v>
      </c>
    </row>
    <row r="466" spans="1:4" hidden="1" x14ac:dyDescent="0.35">
      <c r="A466" s="6" t="s">
        <v>2771</v>
      </c>
      <c r="B466" s="6" t="s">
        <v>1465</v>
      </c>
      <c r="C466" s="6" t="s">
        <v>64</v>
      </c>
      <c r="D466" s="6" t="s">
        <v>3622</v>
      </c>
    </row>
    <row r="467" spans="1:4" hidden="1" x14ac:dyDescent="0.35">
      <c r="A467" s="6" t="s">
        <v>2772</v>
      </c>
      <c r="B467" s="6" t="s">
        <v>2773</v>
      </c>
      <c r="C467" s="6" t="s">
        <v>1242</v>
      </c>
      <c r="D467" s="6" t="s">
        <v>1084</v>
      </c>
    </row>
    <row r="468" spans="1:4" hidden="1" x14ac:dyDescent="0.35">
      <c r="A468" s="6" t="s">
        <v>1870</v>
      </c>
      <c r="B468" s="6" t="s">
        <v>1464</v>
      </c>
      <c r="C468" s="6" t="s">
        <v>64</v>
      </c>
      <c r="D468" s="6" t="s">
        <v>3624</v>
      </c>
    </row>
    <row r="469" spans="1:4" hidden="1" x14ac:dyDescent="0.35">
      <c r="A469" s="6" t="s">
        <v>2774</v>
      </c>
      <c r="B469" s="6" t="s">
        <v>3426</v>
      </c>
      <c r="C469" s="6" t="s">
        <v>1244</v>
      </c>
      <c r="D469" s="6" t="s">
        <v>1084</v>
      </c>
    </row>
    <row r="470" spans="1:4" hidden="1" x14ac:dyDescent="0.35">
      <c r="A470" s="6" t="s">
        <v>1871</v>
      </c>
      <c r="B470" s="6" t="s">
        <v>1872</v>
      </c>
      <c r="C470" s="6" t="s">
        <v>1244</v>
      </c>
      <c r="D470" s="6" t="s">
        <v>3623</v>
      </c>
    </row>
    <row r="471" spans="1:4" hidden="1" x14ac:dyDescent="0.35">
      <c r="A471" s="6" t="s">
        <v>1873</v>
      </c>
      <c r="B471" s="6" t="s">
        <v>1554</v>
      </c>
      <c r="C471" s="6" t="s">
        <v>1244</v>
      </c>
      <c r="D471" s="6" t="s">
        <v>3622</v>
      </c>
    </row>
    <row r="472" spans="1:4" hidden="1" x14ac:dyDescent="0.35">
      <c r="A472" s="6" t="s">
        <v>2775</v>
      </c>
      <c r="B472" s="6" t="s">
        <v>2776</v>
      </c>
      <c r="C472" s="6" t="s">
        <v>64</v>
      </c>
      <c r="D472" s="6" t="s">
        <v>1084</v>
      </c>
    </row>
    <row r="473" spans="1:4" hidden="1" x14ac:dyDescent="0.35">
      <c r="A473" s="6" t="s">
        <v>1874</v>
      </c>
      <c r="B473" s="6" t="s">
        <v>1875</v>
      </c>
      <c r="C473" s="6" t="s">
        <v>1244</v>
      </c>
      <c r="D473" s="6" t="s">
        <v>3624</v>
      </c>
    </row>
    <row r="474" spans="1:4" hidden="1" x14ac:dyDescent="0.35">
      <c r="A474" s="6" t="s">
        <v>1876</v>
      </c>
      <c r="B474" s="6" t="s">
        <v>1425</v>
      </c>
      <c r="C474" s="6" t="s">
        <v>1244</v>
      </c>
      <c r="D474" s="6" t="s">
        <v>3623</v>
      </c>
    </row>
    <row r="475" spans="1:4" hidden="1" x14ac:dyDescent="0.35">
      <c r="A475" s="6" t="s">
        <v>3427</v>
      </c>
      <c r="B475" s="6" t="s">
        <v>3428</v>
      </c>
      <c r="C475" s="6" t="s">
        <v>64</v>
      </c>
      <c r="D475" s="6" t="s">
        <v>3624</v>
      </c>
    </row>
    <row r="476" spans="1:4" hidden="1" x14ac:dyDescent="0.35">
      <c r="A476" s="6" t="s">
        <v>1877</v>
      </c>
      <c r="B476" s="6" t="s">
        <v>1426</v>
      </c>
      <c r="C476" s="6" t="s">
        <v>1244</v>
      </c>
      <c r="D476" s="6" t="s">
        <v>3622</v>
      </c>
    </row>
    <row r="477" spans="1:4" hidden="1" x14ac:dyDescent="0.35">
      <c r="A477" s="6" t="s">
        <v>2777</v>
      </c>
      <c r="B477" s="6" t="s">
        <v>3429</v>
      </c>
      <c r="C477" s="6" t="s">
        <v>1244</v>
      </c>
      <c r="D477" s="6" t="s">
        <v>3623</v>
      </c>
    </row>
    <row r="478" spans="1:4" hidden="1" x14ac:dyDescent="0.35">
      <c r="A478" s="6" t="s">
        <v>1878</v>
      </c>
      <c r="B478" s="6" t="s">
        <v>1879</v>
      </c>
      <c r="C478" s="6" t="s">
        <v>1244</v>
      </c>
      <c r="D478" s="6" t="s">
        <v>3622</v>
      </c>
    </row>
    <row r="479" spans="1:4" hidden="1" x14ac:dyDescent="0.35">
      <c r="A479" s="6" t="s">
        <v>2778</v>
      </c>
      <c r="B479" s="6" t="s">
        <v>2779</v>
      </c>
      <c r="C479" s="6" t="s">
        <v>1244</v>
      </c>
      <c r="D479" s="6" t="s">
        <v>1084</v>
      </c>
    </row>
    <row r="480" spans="1:4" hidden="1" x14ac:dyDescent="0.35">
      <c r="A480" s="6" t="s">
        <v>2780</v>
      </c>
      <c r="B480" s="6" t="s">
        <v>2781</v>
      </c>
      <c r="C480" s="6" t="s">
        <v>1244</v>
      </c>
      <c r="D480" s="6" t="s">
        <v>3622</v>
      </c>
    </row>
    <row r="481" spans="1:4" hidden="1" x14ac:dyDescent="0.35">
      <c r="A481" s="6" t="s">
        <v>2782</v>
      </c>
      <c r="B481" s="6" t="s">
        <v>2783</v>
      </c>
      <c r="C481" s="6" t="s">
        <v>1244</v>
      </c>
      <c r="D481" s="6" t="s">
        <v>3624</v>
      </c>
    </row>
    <row r="482" spans="1:4" hidden="1" x14ac:dyDescent="0.35">
      <c r="A482" s="6" t="s">
        <v>2784</v>
      </c>
      <c r="B482" s="6" t="s">
        <v>2785</v>
      </c>
      <c r="C482" s="6" t="s">
        <v>1244</v>
      </c>
      <c r="D482" s="6" t="s">
        <v>1084</v>
      </c>
    </row>
    <row r="483" spans="1:4" hidden="1" x14ac:dyDescent="0.35">
      <c r="A483" s="6" t="s">
        <v>2786</v>
      </c>
      <c r="B483" s="6" t="s">
        <v>2787</v>
      </c>
      <c r="C483" s="6" t="s">
        <v>1244</v>
      </c>
      <c r="D483" s="6" t="s">
        <v>3624</v>
      </c>
    </row>
    <row r="484" spans="1:4" hidden="1" x14ac:dyDescent="0.35">
      <c r="A484" s="6" t="s">
        <v>2788</v>
      </c>
      <c r="B484" s="6" t="s">
        <v>3430</v>
      </c>
      <c r="C484" s="6" t="s">
        <v>1244</v>
      </c>
      <c r="D484" s="6" t="s">
        <v>1084</v>
      </c>
    </row>
    <row r="485" spans="1:4" hidden="1" x14ac:dyDescent="0.35">
      <c r="A485" s="6" t="s">
        <v>2789</v>
      </c>
      <c r="B485" s="6" t="s">
        <v>2790</v>
      </c>
      <c r="C485" s="6" t="s">
        <v>1244</v>
      </c>
      <c r="D485" s="6" t="s">
        <v>3624</v>
      </c>
    </row>
    <row r="486" spans="1:4" hidden="1" x14ac:dyDescent="0.35">
      <c r="A486" s="6" t="s">
        <v>1880</v>
      </c>
      <c r="B486" s="6" t="s">
        <v>1670</v>
      </c>
      <c r="C486" s="6" t="s">
        <v>1242</v>
      </c>
      <c r="D486" s="6" t="s">
        <v>3622</v>
      </c>
    </row>
    <row r="487" spans="1:4" hidden="1" x14ac:dyDescent="0.35">
      <c r="A487" s="6" t="s">
        <v>394</v>
      </c>
      <c r="B487" s="6" t="s">
        <v>1623</v>
      </c>
      <c r="C487" s="6" t="s">
        <v>1244</v>
      </c>
      <c r="D487" s="6" t="s">
        <v>3622</v>
      </c>
    </row>
    <row r="488" spans="1:4" hidden="1" x14ac:dyDescent="0.35">
      <c r="A488" s="6" t="s">
        <v>1881</v>
      </c>
      <c r="B488" s="6" t="s">
        <v>1597</v>
      </c>
      <c r="C488" s="6" t="s">
        <v>1244</v>
      </c>
      <c r="D488" s="6" t="s">
        <v>3624</v>
      </c>
    </row>
    <row r="489" spans="1:4" hidden="1" x14ac:dyDescent="0.35">
      <c r="A489" s="6" t="s">
        <v>1882</v>
      </c>
      <c r="B489" s="6" t="s">
        <v>1578</v>
      </c>
      <c r="C489" s="6" t="s">
        <v>1244</v>
      </c>
      <c r="D489" s="6" t="s">
        <v>3624</v>
      </c>
    </row>
    <row r="490" spans="1:4" hidden="1" x14ac:dyDescent="0.35">
      <c r="A490" s="6" t="s">
        <v>1883</v>
      </c>
      <c r="B490" s="6" t="s">
        <v>1519</v>
      </c>
      <c r="C490" s="6" t="s">
        <v>1244</v>
      </c>
      <c r="D490" s="6" t="s">
        <v>3623</v>
      </c>
    </row>
    <row r="491" spans="1:4" hidden="1" x14ac:dyDescent="0.35">
      <c r="A491" s="6" t="s">
        <v>2791</v>
      </c>
      <c r="B491" s="6" t="s">
        <v>3431</v>
      </c>
      <c r="C491" s="6" t="s">
        <v>64</v>
      </c>
      <c r="D491" s="6" t="s">
        <v>3624</v>
      </c>
    </row>
    <row r="492" spans="1:4" hidden="1" x14ac:dyDescent="0.35">
      <c r="A492" s="6" t="s">
        <v>1884</v>
      </c>
      <c r="B492" s="6" t="s">
        <v>1587</v>
      </c>
      <c r="C492" s="6" t="s">
        <v>1244</v>
      </c>
      <c r="D492" s="6" t="s">
        <v>3622</v>
      </c>
    </row>
    <row r="493" spans="1:4" hidden="1" x14ac:dyDescent="0.35">
      <c r="A493" s="6" t="s">
        <v>1885</v>
      </c>
      <c r="B493" s="6" t="s">
        <v>1588</v>
      </c>
      <c r="C493" s="6" t="s">
        <v>1244</v>
      </c>
      <c r="D493" s="6" t="s">
        <v>3624</v>
      </c>
    </row>
    <row r="494" spans="1:4" hidden="1" x14ac:dyDescent="0.35">
      <c r="A494" s="6" t="s">
        <v>1886</v>
      </c>
      <c r="B494" s="6" t="s">
        <v>1887</v>
      </c>
      <c r="C494" s="6" t="s">
        <v>1244</v>
      </c>
      <c r="D494" s="6" t="s">
        <v>3622</v>
      </c>
    </row>
    <row r="495" spans="1:4" hidden="1" x14ac:dyDescent="0.35">
      <c r="A495" s="6" t="s">
        <v>1888</v>
      </c>
      <c r="B495" s="6" t="s">
        <v>1584</v>
      </c>
      <c r="C495" s="6" t="s">
        <v>1244</v>
      </c>
      <c r="D495" s="6" t="s">
        <v>3624</v>
      </c>
    </row>
    <row r="496" spans="1:4" hidden="1" x14ac:dyDescent="0.35">
      <c r="A496" s="6" t="s">
        <v>1889</v>
      </c>
      <c r="B496" s="6" t="s">
        <v>1606</v>
      </c>
      <c r="C496" s="6" t="s">
        <v>1244</v>
      </c>
      <c r="D496" s="6" t="s">
        <v>3624</v>
      </c>
    </row>
    <row r="497" spans="1:4" hidden="1" x14ac:dyDescent="0.35">
      <c r="A497" s="6" t="s">
        <v>1890</v>
      </c>
      <c r="B497" s="6" t="s">
        <v>1891</v>
      </c>
      <c r="C497" s="6" t="s">
        <v>1244</v>
      </c>
      <c r="D497" s="6" t="s">
        <v>3622</v>
      </c>
    </row>
    <row r="498" spans="1:4" hidden="1" x14ac:dyDescent="0.35">
      <c r="A498" s="6" t="s">
        <v>1892</v>
      </c>
      <c r="B498" s="6" t="s">
        <v>1893</v>
      </c>
      <c r="C498" s="6" t="s">
        <v>1244</v>
      </c>
      <c r="D498" s="6" t="s">
        <v>3624</v>
      </c>
    </row>
    <row r="499" spans="1:4" hidden="1" x14ac:dyDescent="0.35">
      <c r="A499" s="6" t="s">
        <v>1894</v>
      </c>
      <c r="B499" s="6" t="s">
        <v>1895</v>
      </c>
      <c r="C499" s="6" t="s">
        <v>64</v>
      </c>
      <c r="D499" s="6" t="s">
        <v>3622</v>
      </c>
    </row>
    <row r="500" spans="1:4" hidden="1" x14ac:dyDescent="0.35">
      <c r="A500" s="6" t="s">
        <v>1896</v>
      </c>
      <c r="B500" s="6" t="s">
        <v>1897</v>
      </c>
      <c r="C500" s="6" t="s">
        <v>1244</v>
      </c>
      <c r="D500" s="6" t="s">
        <v>3624</v>
      </c>
    </row>
    <row r="501" spans="1:4" hidden="1" x14ac:dyDescent="0.35">
      <c r="A501" s="6" t="s">
        <v>1898</v>
      </c>
      <c r="B501" s="6" t="s">
        <v>1605</v>
      </c>
      <c r="C501" s="6" t="s">
        <v>1244</v>
      </c>
      <c r="D501" s="6" t="s">
        <v>3622</v>
      </c>
    </row>
    <row r="502" spans="1:4" hidden="1" x14ac:dyDescent="0.35">
      <c r="A502" s="6" t="s">
        <v>1899</v>
      </c>
      <c r="B502" s="6" t="s">
        <v>3432</v>
      </c>
      <c r="C502" s="6" t="s">
        <v>1244</v>
      </c>
      <c r="D502" s="6" t="s">
        <v>3624</v>
      </c>
    </row>
    <row r="503" spans="1:4" hidden="1" x14ac:dyDescent="0.35">
      <c r="A503" s="6" t="s">
        <v>1900</v>
      </c>
      <c r="B503" s="6" t="s">
        <v>1319</v>
      </c>
      <c r="C503" s="6" t="s">
        <v>1244</v>
      </c>
      <c r="D503" s="6" t="s">
        <v>3624</v>
      </c>
    </row>
    <row r="504" spans="1:4" hidden="1" x14ac:dyDescent="0.35">
      <c r="A504" s="6" t="s">
        <v>1901</v>
      </c>
      <c r="B504" s="6" t="s">
        <v>1323</v>
      </c>
      <c r="C504" s="6" t="s">
        <v>64</v>
      </c>
      <c r="D504" s="6" t="s">
        <v>3624</v>
      </c>
    </row>
    <row r="505" spans="1:4" hidden="1" x14ac:dyDescent="0.35">
      <c r="A505" s="6" t="s">
        <v>1902</v>
      </c>
      <c r="B505" s="6" t="s">
        <v>1903</v>
      </c>
      <c r="C505" s="6" t="s">
        <v>1244</v>
      </c>
      <c r="D505" s="6" t="s">
        <v>3624</v>
      </c>
    </row>
    <row r="506" spans="1:4" hidden="1" x14ac:dyDescent="0.35">
      <c r="A506" s="6" t="s">
        <v>2792</v>
      </c>
      <c r="B506" s="6" t="s">
        <v>3433</v>
      </c>
      <c r="C506" s="6" t="s">
        <v>1244</v>
      </c>
      <c r="D506" s="6" t="s">
        <v>1084</v>
      </c>
    </row>
    <row r="507" spans="1:4" hidden="1" x14ac:dyDescent="0.35">
      <c r="A507" s="6" t="s">
        <v>2793</v>
      </c>
      <c r="B507" s="6" t="s">
        <v>2794</v>
      </c>
      <c r="C507" s="6" t="s">
        <v>94</v>
      </c>
      <c r="D507" s="6" t="s">
        <v>3622</v>
      </c>
    </row>
    <row r="508" spans="1:4" hidden="1" x14ac:dyDescent="0.35">
      <c r="A508" s="6" t="s">
        <v>2795</v>
      </c>
      <c r="B508" s="6" t="s">
        <v>3434</v>
      </c>
      <c r="C508" s="6" t="s">
        <v>94</v>
      </c>
      <c r="D508" s="6" t="s">
        <v>3624</v>
      </c>
    </row>
    <row r="509" spans="1:4" hidden="1" x14ac:dyDescent="0.35">
      <c r="A509" s="6" t="s">
        <v>2796</v>
      </c>
      <c r="B509" s="6" t="s">
        <v>3435</v>
      </c>
      <c r="C509" s="6" t="s">
        <v>94</v>
      </c>
      <c r="D509" s="6" t="s">
        <v>1084</v>
      </c>
    </row>
    <row r="510" spans="1:4" hidden="1" x14ac:dyDescent="0.35">
      <c r="A510" s="6" t="s">
        <v>2797</v>
      </c>
      <c r="B510" s="6" t="s">
        <v>2798</v>
      </c>
      <c r="C510" s="6" t="s">
        <v>1242</v>
      </c>
      <c r="D510" s="6" t="s">
        <v>1084</v>
      </c>
    </row>
    <row r="511" spans="1:4" hidden="1" x14ac:dyDescent="0.35">
      <c r="A511" s="6" t="s">
        <v>1698</v>
      </c>
      <c r="B511" s="6" t="s">
        <v>3436</v>
      </c>
      <c r="C511" s="6" t="s">
        <v>94</v>
      </c>
      <c r="D511" s="6" t="s">
        <v>3624</v>
      </c>
    </row>
    <row r="512" spans="1:4" hidden="1" x14ac:dyDescent="0.35">
      <c r="A512" s="6" t="s">
        <v>2799</v>
      </c>
      <c r="B512" s="6" t="s">
        <v>2800</v>
      </c>
      <c r="C512" s="6" t="s">
        <v>94</v>
      </c>
      <c r="D512" s="6" t="s">
        <v>3622</v>
      </c>
    </row>
    <row r="513" spans="1:4" hidden="1" x14ac:dyDescent="0.35">
      <c r="A513" s="6" t="s">
        <v>2801</v>
      </c>
      <c r="B513" s="6" t="s">
        <v>2802</v>
      </c>
      <c r="C513" s="6" t="s">
        <v>94</v>
      </c>
      <c r="D513" s="6" t="s">
        <v>1084</v>
      </c>
    </row>
    <row r="514" spans="1:4" hidden="1" x14ac:dyDescent="0.35">
      <c r="A514" s="6" t="s">
        <v>2803</v>
      </c>
      <c r="B514" s="6" t="s">
        <v>2804</v>
      </c>
      <c r="C514" s="6" t="s">
        <v>94</v>
      </c>
      <c r="D514" s="6" t="s">
        <v>1084</v>
      </c>
    </row>
    <row r="515" spans="1:4" hidden="1" x14ac:dyDescent="0.35">
      <c r="A515" s="6" t="s">
        <v>1904</v>
      </c>
      <c r="B515" s="6" t="s">
        <v>1455</v>
      </c>
      <c r="C515" s="6" t="s">
        <v>1244</v>
      </c>
      <c r="D515" s="6" t="s">
        <v>3623</v>
      </c>
    </row>
    <row r="516" spans="1:4" hidden="1" x14ac:dyDescent="0.35">
      <c r="A516" s="6" t="s">
        <v>2805</v>
      </c>
      <c r="B516" s="6" t="s">
        <v>2806</v>
      </c>
      <c r="C516" s="6" t="s">
        <v>1244</v>
      </c>
      <c r="D516" s="6" t="s">
        <v>3623</v>
      </c>
    </row>
    <row r="517" spans="1:4" hidden="1" x14ac:dyDescent="0.35">
      <c r="A517" s="6" t="s">
        <v>2807</v>
      </c>
      <c r="B517" s="6" t="s">
        <v>3437</v>
      </c>
      <c r="C517" s="6" t="s">
        <v>1244</v>
      </c>
      <c r="D517" s="6" t="s">
        <v>1084</v>
      </c>
    </row>
    <row r="518" spans="1:4" hidden="1" x14ac:dyDescent="0.35">
      <c r="A518" s="6" t="s">
        <v>2808</v>
      </c>
      <c r="B518" s="6" t="s">
        <v>2809</v>
      </c>
      <c r="C518" s="6" t="s">
        <v>1244</v>
      </c>
      <c r="D518" s="6" t="s">
        <v>3622</v>
      </c>
    </row>
    <row r="519" spans="1:4" hidden="1" x14ac:dyDescent="0.35">
      <c r="A519" s="6" t="s">
        <v>1905</v>
      </c>
      <c r="B519" s="6" t="s">
        <v>1538</v>
      </c>
      <c r="C519" s="6" t="s">
        <v>1244</v>
      </c>
      <c r="D519" s="6" t="s">
        <v>3624</v>
      </c>
    </row>
    <row r="520" spans="1:4" hidden="1" x14ac:dyDescent="0.35">
      <c r="A520" s="6" t="s">
        <v>2810</v>
      </c>
      <c r="B520" s="6" t="s">
        <v>3438</v>
      </c>
      <c r="C520" s="6" t="s">
        <v>1244</v>
      </c>
      <c r="D520" s="6" t="s">
        <v>3622</v>
      </c>
    </row>
    <row r="521" spans="1:4" hidden="1" x14ac:dyDescent="0.35">
      <c r="A521" s="6" t="s">
        <v>2811</v>
      </c>
      <c r="B521" s="6" t="s">
        <v>3439</v>
      </c>
      <c r="C521" s="6" t="s">
        <v>1244</v>
      </c>
      <c r="D521" s="6" t="s">
        <v>3624</v>
      </c>
    </row>
    <row r="522" spans="1:4" hidden="1" x14ac:dyDescent="0.35">
      <c r="A522" s="6" t="s">
        <v>1906</v>
      </c>
      <c r="B522" s="6" t="s">
        <v>1907</v>
      </c>
      <c r="C522" s="6" t="s">
        <v>1244</v>
      </c>
      <c r="D522" s="6" t="s">
        <v>3624</v>
      </c>
    </row>
    <row r="523" spans="1:4" hidden="1" x14ac:dyDescent="0.35">
      <c r="A523" s="6" t="s">
        <v>1908</v>
      </c>
      <c r="B523" s="6" t="s">
        <v>1909</v>
      </c>
      <c r="C523" s="6" t="s">
        <v>64</v>
      </c>
      <c r="D523" s="6" t="s">
        <v>3624</v>
      </c>
    </row>
    <row r="524" spans="1:4" hidden="1" x14ac:dyDescent="0.35">
      <c r="A524" s="6" t="s">
        <v>1910</v>
      </c>
      <c r="B524" s="6" t="s">
        <v>1911</v>
      </c>
      <c r="C524" s="6" t="s">
        <v>1249</v>
      </c>
      <c r="D524" s="6" t="s">
        <v>3624</v>
      </c>
    </row>
    <row r="525" spans="1:4" hidden="1" x14ac:dyDescent="0.35">
      <c r="A525" s="6" t="s">
        <v>2812</v>
      </c>
      <c r="B525" s="6" t="s">
        <v>2813</v>
      </c>
      <c r="C525" s="6" t="s">
        <v>1244</v>
      </c>
      <c r="D525" s="6" t="s">
        <v>1084</v>
      </c>
    </row>
    <row r="526" spans="1:4" hidden="1" x14ac:dyDescent="0.35">
      <c r="A526" s="6" t="s">
        <v>2814</v>
      </c>
      <c r="B526" s="6" t="s">
        <v>2815</v>
      </c>
      <c r="C526" s="6" t="s">
        <v>1242</v>
      </c>
      <c r="D526" s="6" t="s">
        <v>3624</v>
      </c>
    </row>
    <row r="527" spans="1:4" hidden="1" x14ac:dyDescent="0.35">
      <c r="A527" s="6" t="s">
        <v>1912</v>
      </c>
      <c r="B527" s="6" t="s">
        <v>3440</v>
      </c>
      <c r="C527" s="6" t="s">
        <v>94</v>
      </c>
      <c r="D527" s="6" t="s">
        <v>3623</v>
      </c>
    </row>
    <row r="528" spans="1:4" hidden="1" x14ac:dyDescent="0.35">
      <c r="A528" s="6" t="s">
        <v>1913</v>
      </c>
      <c r="B528" s="6" t="s">
        <v>1370</v>
      </c>
      <c r="C528" s="6" t="s">
        <v>1244</v>
      </c>
      <c r="D528" s="6" t="s">
        <v>3623</v>
      </c>
    </row>
    <row r="529" spans="1:4" hidden="1" x14ac:dyDescent="0.35">
      <c r="A529" s="6" t="s">
        <v>1914</v>
      </c>
      <c r="B529" s="6" t="s">
        <v>1494</v>
      </c>
      <c r="C529" s="6" t="s">
        <v>1244</v>
      </c>
      <c r="D529" s="6" t="s">
        <v>3624</v>
      </c>
    </row>
    <row r="530" spans="1:4" hidden="1" x14ac:dyDescent="0.35">
      <c r="A530" s="6" t="s">
        <v>1915</v>
      </c>
      <c r="B530" s="6" t="s">
        <v>1916</v>
      </c>
      <c r="C530" s="6" t="s">
        <v>1244</v>
      </c>
      <c r="D530" s="6" t="s">
        <v>3623</v>
      </c>
    </row>
    <row r="531" spans="1:4" hidden="1" x14ac:dyDescent="0.35">
      <c r="A531" s="6" t="s">
        <v>1917</v>
      </c>
      <c r="B531" s="6" t="s">
        <v>1385</v>
      </c>
      <c r="C531" s="6" t="s">
        <v>2714</v>
      </c>
      <c r="D531" s="6" t="s">
        <v>3622</v>
      </c>
    </row>
    <row r="532" spans="1:4" hidden="1" x14ac:dyDescent="0.35">
      <c r="A532" s="6" t="s">
        <v>1699</v>
      </c>
      <c r="B532" s="6" t="s">
        <v>1700</v>
      </c>
      <c r="C532" s="6" t="s">
        <v>94</v>
      </c>
      <c r="D532" s="6" t="s">
        <v>3624</v>
      </c>
    </row>
    <row r="533" spans="1:4" hidden="1" x14ac:dyDescent="0.35">
      <c r="A533" s="6" t="s">
        <v>2816</v>
      </c>
      <c r="B533" s="6" t="s">
        <v>2817</v>
      </c>
      <c r="C533" s="6" t="s">
        <v>94</v>
      </c>
      <c r="D533" s="6" t="s">
        <v>3622</v>
      </c>
    </row>
    <row r="534" spans="1:4" hidden="1" x14ac:dyDescent="0.35">
      <c r="A534" s="6" t="s">
        <v>2818</v>
      </c>
      <c r="B534" s="6" t="s">
        <v>2819</v>
      </c>
      <c r="C534" s="6" t="s">
        <v>94</v>
      </c>
      <c r="D534" s="6" t="s">
        <v>1084</v>
      </c>
    </row>
    <row r="535" spans="1:4" hidden="1" x14ac:dyDescent="0.35">
      <c r="A535" s="6" t="s">
        <v>1918</v>
      </c>
      <c r="B535" s="6" t="s">
        <v>1539</v>
      </c>
      <c r="C535" s="6" t="s">
        <v>1244</v>
      </c>
      <c r="D535" s="6" t="s">
        <v>3624</v>
      </c>
    </row>
    <row r="536" spans="1:4" hidden="1" x14ac:dyDescent="0.35">
      <c r="A536" s="6" t="s">
        <v>2820</v>
      </c>
      <c r="B536" s="6" t="s">
        <v>2821</v>
      </c>
      <c r="C536" s="6" t="s">
        <v>64</v>
      </c>
      <c r="D536" s="6" t="s">
        <v>1084</v>
      </c>
    </row>
    <row r="537" spans="1:4" hidden="1" x14ac:dyDescent="0.35">
      <c r="A537" s="6" t="s">
        <v>2822</v>
      </c>
      <c r="B537" s="6" t="s">
        <v>2823</v>
      </c>
      <c r="C537" s="6" t="s">
        <v>1242</v>
      </c>
      <c r="D537" s="6" t="s">
        <v>1084</v>
      </c>
    </row>
    <row r="538" spans="1:4" hidden="1" x14ac:dyDescent="0.35">
      <c r="A538" s="6" t="s">
        <v>2824</v>
      </c>
      <c r="B538" s="6" t="s">
        <v>2825</v>
      </c>
      <c r="C538" s="6" t="s">
        <v>1244</v>
      </c>
      <c r="D538" s="6" t="s">
        <v>3622</v>
      </c>
    </row>
    <row r="539" spans="1:4" hidden="1" x14ac:dyDescent="0.35">
      <c r="A539" s="6" t="s">
        <v>2826</v>
      </c>
      <c r="B539" s="6" t="s">
        <v>2827</v>
      </c>
      <c r="C539" s="6" t="s">
        <v>1244</v>
      </c>
      <c r="D539" s="6" t="s">
        <v>3624</v>
      </c>
    </row>
    <row r="540" spans="1:4" hidden="1" x14ac:dyDescent="0.35">
      <c r="A540" s="6" t="s">
        <v>2828</v>
      </c>
      <c r="B540" s="6" t="s">
        <v>2829</v>
      </c>
      <c r="C540" s="6" t="s">
        <v>1244</v>
      </c>
      <c r="D540" s="6" t="s">
        <v>3623</v>
      </c>
    </row>
    <row r="541" spans="1:4" hidden="1" x14ac:dyDescent="0.35">
      <c r="A541" s="6" t="s">
        <v>2830</v>
      </c>
      <c r="B541" s="6" t="s">
        <v>2831</v>
      </c>
      <c r="C541" s="6" t="s">
        <v>1244</v>
      </c>
      <c r="D541" s="6" t="s">
        <v>3623</v>
      </c>
    </row>
    <row r="542" spans="1:4" hidden="1" x14ac:dyDescent="0.35">
      <c r="A542" s="6" t="s">
        <v>1919</v>
      </c>
      <c r="B542" s="6" t="s">
        <v>3441</v>
      </c>
      <c r="C542" s="6" t="s">
        <v>1244</v>
      </c>
      <c r="D542" s="6" t="s">
        <v>3622</v>
      </c>
    </row>
    <row r="543" spans="1:4" hidden="1" x14ac:dyDescent="0.35">
      <c r="A543" s="6" t="s">
        <v>1920</v>
      </c>
      <c r="B543" s="6" t="s">
        <v>1497</v>
      </c>
      <c r="C543" s="6" t="s">
        <v>1244</v>
      </c>
      <c r="D543" s="6" t="s">
        <v>3624</v>
      </c>
    </row>
    <row r="544" spans="1:4" hidden="1" x14ac:dyDescent="0.35">
      <c r="A544" s="6" t="s">
        <v>1921</v>
      </c>
      <c r="B544" s="6" t="s">
        <v>1922</v>
      </c>
      <c r="C544" s="6" t="s">
        <v>1244</v>
      </c>
      <c r="D544" s="6" t="s">
        <v>3624</v>
      </c>
    </row>
    <row r="545" spans="1:4" hidden="1" x14ac:dyDescent="0.35">
      <c r="A545" s="6" t="s">
        <v>1923</v>
      </c>
      <c r="B545" s="6" t="s">
        <v>1591</v>
      </c>
      <c r="C545" s="6" t="s">
        <v>1244</v>
      </c>
      <c r="D545" s="6" t="s">
        <v>3624</v>
      </c>
    </row>
    <row r="546" spans="1:4" hidden="1" x14ac:dyDescent="0.35">
      <c r="A546" s="6" t="s">
        <v>1924</v>
      </c>
      <c r="B546" s="6" t="s">
        <v>1401</v>
      </c>
      <c r="C546" s="6" t="s">
        <v>1244</v>
      </c>
      <c r="D546" s="6" t="s">
        <v>3623</v>
      </c>
    </row>
    <row r="547" spans="1:4" hidden="1" x14ac:dyDescent="0.35">
      <c r="A547" s="6" t="s">
        <v>1925</v>
      </c>
      <c r="B547" s="6" t="s">
        <v>1364</v>
      </c>
      <c r="C547" s="6" t="s">
        <v>1244</v>
      </c>
      <c r="D547" s="6" t="s">
        <v>3622</v>
      </c>
    </row>
    <row r="548" spans="1:4" hidden="1" x14ac:dyDescent="0.35">
      <c r="A548" s="6" t="s">
        <v>2832</v>
      </c>
      <c r="B548" s="6" t="s">
        <v>2833</v>
      </c>
      <c r="C548" s="6" t="s">
        <v>64</v>
      </c>
      <c r="D548" s="6" t="s">
        <v>1084</v>
      </c>
    </row>
    <row r="549" spans="1:4" hidden="1" x14ac:dyDescent="0.35">
      <c r="A549" s="6" t="s">
        <v>2834</v>
      </c>
      <c r="B549" s="6" t="s">
        <v>2835</v>
      </c>
      <c r="C549" s="6" t="s">
        <v>1244</v>
      </c>
      <c r="D549" s="6" t="s">
        <v>1084</v>
      </c>
    </row>
    <row r="550" spans="1:4" hidden="1" x14ac:dyDescent="0.35">
      <c r="A550" s="6" t="s">
        <v>2836</v>
      </c>
      <c r="B550" s="6" t="s">
        <v>3442</v>
      </c>
      <c r="C550" s="6" t="s">
        <v>64</v>
      </c>
      <c r="D550" s="6" t="s">
        <v>3624</v>
      </c>
    </row>
    <row r="551" spans="1:4" hidden="1" x14ac:dyDescent="0.35">
      <c r="A551" s="6" t="s">
        <v>2837</v>
      </c>
      <c r="B551" s="6" t="s">
        <v>3443</v>
      </c>
      <c r="C551" s="6" t="s">
        <v>64</v>
      </c>
      <c r="D551" s="6" t="s">
        <v>1084</v>
      </c>
    </row>
    <row r="552" spans="1:4" hidden="1" x14ac:dyDescent="0.35">
      <c r="A552" s="6" t="s">
        <v>2838</v>
      </c>
      <c r="B552" s="6" t="s">
        <v>3444</v>
      </c>
      <c r="C552" s="6" t="s">
        <v>64</v>
      </c>
      <c r="D552" s="6" t="s">
        <v>1084</v>
      </c>
    </row>
    <row r="553" spans="1:4" hidden="1" x14ac:dyDescent="0.35">
      <c r="A553" s="6" t="s">
        <v>2839</v>
      </c>
      <c r="B553" s="6" t="s">
        <v>3445</v>
      </c>
      <c r="C553" s="6" t="s">
        <v>64</v>
      </c>
      <c r="D553" s="6" t="s">
        <v>3622</v>
      </c>
    </row>
    <row r="554" spans="1:4" hidden="1" x14ac:dyDescent="0.35">
      <c r="A554" s="6" t="s">
        <v>1926</v>
      </c>
      <c r="B554" s="6" t="s">
        <v>1927</v>
      </c>
      <c r="C554" s="6" t="s">
        <v>64</v>
      </c>
      <c r="D554" s="6" t="s">
        <v>3624</v>
      </c>
    </row>
    <row r="555" spans="1:4" hidden="1" x14ac:dyDescent="0.35">
      <c r="A555" s="6" t="s">
        <v>2840</v>
      </c>
      <c r="B555" s="6" t="s">
        <v>3446</v>
      </c>
      <c r="C555" s="6" t="s">
        <v>64</v>
      </c>
      <c r="D555" s="6" t="s">
        <v>1084</v>
      </c>
    </row>
    <row r="556" spans="1:4" hidden="1" x14ac:dyDescent="0.35">
      <c r="A556" s="6" t="s">
        <v>1928</v>
      </c>
      <c r="B556" s="6" t="s">
        <v>1436</v>
      </c>
      <c r="C556" s="6" t="s">
        <v>64</v>
      </c>
      <c r="D556" s="6" t="s">
        <v>3624</v>
      </c>
    </row>
    <row r="557" spans="1:4" hidden="1" x14ac:dyDescent="0.35">
      <c r="A557" s="6" t="s">
        <v>1929</v>
      </c>
      <c r="B557" s="6" t="s">
        <v>1669</v>
      </c>
      <c r="C557" s="6" t="s">
        <v>1244</v>
      </c>
      <c r="D557" s="6" t="s">
        <v>3624</v>
      </c>
    </row>
    <row r="558" spans="1:4" hidden="1" x14ac:dyDescent="0.35">
      <c r="A558" s="6" t="s">
        <v>1930</v>
      </c>
      <c r="B558" s="6" t="s">
        <v>1367</v>
      </c>
      <c r="C558" s="6" t="s">
        <v>1244</v>
      </c>
      <c r="D558" s="6" t="s">
        <v>3622</v>
      </c>
    </row>
    <row r="559" spans="1:4" hidden="1" x14ac:dyDescent="0.35">
      <c r="A559" s="6" t="s">
        <v>1931</v>
      </c>
      <c r="B559" s="6" t="s">
        <v>1368</v>
      </c>
      <c r="C559" s="6" t="s">
        <v>1244</v>
      </c>
      <c r="D559" s="6" t="s">
        <v>3624</v>
      </c>
    </row>
    <row r="560" spans="1:4" hidden="1" x14ac:dyDescent="0.35">
      <c r="A560" s="6" t="s">
        <v>1932</v>
      </c>
      <c r="B560" s="6" t="s">
        <v>1668</v>
      </c>
      <c r="C560" s="6" t="s">
        <v>1244</v>
      </c>
      <c r="D560" s="6" t="s">
        <v>3622</v>
      </c>
    </row>
    <row r="561" spans="1:4" hidden="1" x14ac:dyDescent="0.35">
      <c r="A561" s="6" t="s">
        <v>1933</v>
      </c>
      <c r="B561" s="6" t="s">
        <v>1934</v>
      </c>
      <c r="C561" s="6" t="s">
        <v>1244</v>
      </c>
      <c r="D561" s="6" t="s">
        <v>3622</v>
      </c>
    </row>
    <row r="562" spans="1:4" hidden="1" x14ac:dyDescent="0.35">
      <c r="A562" s="6" t="s">
        <v>1935</v>
      </c>
      <c r="B562" s="6" t="s">
        <v>1936</v>
      </c>
      <c r="C562" s="6" t="s">
        <v>1244</v>
      </c>
      <c r="D562" s="6" t="s">
        <v>3622</v>
      </c>
    </row>
    <row r="563" spans="1:4" hidden="1" x14ac:dyDescent="0.35">
      <c r="A563" s="6" t="s">
        <v>1937</v>
      </c>
      <c r="B563" s="6" t="s">
        <v>1938</v>
      </c>
      <c r="C563" s="6" t="s">
        <v>2714</v>
      </c>
      <c r="D563" s="6" t="s">
        <v>3622</v>
      </c>
    </row>
    <row r="564" spans="1:4" hidden="1" x14ac:dyDescent="0.35">
      <c r="A564" s="6" t="s">
        <v>1939</v>
      </c>
      <c r="B564" s="6" t="s">
        <v>1402</v>
      </c>
      <c r="C564" s="6" t="s">
        <v>1244</v>
      </c>
      <c r="D564" s="6" t="s">
        <v>3623</v>
      </c>
    </row>
    <row r="565" spans="1:4" hidden="1" x14ac:dyDescent="0.35">
      <c r="A565" s="6" t="s">
        <v>1940</v>
      </c>
      <c r="B565" s="6" t="s">
        <v>1527</v>
      </c>
      <c r="C565" s="6" t="s">
        <v>1244</v>
      </c>
      <c r="D565" s="6" t="s">
        <v>3622</v>
      </c>
    </row>
    <row r="566" spans="1:4" hidden="1" x14ac:dyDescent="0.35">
      <c r="A566" s="6" t="s">
        <v>1941</v>
      </c>
      <c r="B566" s="6" t="s">
        <v>1561</v>
      </c>
      <c r="C566" s="6" t="s">
        <v>1244</v>
      </c>
      <c r="D566" s="6" t="s">
        <v>3624</v>
      </c>
    </row>
    <row r="567" spans="1:4" hidden="1" x14ac:dyDescent="0.35">
      <c r="A567" s="6" t="s">
        <v>1942</v>
      </c>
      <c r="B567" s="6" t="s">
        <v>1557</v>
      </c>
      <c r="C567" s="6" t="s">
        <v>1244</v>
      </c>
      <c r="D567" s="6" t="s">
        <v>3622</v>
      </c>
    </row>
    <row r="568" spans="1:4" hidden="1" x14ac:dyDescent="0.35">
      <c r="A568" s="6" t="s">
        <v>1943</v>
      </c>
      <c r="B568" s="6" t="s">
        <v>1944</v>
      </c>
      <c r="C568" s="6" t="s">
        <v>1244</v>
      </c>
      <c r="D568" s="6" t="s">
        <v>3623</v>
      </c>
    </row>
    <row r="569" spans="1:4" hidden="1" x14ac:dyDescent="0.35">
      <c r="A569" s="6" t="s">
        <v>2841</v>
      </c>
      <c r="B569" s="6" t="s">
        <v>2842</v>
      </c>
      <c r="C569" s="6" t="s">
        <v>1248</v>
      </c>
      <c r="D569" s="6" t="s">
        <v>3623</v>
      </c>
    </row>
    <row r="570" spans="1:4" hidden="1" x14ac:dyDescent="0.35">
      <c r="A570" s="6" t="s">
        <v>2843</v>
      </c>
      <c r="B570" s="6" t="s">
        <v>2844</v>
      </c>
      <c r="C570" s="6" t="s">
        <v>1244</v>
      </c>
      <c r="D570" s="6" t="s">
        <v>1084</v>
      </c>
    </row>
    <row r="571" spans="1:4" hidden="1" x14ac:dyDescent="0.35">
      <c r="A571" s="6" t="s">
        <v>2845</v>
      </c>
      <c r="B571" s="6" t="s">
        <v>2846</v>
      </c>
      <c r="C571" s="6" t="s">
        <v>1244</v>
      </c>
      <c r="D571" s="6" t="s">
        <v>1084</v>
      </c>
    </row>
    <row r="572" spans="1:4" hidden="1" x14ac:dyDescent="0.35">
      <c r="A572" s="6" t="s">
        <v>3447</v>
      </c>
      <c r="B572" s="6" t="s">
        <v>3448</v>
      </c>
      <c r="C572" s="6" t="s">
        <v>1244</v>
      </c>
      <c r="D572" s="6" t="s">
        <v>3623</v>
      </c>
    </row>
    <row r="573" spans="1:4" hidden="1" x14ac:dyDescent="0.35">
      <c r="A573" s="6" t="s">
        <v>1945</v>
      </c>
      <c r="B573" s="6" t="s">
        <v>1946</v>
      </c>
      <c r="C573" s="6" t="s">
        <v>1248</v>
      </c>
      <c r="D573" s="6" t="s">
        <v>3623</v>
      </c>
    </row>
    <row r="574" spans="1:4" hidden="1" x14ac:dyDescent="0.35">
      <c r="A574" s="6" t="s">
        <v>3449</v>
      </c>
      <c r="B574" s="6" t="s">
        <v>3450</v>
      </c>
      <c r="C574" s="6" t="s">
        <v>1244</v>
      </c>
      <c r="D574" s="6" t="s">
        <v>3623</v>
      </c>
    </row>
    <row r="575" spans="1:4" hidden="1" x14ac:dyDescent="0.35">
      <c r="A575" s="6" t="s">
        <v>2847</v>
      </c>
      <c r="B575" s="6" t="s">
        <v>2848</v>
      </c>
      <c r="C575" s="6" t="s">
        <v>1248</v>
      </c>
      <c r="D575" s="6" t="s">
        <v>3623</v>
      </c>
    </row>
    <row r="576" spans="1:4" hidden="1" x14ac:dyDescent="0.35">
      <c r="A576" s="6" t="s">
        <v>3451</v>
      </c>
      <c r="B576" s="6" t="s">
        <v>3803</v>
      </c>
      <c r="C576" s="6" t="s">
        <v>1244</v>
      </c>
      <c r="D576" s="6" t="s">
        <v>3622</v>
      </c>
    </row>
    <row r="577" spans="1:4" hidden="1" x14ac:dyDescent="0.35">
      <c r="A577" s="6" t="s">
        <v>1947</v>
      </c>
      <c r="B577" s="6" t="s">
        <v>1565</v>
      </c>
      <c r="C577" s="6" t="s">
        <v>1244</v>
      </c>
      <c r="D577" s="6" t="s">
        <v>3623</v>
      </c>
    </row>
    <row r="578" spans="1:4" hidden="1" x14ac:dyDescent="0.35">
      <c r="A578" s="6" t="s">
        <v>2849</v>
      </c>
      <c r="B578" s="6" t="s">
        <v>2850</v>
      </c>
      <c r="C578" s="6" t="s">
        <v>1242</v>
      </c>
      <c r="D578" s="6" t="s">
        <v>3623</v>
      </c>
    </row>
    <row r="579" spans="1:4" hidden="1" x14ac:dyDescent="0.35">
      <c r="A579" s="6" t="s">
        <v>1948</v>
      </c>
      <c r="B579" s="6" t="s">
        <v>1949</v>
      </c>
      <c r="C579" s="6" t="s">
        <v>1244</v>
      </c>
      <c r="D579" s="6" t="s">
        <v>3622</v>
      </c>
    </row>
    <row r="580" spans="1:4" hidden="1" x14ac:dyDescent="0.35">
      <c r="A580" s="6" t="s">
        <v>1703</v>
      </c>
      <c r="B580" s="6" t="s">
        <v>3452</v>
      </c>
      <c r="C580" s="6" t="s">
        <v>1689</v>
      </c>
      <c r="D580" s="6" t="s">
        <v>3624</v>
      </c>
    </row>
    <row r="581" spans="1:4" hidden="1" x14ac:dyDescent="0.35">
      <c r="A581" s="6" t="s">
        <v>1950</v>
      </c>
      <c r="B581" s="6" t="s">
        <v>1440</v>
      </c>
      <c r="C581" s="6" t="s">
        <v>64</v>
      </c>
      <c r="D581" s="6" t="s">
        <v>3622</v>
      </c>
    </row>
    <row r="582" spans="1:4" hidden="1" x14ac:dyDescent="0.35">
      <c r="A582" s="6" t="s">
        <v>1951</v>
      </c>
      <c r="B582" s="6" t="s">
        <v>1952</v>
      </c>
      <c r="C582" s="6" t="s">
        <v>1244</v>
      </c>
      <c r="D582" s="6" t="s">
        <v>3622</v>
      </c>
    </row>
    <row r="583" spans="1:4" hidden="1" x14ac:dyDescent="0.35">
      <c r="A583" s="6" t="s">
        <v>1953</v>
      </c>
      <c r="B583" s="6" t="s">
        <v>1954</v>
      </c>
      <c r="C583" s="6" t="s">
        <v>1244</v>
      </c>
      <c r="D583" s="6" t="s">
        <v>3623</v>
      </c>
    </row>
    <row r="584" spans="1:4" hidden="1" x14ac:dyDescent="0.35">
      <c r="A584" s="6" t="s">
        <v>1955</v>
      </c>
      <c r="B584" s="6" t="s">
        <v>1956</v>
      </c>
      <c r="C584" s="6" t="s">
        <v>1244</v>
      </c>
      <c r="D584" s="6" t="s">
        <v>3623</v>
      </c>
    </row>
    <row r="585" spans="1:4" hidden="1" x14ac:dyDescent="0.35">
      <c r="A585" s="6" t="s">
        <v>1957</v>
      </c>
      <c r="B585" s="6" t="s">
        <v>1958</v>
      </c>
      <c r="C585" s="6" t="s">
        <v>1244</v>
      </c>
      <c r="D585" s="6" t="s">
        <v>3622</v>
      </c>
    </row>
    <row r="586" spans="1:4" hidden="1" x14ac:dyDescent="0.35">
      <c r="A586" s="6" t="s">
        <v>1959</v>
      </c>
      <c r="B586" s="6" t="s">
        <v>3453</v>
      </c>
      <c r="C586" s="6" t="s">
        <v>2714</v>
      </c>
      <c r="D586" s="6" t="s">
        <v>3622</v>
      </c>
    </row>
    <row r="587" spans="1:4" hidden="1" x14ac:dyDescent="0.35">
      <c r="A587" s="6" t="s">
        <v>2851</v>
      </c>
      <c r="B587" s="6" t="s">
        <v>2852</v>
      </c>
      <c r="C587" s="6" t="s">
        <v>64</v>
      </c>
      <c r="D587" s="6" t="s">
        <v>3622</v>
      </c>
    </row>
    <row r="588" spans="1:4" hidden="1" x14ac:dyDescent="0.35">
      <c r="A588" s="6" t="s">
        <v>2853</v>
      </c>
      <c r="B588" s="6" t="s">
        <v>2854</v>
      </c>
      <c r="C588" s="6" t="s">
        <v>64</v>
      </c>
      <c r="D588" s="6" t="s">
        <v>3622</v>
      </c>
    </row>
    <row r="589" spans="1:4" hidden="1" x14ac:dyDescent="0.35">
      <c r="A589" s="6" t="s">
        <v>2855</v>
      </c>
      <c r="B589" s="6" t="s">
        <v>2856</v>
      </c>
      <c r="C589" s="6" t="s">
        <v>64</v>
      </c>
      <c r="D589" s="6" t="s">
        <v>3624</v>
      </c>
    </row>
    <row r="590" spans="1:4" hidden="1" x14ac:dyDescent="0.35">
      <c r="A590" s="6" t="s">
        <v>2857</v>
      </c>
      <c r="B590" s="6" t="s">
        <v>2858</v>
      </c>
      <c r="C590" s="6" t="s">
        <v>64</v>
      </c>
      <c r="D590" s="6" t="s">
        <v>3624</v>
      </c>
    </row>
    <row r="591" spans="1:4" hidden="1" x14ac:dyDescent="0.35">
      <c r="A591" s="6" t="s">
        <v>2859</v>
      </c>
      <c r="B591" s="6" t="s">
        <v>2860</v>
      </c>
      <c r="C591" s="6" t="s">
        <v>1248</v>
      </c>
      <c r="D591" s="6" t="s">
        <v>3623</v>
      </c>
    </row>
    <row r="592" spans="1:4" hidden="1" x14ac:dyDescent="0.35">
      <c r="A592" s="6" t="s">
        <v>1960</v>
      </c>
      <c r="B592" s="6" t="s">
        <v>1504</v>
      </c>
      <c r="C592" s="6" t="s">
        <v>1248</v>
      </c>
      <c r="D592" s="6" t="s">
        <v>3623</v>
      </c>
    </row>
    <row r="593" spans="1:4" hidden="1" x14ac:dyDescent="0.35">
      <c r="A593" s="6" t="s">
        <v>1961</v>
      </c>
      <c r="B593" s="6" t="s">
        <v>1962</v>
      </c>
      <c r="C593" s="6" t="s">
        <v>64</v>
      </c>
      <c r="D593" s="6" t="s">
        <v>3622</v>
      </c>
    </row>
    <row r="594" spans="1:4" hidden="1" x14ac:dyDescent="0.35">
      <c r="A594" s="6" t="s">
        <v>1963</v>
      </c>
      <c r="B594" s="6" t="s">
        <v>2861</v>
      </c>
      <c r="C594" s="6" t="s">
        <v>1244</v>
      </c>
      <c r="D594" s="6" t="s">
        <v>3624</v>
      </c>
    </row>
    <row r="595" spans="1:4" hidden="1" x14ac:dyDescent="0.35">
      <c r="A595" s="6" t="s">
        <v>2862</v>
      </c>
      <c r="B595" s="6" t="s">
        <v>1964</v>
      </c>
      <c r="C595" s="6" t="s">
        <v>1244</v>
      </c>
      <c r="D595" s="6" t="s">
        <v>3623</v>
      </c>
    </row>
    <row r="596" spans="1:4" hidden="1" x14ac:dyDescent="0.35">
      <c r="A596" s="6" t="s">
        <v>2863</v>
      </c>
      <c r="B596" s="6" t="s">
        <v>2864</v>
      </c>
      <c r="C596" s="6" t="s">
        <v>45</v>
      </c>
      <c r="D596" s="6" t="s">
        <v>1084</v>
      </c>
    </row>
    <row r="597" spans="1:4" hidden="1" x14ac:dyDescent="0.35">
      <c r="A597" s="6" t="s">
        <v>1965</v>
      </c>
      <c r="B597" s="6" t="s">
        <v>1966</v>
      </c>
      <c r="C597" s="6" t="s">
        <v>1244</v>
      </c>
      <c r="D597" s="6" t="s">
        <v>3622</v>
      </c>
    </row>
    <row r="598" spans="1:4" hidden="1" x14ac:dyDescent="0.35">
      <c r="A598" s="6" t="s">
        <v>3454</v>
      </c>
      <c r="B598" s="6" t="s">
        <v>3455</v>
      </c>
      <c r="C598" s="6" t="s">
        <v>1244</v>
      </c>
      <c r="D598" s="6" t="s">
        <v>3622</v>
      </c>
    </row>
    <row r="599" spans="1:4" hidden="1" x14ac:dyDescent="0.35">
      <c r="A599" s="6" t="s">
        <v>2865</v>
      </c>
      <c r="B599" s="6" t="s">
        <v>2866</v>
      </c>
      <c r="C599" s="6" t="s">
        <v>1249</v>
      </c>
      <c r="D599" s="6" t="s">
        <v>1084</v>
      </c>
    </row>
    <row r="600" spans="1:4" hidden="1" x14ac:dyDescent="0.35">
      <c r="A600" s="6" t="s">
        <v>1967</v>
      </c>
      <c r="B600" s="6" t="s">
        <v>1406</v>
      </c>
      <c r="C600" s="6" t="s">
        <v>1244</v>
      </c>
      <c r="D600" s="6" t="s">
        <v>3624</v>
      </c>
    </row>
    <row r="601" spans="1:4" hidden="1" x14ac:dyDescent="0.35">
      <c r="A601" s="6" t="s">
        <v>2867</v>
      </c>
      <c r="B601" s="6" t="s">
        <v>3456</v>
      </c>
      <c r="C601" s="6" t="s">
        <v>45</v>
      </c>
      <c r="D601" s="6" t="s">
        <v>3623</v>
      </c>
    </row>
    <row r="602" spans="1:4" hidden="1" x14ac:dyDescent="0.35">
      <c r="A602" s="6" t="s">
        <v>1968</v>
      </c>
      <c r="B602" s="6" t="s">
        <v>1969</v>
      </c>
      <c r="C602" s="6" t="s">
        <v>1244</v>
      </c>
      <c r="D602" s="6" t="s">
        <v>3623</v>
      </c>
    </row>
    <row r="603" spans="1:4" hidden="1" x14ac:dyDescent="0.35">
      <c r="A603" s="6" t="s">
        <v>2868</v>
      </c>
      <c r="B603" s="6" t="s">
        <v>2869</v>
      </c>
      <c r="C603" s="6" t="s">
        <v>1244</v>
      </c>
      <c r="D603" s="6" t="s">
        <v>3623</v>
      </c>
    </row>
    <row r="604" spans="1:4" hidden="1" x14ac:dyDescent="0.35">
      <c r="A604" s="6" t="s">
        <v>1970</v>
      </c>
      <c r="B604" s="6" t="s">
        <v>1547</v>
      </c>
      <c r="C604" s="6" t="s">
        <v>64</v>
      </c>
      <c r="D604" s="6" t="s">
        <v>3622</v>
      </c>
    </row>
    <row r="605" spans="1:4" hidden="1" x14ac:dyDescent="0.35">
      <c r="A605" s="6" t="s">
        <v>1971</v>
      </c>
      <c r="B605" s="6" t="s">
        <v>1972</v>
      </c>
      <c r="C605" s="6" t="s">
        <v>1244</v>
      </c>
      <c r="D605" s="6" t="s">
        <v>3622</v>
      </c>
    </row>
    <row r="606" spans="1:4" hidden="1" x14ac:dyDescent="0.35">
      <c r="A606" s="6" t="s">
        <v>1973</v>
      </c>
      <c r="B606" s="6" t="s">
        <v>1974</v>
      </c>
      <c r="C606" s="6" t="s">
        <v>1242</v>
      </c>
      <c r="D606" s="6" t="s">
        <v>3622</v>
      </c>
    </row>
    <row r="607" spans="1:4" hidden="1" x14ac:dyDescent="0.35">
      <c r="A607" s="6" t="s">
        <v>2870</v>
      </c>
      <c r="B607" s="6" t="s">
        <v>2871</v>
      </c>
      <c r="C607" s="6" t="s">
        <v>1242</v>
      </c>
      <c r="D607" s="6" t="s">
        <v>3624</v>
      </c>
    </row>
    <row r="608" spans="1:4" hidden="1" x14ac:dyDescent="0.35">
      <c r="A608" s="6" t="s">
        <v>1975</v>
      </c>
      <c r="B608" s="6" t="s">
        <v>1324</v>
      </c>
      <c r="C608" s="6" t="s">
        <v>1244</v>
      </c>
      <c r="D608" s="6" t="s">
        <v>3624</v>
      </c>
    </row>
    <row r="609" spans="1:4" hidden="1" x14ac:dyDescent="0.35">
      <c r="A609" s="6" t="s">
        <v>2872</v>
      </c>
      <c r="B609" s="6" t="s">
        <v>3457</v>
      </c>
      <c r="C609" s="6" t="s">
        <v>1244</v>
      </c>
      <c r="D609" s="6" t="s">
        <v>3624</v>
      </c>
    </row>
    <row r="610" spans="1:4" hidden="1" x14ac:dyDescent="0.35">
      <c r="A610" s="6" t="s">
        <v>3458</v>
      </c>
      <c r="B610" s="6" t="s">
        <v>3459</v>
      </c>
      <c r="C610" s="6" t="s">
        <v>1248</v>
      </c>
      <c r="D610" s="6" t="s">
        <v>3623</v>
      </c>
    </row>
    <row r="611" spans="1:4" hidden="1" x14ac:dyDescent="0.35">
      <c r="A611" s="6" t="s">
        <v>2873</v>
      </c>
      <c r="B611" s="6" t="s">
        <v>3460</v>
      </c>
      <c r="C611" s="6" t="s">
        <v>1244</v>
      </c>
      <c r="D611" s="6" t="s">
        <v>1084</v>
      </c>
    </row>
    <row r="612" spans="1:4" hidden="1" x14ac:dyDescent="0.35">
      <c r="A612" s="6" t="s">
        <v>1976</v>
      </c>
      <c r="B612" s="6" t="s">
        <v>1977</v>
      </c>
      <c r="C612" s="6" t="s">
        <v>1244</v>
      </c>
      <c r="D612" s="6" t="s">
        <v>3622</v>
      </c>
    </row>
    <row r="613" spans="1:4" hidden="1" x14ac:dyDescent="0.35">
      <c r="A613" s="6" t="s">
        <v>1978</v>
      </c>
      <c r="B613" s="6" t="s">
        <v>1979</v>
      </c>
      <c r="C613" s="6" t="s">
        <v>1244</v>
      </c>
      <c r="D613" s="6" t="s">
        <v>3622</v>
      </c>
    </row>
    <row r="614" spans="1:4" hidden="1" x14ac:dyDescent="0.35">
      <c r="A614" s="6" t="s">
        <v>2874</v>
      </c>
      <c r="B614" s="6" t="s">
        <v>3461</v>
      </c>
      <c r="C614" s="6" t="s">
        <v>1244</v>
      </c>
      <c r="D614" s="6" t="s">
        <v>1084</v>
      </c>
    </row>
    <row r="615" spans="1:4" hidden="1" x14ac:dyDescent="0.35">
      <c r="A615" s="6" t="s">
        <v>1980</v>
      </c>
      <c r="B615" s="6" t="s">
        <v>1981</v>
      </c>
      <c r="C615" s="6" t="s">
        <v>1244</v>
      </c>
      <c r="D615" s="6" t="s">
        <v>3622</v>
      </c>
    </row>
    <row r="616" spans="1:4" hidden="1" x14ac:dyDescent="0.35">
      <c r="A616" s="6" t="s">
        <v>1982</v>
      </c>
      <c r="B616" s="6" t="s">
        <v>1983</v>
      </c>
      <c r="C616" s="6" t="s">
        <v>1244</v>
      </c>
      <c r="D616" s="6" t="s">
        <v>3623</v>
      </c>
    </row>
    <row r="617" spans="1:4" hidden="1" x14ac:dyDescent="0.35">
      <c r="A617" s="6" t="s">
        <v>1984</v>
      </c>
      <c r="B617" s="6" t="s">
        <v>1427</v>
      </c>
      <c r="C617" s="6" t="s">
        <v>1244</v>
      </c>
      <c r="D617" s="6" t="s">
        <v>3622</v>
      </c>
    </row>
    <row r="618" spans="1:4" hidden="1" x14ac:dyDescent="0.35">
      <c r="A618" s="6" t="s">
        <v>3462</v>
      </c>
      <c r="B618" s="6" t="s">
        <v>3463</v>
      </c>
      <c r="C618" s="6" t="s">
        <v>1248</v>
      </c>
      <c r="D618" s="6" t="s">
        <v>3623</v>
      </c>
    </row>
    <row r="619" spans="1:4" hidden="1" x14ac:dyDescent="0.35">
      <c r="A619" s="6" t="s">
        <v>1985</v>
      </c>
      <c r="B619" s="6" t="s">
        <v>1986</v>
      </c>
      <c r="C619" s="6" t="s">
        <v>64</v>
      </c>
      <c r="D619" s="6" t="s">
        <v>3622</v>
      </c>
    </row>
    <row r="620" spans="1:4" hidden="1" x14ac:dyDescent="0.35">
      <c r="A620" s="6" t="s">
        <v>1987</v>
      </c>
      <c r="B620" s="6" t="s">
        <v>1988</v>
      </c>
      <c r="C620" s="6" t="s">
        <v>1244</v>
      </c>
      <c r="D620" s="6" t="s">
        <v>3623</v>
      </c>
    </row>
    <row r="621" spans="1:4" hidden="1" x14ac:dyDescent="0.35">
      <c r="A621" s="6" t="s">
        <v>1989</v>
      </c>
      <c r="B621" s="6" t="s">
        <v>1990</v>
      </c>
      <c r="C621" s="6" t="s">
        <v>1244</v>
      </c>
      <c r="D621" s="6" t="s">
        <v>3623</v>
      </c>
    </row>
    <row r="622" spans="1:4" hidden="1" x14ac:dyDescent="0.35">
      <c r="A622" s="6" t="s">
        <v>2875</v>
      </c>
      <c r="B622" s="6" t="s">
        <v>2876</v>
      </c>
      <c r="C622" s="6" t="s">
        <v>1244</v>
      </c>
      <c r="D622" s="6" t="s">
        <v>1084</v>
      </c>
    </row>
    <row r="623" spans="1:4" hidden="1" x14ac:dyDescent="0.35">
      <c r="A623" s="6" t="s">
        <v>1991</v>
      </c>
      <c r="B623" s="6" t="s">
        <v>1326</v>
      </c>
      <c r="C623" s="6" t="s">
        <v>1244</v>
      </c>
      <c r="D623" s="6" t="s">
        <v>3622</v>
      </c>
    </row>
    <row r="624" spans="1:4" hidden="1" x14ac:dyDescent="0.35">
      <c r="A624" s="6" t="s">
        <v>1992</v>
      </c>
      <c r="B624" s="6" t="s">
        <v>1325</v>
      </c>
      <c r="C624" s="6" t="s">
        <v>1244</v>
      </c>
      <c r="D624" s="6" t="s">
        <v>3624</v>
      </c>
    </row>
    <row r="625" spans="1:4" hidden="1" x14ac:dyDescent="0.35">
      <c r="A625" s="6" t="s">
        <v>1993</v>
      </c>
      <c r="B625" s="6" t="s">
        <v>3464</v>
      </c>
      <c r="C625" s="6" t="s">
        <v>1244</v>
      </c>
      <c r="D625" s="6" t="s">
        <v>3622</v>
      </c>
    </row>
    <row r="626" spans="1:4" hidden="1" x14ac:dyDescent="0.35">
      <c r="A626" s="6" t="s">
        <v>2877</v>
      </c>
      <c r="B626" s="6" t="s">
        <v>3465</v>
      </c>
      <c r="C626" s="6" t="s">
        <v>1244</v>
      </c>
      <c r="D626" s="6" t="s">
        <v>3622</v>
      </c>
    </row>
    <row r="627" spans="1:4" hidden="1" x14ac:dyDescent="0.35">
      <c r="A627" s="6" t="s">
        <v>2878</v>
      </c>
      <c r="B627" s="6" t="s">
        <v>2879</v>
      </c>
      <c r="C627" s="6" t="s">
        <v>1244</v>
      </c>
      <c r="D627" s="6" t="s">
        <v>3622</v>
      </c>
    </row>
    <row r="628" spans="1:4" hidden="1" x14ac:dyDescent="0.35">
      <c r="A628" s="6" t="s">
        <v>1994</v>
      </c>
      <c r="B628" s="6" t="s">
        <v>1416</v>
      </c>
      <c r="C628" s="6" t="s">
        <v>1244</v>
      </c>
      <c r="D628" s="6" t="s">
        <v>3624</v>
      </c>
    </row>
    <row r="629" spans="1:4" hidden="1" x14ac:dyDescent="0.35">
      <c r="A629" s="6" t="s">
        <v>1995</v>
      </c>
      <c r="B629" s="6" t="s">
        <v>1593</v>
      </c>
      <c r="C629" s="6" t="s">
        <v>1244</v>
      </c>
      <c r="D629" s="6" t="s">
        <v>3624</v>
      </c>
    </row>
    <row r="630" spans="1:4" hidden="1" x14ac:dyDescent="0.35">
      <c r="A630" s="6" t="s">
        <v>1996</v>
      </c>
      <c r="B630" s="6" t="s">
        <v>1594</v>
      </c>
      <c r="C630" s="6" t="s">
        <v>1244</v>
      </c>
      <c r="D630" s="6" t="s">
        <v>3624</v>
      </c>
    </row>
    <row r="631" spans="1:4" hidden="1" x14ac:dyDescent="0.35">
      <c r="A631" s="6" t="s">
        <v>1997</v>
      </c>
      <c r="B631" s="6" t="s">
        <v>1631</v>
      </c>
      <c r="C631" s="6" t="s">
        <v>1244</v>
      </c>
      <c r="D631" s="6" t="s">
        <v>3624</v>
      </c>
    </row>
    <row r="632" spans="1:4" hidden="1" x14ac:dyDescent="0.35">
      <c r="A632" s="6" t="s">
        <v>1998</v>
      </c>
      <c r="B632" s="6" t="s">
        <v>1632</v>
      </c>
      <c r="C632" s="6" t="s">
        <v>1244</v>
      </c>
      <c r="D632" s="6" t="s">
        <v>3624</v>
      </c>
    </row>
    <row r="633" spans="1:4" hidden="1" x14ac:dyDescent="0.35">
      <c r="A633" s="6" t="s">
        <v>1999</v>
      </c>
      <c r="B633" s="6" t="s">
        <v>1633</v>
      </c>
      <c r="C633" s="6" t="s">
        <v>1244</v>
      </c>
      <c r="D633" s="6" t="s">
        <v>3624</v>
      </c>
    </row>
    <row r="634" spans="1:4" hidden="1" x14ac:dyDescent="0.35">
      <c r="A634" s="6" t="s">
        <v>2000</v>
      </c>
      <c r="B634" s="6" t="s">
        <v>1634</v>
      </c>
      <c r="C634" s="6" t="s">
        <v>1244</v>
      </c>
      <c r="D634" s="6" t="s">
        <v>3624</v>
      </c>
    </row>
    <row r="635" spans="1:4" hidden="1" x14ac:dyDescent="0.35">
      <c r="A635" s="6" t="s">
        <v>2001</v>
      </c>
      <c r="B635" s="6" t="s">
        <v>1635</v>
      </c>
      <c r="C635" s="6" t="s">
        <v>1244</v>
      </c>
      <c r="D635" s="6" t="s">
        <v>3624</v>
      </c>
    </row>
    <row r="636" spans="1:4" hidden="1" x14ac:dyDescent="0.35">
      <c r="A636" s="6" t="s">
        <v>2002</v>
      </c>
      <c r="B636" s="6" t="s">
        <v>1636</v>
      </c>
      <c r="C636" s="6" t="s">
        <v>1244</v>
      </c>
      <c r="D636" s="6" t="s">
        <v>3624</v>
      </c>
    </row>
    <row r="637" spans="1:4" hidden="1" x14ac:dyDescent="0.35">
      <c r="A637" s="6" t="s">
        <v>2003</v>
      </c>
      <c r="B637" s="6" t="s">
        <v>1637</v>
      </c>
      <c r="C637" s="6" t="s">
        <v>1244</v>
      </c>
      <c r="D637" s="6" t="s">
        <v>3624</v>
      </c>
    </row>
    <row r="638" spans="1:4" hidden="1" x14ac:dyDescent="0.35">
      <c r="A638" s="6" t="s">
        <v>2004</v>
      </c>
      <c r="B638" s="6" t="s">
        <v>1638</v>
      </c>
      <c r="C638" s="6" t="s">
        <v>1244</v>
      </c>
      <c r="D638" s="6" t="s">
        <v>3624</v>
      </c>
    </row>
    <row r="639" spans="1:4" hidden="1" x14ac:dyDescent="0.35">
      <c r="A639" s="6" t="s">
        <v>2005</v>
      </c>
      <c r="B639" s="6" t="s">
        <v>1619</v>
      </c>
      <c r="C639" s="6" t="s">
        <v>1244</v>
      </c>
      <c r="D639" s="6" t="s">
        <v>3624</v>
      </c>
    </row>
    <row r="640" spans="1:4" hidden="1" x14ac:dyDescent="0.35">
      <c r="A640" s="6" t="s">
        <v>2006</v>
      </c>
      <c r="B640" s="6" t="s">
        <v>1620</v>
      </c>
      <c r="C640" s="6" t="s">
        <v>1244</v>
      </c>
      <c r="D640" s="6" t="s">
        <v>3624</v>
      </c>
    </row>
    <row r="641" spans="1:4" hidden="1" x14ac:dyDescent="0.35">
      <c r="A641" s="6" t="s">
        <v>2007</v>
      </c>
      <c r="B641" s="6" t="s">
        <v>1621</v>
      </c>
      <c r="C641" s="6" t="s">
        <v>1244</v>
      </c>
      <c r="D641" s="6" t="s">
        <v>3624</v>
      </c>
    </row>
    <row r="642" spans="1:4" hidden="1" x14ac:dyDescent="0.35">
      <c r="A642" s="6" t="s">
        <v>2008</v>
      </c>
      <c r="B642" s="6" t="s">
        <v>1622</v>
      </c>
      <c r="C642" s="6" t="s">
        <v>1244</v>
      </c>
      <c r="D642" s="6" t="s">
        <v>3624</v>
      </c>
    </row>
    <row r="643" spans="1:4" hidden="1" x14ac:dyDescent="0.35">
      <c r="A643" s="6" t="s">
        <v>3466</v>
      </c>
      <c r="B643" s="6" t="s">
        <v>3467</v>
      </c>
      <c r="C643" s="6" t="s">
        <v>1244</v>
      </c>
      <c r="D643" s="6" t="s">
        <v>3624</v>
      </c>
    </row>
    <row r="644" spans="1:4" hidden="1" x14ac:dyDescent="0.35">
      <c r="A644" s="6" t="s">
        <v>3468</v>
      </c>
      <c r="B644" s="6" t="s">
        <v>3469</v>
      </c>
      <c r="C644" s="6" t="s">
        <v>1244</v>
      </c>
      <c r="D644" s="6" t="s">
        <v>3624</v>
      </c>
    </row>
    <row r="645" spans="1:4" hidden="1" x14ac:dyDescent="0.35">
      <c r="A645" s="6" t="s">
        <v>3470</v>
      </c>
      <c r="B645" s="6" t="s">
        <v>3471</v>
      </c>
      <c r="C645" s="6" t="s">
        <v>1244</v>
      </c>
      <c r="D645" s="6" t="s">
        <v>3624</v>
      </c>
    </row>
    <row r="646" spans="1:4" hidden="1" x14ac:dyDescent="0.35">
      <c r="A646" s="6" t="s">
        <v>3472</v>
      </c>
      <c r="B646" s="6" t="s">
        <v>3473</v>
      </c>
      <c r="C646" s="6" t="s">
        <v>1244</v>
      </c>
      <c r="D646" s="6" t="s">
        <v>3624</v>
      </c>
    </row>
    <row r="647" spans="1:4" hidden="1" x14ac:dyDescent="0.35">
      <c r="A647" s="6" t="s">
        <v>3474</v>
      </c>
      <c r="B647" s="6" t="s">
        <v>3475</v>
      </c>
      <c r="C647" s="6" t="s">
        <v>1244</v>
      </c>
      <c r="D647" s="6" t="s">
        <v>3624</v>
      </c>
    </row>
    <row r="648" spans="1:4" hidden="1" x14ac:dyDescent="0.35">
      <c r="A648" s="6" t="s">
        <v>2880</v>
      </c>
      <c r="B648" s="6" t="s">
        <v>2881</v>
      </c>
      <c r="C648" s="6" t="s">
        <v>1244</v>
      </c>
      <c r="D648" s="6" t="s">
        <v>3623</v>
      </c>
    </row>
    <row r="649" spans="1:4" hidden="1" x14ac:dyDescent="0.35">
      <c r="A649" s="6" t="s">
        <v>2009</v>
      </c>
      <c r="B649" s="6" t="s">
        <v>1413</v>
      </c>
      <c r="C649" s="6" t="s">
        <v>1244</v>
      </c>
      <c r="D649" s="6" t="s">
        <v>3623</v>
      </c>
    </row>
    <row r="650" spans="1:4" hidden="1" x14ac:dyDescent="0.35">
      <c r="A650" s="6" t="s">
        <v>3476</v>
      </c>
      <c r="B650" s="6" t="s">
        <v>3477</v>
      </c>
      <c r="C650" s="6" t="s">
        <v>1244</v>
      </c>
      <c r="D650" s="6" t="s">
        <v>3624</v>
      </c>
    </row>
    <row r="651" spans="1:4" hidden="1" x14ac:dyDescent="0.35">
      <c r="A651" s="6" t="s">
        <v>2010</v>
      </c>
      <c r="B651" s="6" t="s">
        <v>1466</v>
      </c>
      <c r="C651" s="6" t="s">
        <v>1248</v>
      </c>
      <c r="D651" s="6" t="s">
        <v>3623</v>
      </c>
    </row>
    <row r="652" spans="1:4" hidden="1" x14ac:dyDescent="0.35">
      <c r="A652" s="6" t="s">
        <v>2011</v>
      </c>
      <c r="B652" s="6" t="s">
        <v>1580</v>
      </c>
      <c r="C652" s="6" t="s">
        <v>1244</v>
      </c>
      <c r="D652" s="6" t="s">
        <v>3622</v>
      </c>
    </row>
    <row r="653" spans="1:4" hidden="1" x14ac:dyDescent="0.35">
      <c r="A653" s="6" t="s">
        <v>2012</v>
      </c>
      <c r="B653" s="6" t="s">
        <v>1575</v>
      </c>
      <c r="C653" s="6" t="s">
        <v>1244</v>
      </c>
      <c r="D653" s="6" t="s">
        <v>3624</v>
      </c>
    </row>
    <row r="654" spans="1:4" hidden="1" x14ac:dyDescent="0.35">
      <c r="A654" s="6" t="s">
        <v>2013</v>
      </c>
      <c r="B654" s="6" t="s">
        <v>2014</v>
      </c>
      <c r="C654" s="6" t="s">
        <v>1244</v>
      </c>
      <c r="D654" s="6" t="s">
        <v>3624</v>
      </c>
    </row>
    <row r="655" spans="1:4" hidden="1" x14ac:dyDescent="0.35">
      <c r="A655" s="6" t="s">
        <v>2882</v>
      </c>
      <c r="B655" s="6" t="s">
        <v>2883</v>
      </c>
      <c r="C655" s="6" t="s">
        <v>1242</v>
      </c>
      <c r="D655" s="6" t="s">
        <v>1084</v>
      </c>
    </row>
    <row r="656" spans="1:4" hidden="1" x14ac:dyDescent="0.35">
      <c r="A656" s="6" t="s">
        <v>2884</v>
      </c>
      <c r="B656" s="6" t="s">
        <v>2885</v>
      </c>
      <c r="C656" s="6" t="s">
        <v>1244</v>
      </c>
      <c r="D656" s="6" t="s">
        <v>3623</v>
      </c>
    </row>
    <row r="657" spans="1:4" hidden="1" x14ac:dyDescent="0.35">
      <c r="A657" s="6" t="s">
        <v>2015</v>
      </c>
      <c r="B657" s="6" t="s">
        <v>2016</v>
      </c>
      <c r="C657" s="6" t="s">
        <v>1244</v>
      </c>
      <c r="D657" s="6" t="s">
        <v>3622</v>
      </c>
    </row>
    <row r="658" spans="1:4" hidden="1" x14ac:dyDescent="0.35">
      <c r="A658" s="6" t="s">
        <v>2017</v>
      </c>
      <c r="B658" s="6" t="s">
        <v>1429</v>
      </c>
      <c r="C658" s="6" t="s">
        <v>1244</v>
      </c>
      <c r="D658" s="6" t="s">
        <v>3624</v>
      </c>
    </row>
    <row r="659" spans="1:4" hidden="1" x14ac:dyDescent="0.35">
      <c r="A659" s="6" t="s">
        <v>2886</v>
      </c>
      <c r="B659" s="6" t="s">
        <v>2552</v>
      </c>
      <c r="C659" s="6" t="s">
        <v>1244</v>
      </c>
      <c r="D659" s="6" t="s">
        <v>1084</v>
      </c>
    </row>
    <row r="660" spans="1:4" hidden="1" x14ac:dyDescent="0.35">
      <c r="A660" s="6" t="s">
        <v>2018</v>
      </c>
      <c r="B660" s="6" t="s">
        <v>1428</v>
      </c>
      <c r="C660" s="6" t="s">
        <v>1244</v>
      </c>
      <c r="D660" s="6" t="s">
        <v>3622</v>
      </c>
    </row>
    <row r="661" spans="1:4" hidden="1" x14ac:dyDescent="0.35">
      <c r="A661" s="6" t="s">
        <v>2019</v>
      </c>
      <c r="B661" s="6" t="s">
        <v>2020</v>
      </c>
      <c r="C661" s="6" t="s">
        <v>1244</v>
      </c>
      <c r="D661" s="6" t="s">
        <v>3623</v>
      </c>
    </row>
    <row r="662" spans="1:4" hidden="1" x14ac:dyDescent="0.35">
      <c r="A662" s="6" t="s">
        <v>2887</v>
      </c>
      <c r="B662" s="6" t="s">
        <v>2888</v>
      </c>
      <c r="C662" s="6" t="s">
        <v>1244</v>
      </c>
      <c r="D662" s="6" t="s">
        <v>1084</v>
      </c>
    </row>
    <row r="663" spans="1:4" hidden="1" x14ac:dyDescent="0.35">
      <c r="A663" s="6" t="s">
        <v>3478</v>
      </c>
      <c r="B663" s="6" t="s">
        <v>3479</v>
      </c>
      <c r="C663" s="6" t="s">
        <v>45</v>
      </c>
      <c r="D663" s="6" t="s">
        <v>3623</v>
      </c>
    </row>
    <row r="664" spans="1:4" hidden="1" x14ac:dyDescent="0.35">
      <c r="A664" s="6" t="s">
        <v>2021</v>
      </c>
      <c r="B664" s="6" t="s">
        <v>1409</v>
      </c>
      <c r="C664" s="6" t="s">
        <v>1244</v>
      </c>
      <c r="D664" s="6" t="s">
        <v>3623</v>
      </c>
    </row>
    <row r="665" spans="1:4" hidden="1" x14ac:dyDescent="0.35">
      <c r="A665" s="6" t="s">
        <v>2022</v>
      </c>
      <c r="B665" s="6" t="s">
        <v>2023</v>
      </c>
      <c r="C665" s="6" t="s">
        <v>1244</v>
      </c>
      <c r="D665" s="6" t="s">
        <v>3622</v>
      </c>
    </row>
    <row r="666" spans="1:4" hidden="1" x14ac:dyDescent="0.35">
      <c r="A666" s="6" t="s">
        <v>2024</v>
      </c>
      <c r="B666" s="6" t="s">
        <v>2025</v>
      </c>
      <c r="C666" s="6" t="s">
        <v>1244</v>
      </c>
      <c r="D666" s="6" t="s">
        <v>3624</v>
      </c>
    </row>
    <row r="667" spans="1:4" hidden="1" x14ac:dyDescent="0.35">
      <c r="A667" s="6" t="s">
        <v>2026</v>
      </c>
      <c r="B667" s="6" t="s">
        <v>2027</v>
      </c>
      <c r="C667" s="6" t="s">
        <v>1244</v>
      </c>
      <c r="D667" s="6" t="s">
        <v>3624</v>
      </c>
    </row>
    <row r="668" spans="1:4" hidden="1" x14ac:dyDescent="0.35">
      <c r="A668" s="6" t="s">
        <v>2889</v>
      </c>
      <c r="B668" s="6" t="s">
        <v>2890</v>
      </c>
      <c r="C668" s="6" t="s">
        <v>1242</v>
      </c>
      <c r="D668" s="6" t="s">
        <v>3622</v>
      </c>
    </row>
    <row r="669" spans="1:4" hidden="1" x14ac:dyDescent="0.35">
      <c r="A669" s="6" t="s">
        <v>2891</v>
      </c>
      <c r="B669" s="6" t="s">
        <v>2892</v>
      </c>
      <c r="C669" s="6" t="s">
        <v>1242</v>
      </c>
      <c r="D669" s="6" t="s">
        <v>3622</v>
      </c>
    </row>
    <row r="670" spans="1:4" hidden="1" x14ac:dyDescent="0.35">
      <c r="A670" s="6" t="s">
        <v>2893</v>
      </c>
      <c r="B670" s="6" t="s">
        <v>2894</v>
      </c>
      <c r="C670" s="6" t="s">
        <v>1242</v>
      </c>
      <c r="D670" s="6" t="s">
        <v>3623</v>
      </c>
    </row>
    <row r="671" spans="1:4" hidden="1" x14ac:dyDescent="0.35">
      <c r="A671" s="6" t="s">
        <v>2028</v>
      </c>
      <c r="B671" s="6" t="s">
        <v>1477</v>
      </c>
      <c r="C671" s="6" t="s">
        <v>1244</v>
      </c>
      <c r="D671" s="6" t="s">
        <v>3623</v>
      </c>
    </row>
    <row r="672" spans="1:4" hidden="1" x14ac:dyDescent="0.35">
      <c r="A672" s="6" t="s">
        <v>2029</v>
      </c>
      <c r="B672" s="6" t="s">
        <v>1564</v>
      </c>
      <c r="C672" s="6" t="s">
        <v>45</v>
      </c>
      <c r="D672" s="6" t="s">
        <v>3622</v>
      </c>
    </row>
    <row r="673" spans="1:4" hidden="1" x14ac:dyDescent="0.35">
      <c r="A673" s="6" t="s">
        <v>2030</v>
      </c>
      <c r="B673" s="6" t="s">
        <v>1603</v>
      </c>
      <c r="C673" s="6" t="s">
        <v>1244</v>
      </c>
      <c r="D673" s="6" t="s">
        <v>3622</v>
      </c>
    </row>
    <row r="674" spans="1:4" hidden="1" x14ac:dyDescent="0.35">
      <c r="A674" s="6" t="s">
        <v>2031</v>
      </c>
      <c r="B674" s="6" t="s">
        <v>1601</v>
      </c>
      <c r="C674" s="6" t="s">
        <v>1244</v>
      </c>
      <c r="D674" s="6" t="s">
        <v>3622</v>
      </c>
    </row>
    <row r="675" spans="1:4" hidden="1" x14ac:dyDescent="0.35">
      <c r="A675" s="6" t="s">
        <v>2032</v>
      </c>
      <c r="B675" s="6" t="s">
        <v>2895</v>
      </c>
      <c r="C675" s="6" t="s">
        <v>45</v>
      </c>
      <c r="D675" s="6" t="s">
        <v>3624</v>
      </c>
    </row>
    <row r="676" spans="1:4" hidden="1" x14ac:dyDescent="0.35">
      <c r="A676" s="6" t="s">
        <v>2033</v>
      </c>
      <c r="B676" s="6" t="s">
        <v>1604</v>
      </c>
      <c r="C676" s="6" t="s">
        <v>1244</v>
      </c>
      <c r="D676" s="6" t="s">
        <v>3624</v>
      </c>
    </row>
    <row r="677" spans="1:4" hidden="1" x14ac:dyDescent="0.35">
      <c r="A677" s="6" t="s">
        <v>2034</v>
      </c>
      <c r="B677" s="6" t="s">
        <v>1602</v>
      </c>
      <c r="C677" s="6" t="s">
        <v>1244</v>
      </c>
      <c r="D677" s="6" t="s">
        <v>3624</v>
      </c>
    </row>
    <row r="678" spans="1:4" hidden="1" x14ac:dyDescent="0.35">
      <c r="A678" s="6" t="s">
        <v>2035</v>
      </c>
      <c r="B678" s="6" t="s">
        <v>2036</v>
      </c>
      <c r="C678" s="6" t="s">
        <v>1242</v>
      </c>
      <c r="D678" s="6" t="s">
        <v>3622</v>
      </c>
    </row>
    <row r="679" spans="1:4" hidden="1" x14ac:dyDescent="0.35">
      <c r="A679" s="6" t="s">
        <v>2037</v>
      </c>
      <c r="B679" s="6" t="s">
        <v>2038</v>
      </c>
      <c r="C679" s="6" t="s">
        <v>1244</v>
      </c>
      <c r="D679" s="6" t="s">
        <v>3623</v>
      </c>
    </row>
    <row r="680" spans="1:4" hidden="1" x14ac:dyDescent="0.35">
      <c r="A680" s="6" t="s">
        <v>2896</v>
      </c>
      <c r="B680" s="6" t="s">
        <v>2896</v>
      </c>
      <c r="C680" s="6" t="s">
        <v>1249</v>
      </c>
      <c r="D680" s="6" t="s">
        <v>3622</v>
      </c>
    </row>
    <row r="681" spans="1:4" hidden="1" x14ac:dyDescent="0.35">
      <c r="A681" s="6" t="s">
        <v>2897</v>
      </c>
      <c r="B681" s="6" t="s">
        <v>2897</v>
      </c>
      <c r="C681" s="6" t="s">
        <v>1249</v>
      </c>
      <c r="D681" s="6" t="s">
        <v>3624</v>
      </c>
    </row>
    <row r="682" spans="1:4" hidden="1" x14ac:dyDescent="0.35">
      <c r="A682" s="6" t="s">
        <v>2039</v>
      </c>
      <c r="B682" s="6" t="s">
        <v>2040</v>
      </c>
      <c r="C682" s="6" t="s">
        <v>1249</v>
      </c>
      <c r="D682" s="6" t="s">
        <v>3622</v>
      </c>
    </row>
    <row r="683" spans="1:4" hidden="1" x14ac:dyDescent="0.35">
      <c r="A683" s="6" t="s">
        <v>2041</v>
      </c>
      <c r="B683" s="6" t="s">
        <v>2042</v>
      </c>
      <c r="C683" s="6" t="s">
        <v>1249</v>
      </c>
      <c r="D683" s="6" t="s">
        <v>3624</v>
      </c>
    </row>
    <row r="684" spans="1:4" hidden="1" x14ac:dyDescent="0.35">
      <c r="A684" s="6" t="s">
        <v>2898</v>
      </c>
      <c r="B684" s="6" t="s">
        <v>2899</v>
      </c>
      <c r="C684" s="6" t="s">
        <v>64</v>
      </c>
      <c r="D684" s="6" t="s">
        <v>1084</v>
      </c>
    </row>
    <row r="685" spans="1:4" hidden="1" x14ac:dyDescent="0.35">
      <c r="A685" s="6" t="s">
        <v>2043</v>
      </c>
      <c r="B685" s="6" t="s">
        <v>1549</v>
      </c>
      <c r="C685" s="6" t="s">
        <v>1244</v>
      </c>
      <c r="D685" s="6" t="s">
        <v>3622</v>
      </c>
    </row>
    <row r="686" spans="1:4" hidden="1" x14ac:dyDescent="0.35">
      <c r="A686" s="6" t="s">
        <v>2044</v>
      </c>
      <c r="B686" s="6" t="s">
        <v>1403</v>
      </c>
      <c r="C686" s="6" t="s">
        <v>1244</v>
      </c>
      <c r="D686" s="6" t="s">
        <v>3623</v>
      </c>
    </row>
    <row r="687" spans="1:4" hidden="1" x14ac:dyDescent="0.35">
      <c r="A687" s="6" t="s">
        <v>2045</v>
      </c>
      <c r="B687" s="6" t="s">
        <v>2046</v>
      </c>
      <c r="C687" s="6" t="s">
        <v>1244</v>
      </c>
      <c r="D687" s="6" t="s">
        <v>3622</v>
      </c>
    </row>
    <row r="688" spans="1:4" hidden="1" x14ac:dyDescent="0.35">
      <c r="A688" s="6" t="s">
        <v>2047</v>
      </c>
      <c r="B688" s="6" t="s">
        <v>2048</v>
      </c>
      <c r="C688" s="6" t="s">
        <v>1244</v>
      </c>
      <c r="D688" s="6" t="s">
        <v>3624</v>
      </c>
    </row>
    <row r="689" spans="1:4" hidden="1" x14ac:dyDescent="0.35">
      <c r="A689" s="6" t="s">
        <v>2049</v>
      </c>
      <c r="B689" s="6" t="s">
        <v>2050</v>
      </c>
      <c r="C689" s="6" t="s">
        <v>1244</v>
      </c>
      <c r="D689" s="6" t="s">
        <v>3622</v>
      </c>
    </row>
    <row r="690" spans="1:4" hidden="1" x14ac:dyDescent="0.35">
      <c r="A690" s="6" t="s">
        <v>2051</v>
      </c>
      <c r="B690" s="6" t="s">
        <v>2052</v>
      </c>
      <c r="C690" s="6" t="s">
        <v>1244</v>
      </c>
      <c r="D690" s="6" t="s">
        <v>3623</v>
      </c>
    </row>
    <row r="691" spans="1:4" hidden="1" x14ac:dyDescent="0.35">
      <c r="A691" s="6" t="s">
        <v>2900</v>
      </c>
      <c r="B691" s="6" t="s">
        <v>2901</v>
      </c>
      <c r="C691" s="6" t="s">
        <v>1244</v>
      </c>
      <c r="D691" s="6" t="s">
        <v>3624</v>
      </c>
    </row>
    <row r="692" spans="1:4" hidden="1" x14ac:dyDescent="0.35">
      <c r="A692" s="6" t="s">
        <v>2902</v>
      </c>
      <c r="B692" s="6" t="s">
        <v>2903</v>
      </c>
      <c r="C692" s="6" t="s">
        <v>1244</v>
      </c>
      <c r="D692" s="6" t="s">
        <v>3624</v>
      </c>
    </row>
    <row r="693" spans="1:4" hidden="1" x14ac:dyDescent="0.35">
      <c r="A693" s="6" t="s">
        <v>2904</v>
      </c>
      <c r="B693" s="6" t="s">
        <v>2905</v>
      </c>
      <c r="C693" s="6" t="s">
        <v>1244</v>
      </c>
      <c r="D693" s="6" t="s">
        <v>3624</v>
      </c>
    </row>
    <row r="694" spans="1:4" hidden="1" x14ac:dyDescent="0.35">
      <c r="A694" s="6" t="s">
        <v>2053</v>
      </c>
      <c r="B694" s="6" t="s">
        <v>1526</v>
      </c>
      <c r="C694" s="6" t="s">
        <v>1244</v>
      </c>
      <c r="D694" s="6" t="s">
        <v>3624</v>
      </c>
    </row>
    <row r="695" spans="1:4" hidden="1" x14ac:dyDescent="0.35">
      <c r="A695" s="6" t="s">
        <v>2054</v>
      </c>
      <c r="B695" s="6" t="s">
        <v>2055</v>
      </c>
      <c r="C695" s="6" t="s">
        <v>1244</v>
      </c>
      <c r="D695" s="6" t="s">
        <v>3622</v>
      </c>
    </row>
    <row r="696" spans="1:4" hidden="1" x14ac:dyDescent="0.35">
      <c r="A696" s="6" t="s">
        <v>2906</v>
      </c>
      <c r="B696" s="6" t="s">
        <v>2907</v>
      </c>
      <c r="C696" s="6" t="s">
        <v>64</v>
      </c>
      <c r="D696" s="6" t="s">
        <v>1084</v>
      </c>
    </row>
    <row r="697" spans="1:4" hidden="1" x14ac:dyDescent="0.35">
      <c r="A697" s="6" t="s">
        <v>2908</v>
      </c>
      <c r="B697" s="6" t="s">
        <v>2909</v>
      </c>
      <c r="C697" s="6" t="s">
        <v>64</v>
      </c>
      <c r="D697" s="6" t="s">
        <v>1084</v>
      </c>
    </row>
    <row r="698" spans="1:4" hidden="1" x14ac:dyDescent="0.35">
      <c r="A698" s="6" t="s">
        <v>2056</v>
      </c>
      <c r="B698" s="6" t="s">
        <v>1525</v>
      </c>
      <c r="C698" s="6" t="s">
        <v>1244</v>
      </c>
      <c r="D698" s="6" t="s">
        <v>3622</v>
      </c>
    </row>
    <row r="699" spans="1:4" hidden="1" x14ac:dyDescent="0.35">
      <c r="A699" s="6" t="s">
        <v>2057</v>
      </c>
      <c r="B699" s="6" t="s">
        <v>3480</v>
      </c>
      <c r="C699" s="6" t="s">
        <v>1244</v>
      </c>
      <c r="D699" s="6" t="s">
        <v>3622</v>
      </c>
    </row>
    <row r="700" spans="1:4" hidden="1" x14ac:dyDescent="0.35">
      <c r="A700" s="6" t="s">
        <v>2058</v>
      </c>
      <c r="B700" s="6" t="s">
        <v>2059</v>
      </c>
      <c r="C700" s="6" t="s">
        <v>1244</v>
      </c>
      <c r="D700" s="6" t="s">
        <v>3622</v>
      </c>
    </row>
    <row r="701" spans="1:4" hidden="1" x14ac:dyDescent="0.35">
      <c r="A701" s="6" t="s">
        <v>2910</v>
      </c>
      <c r="B701" s="6" t="s">
        <v>2911</v>
      </c>
      <c r="C701" s="6" t="s">
        <v>1249</v>
      </c>
      <c r="D701" s="6" t="s">
        <v>3622</v>
      </c>
    </row>
    <row r="702" spans="1:4" hidden="1" x14ac:dyDescent="0.35">
      <c r="A702" s="6" t="s">
        <v>2912</v>
      </c>
      <c r="B702" s="6" t="s">
        <v>3481</v>
      </c>
      <c r="C702" s="6" t="s">
        <v>1249</v>
      </c>
      <c r="D702" s="6" t="s">
        <v>3622</v>
      </c>
    </row>
    <row r="703" spans="1:4" hidden="1" x14ac:dyDescent="0.35">
      <c r="A703" s="6" t="s">
        <v>2913</v>
      </c>
      <c r="B703" s="6" t="s">
        <v>3482</v>
      </c>
      <c r="C703" s="6" t="s">
        <v>1249</v>
      </c>
      <c r="D703" s="6" t="s">
        <v>1084</v>
      </c>
    </row>
    <row r="704" spans="1:4" hidden="1" x14ac:dyDescent="0.35">
      <c r="A704" s="6" t="s">
        <v>2914</v>
      </c>
      <c r="B704" s="6" t="s">
        <v>2915</v>
      </c>
      <c r="C704" s="6" t="s">
        <v>1244</v>
      </c>
      <c r="D704" s="6" t="s">
        <v>1084</v>
      </c>
    </row>
    <row r="705" spans="1:4" hidden="1" x14ac:dyDescent="0.35">
      <c r="A705" s="6" t="s">
        <v>2060</v>
      </c>
      <c r="B705" s="6" t="s">
        <v>2061</v>
      </c>
      <c r="C705" s="6" t="s">
        <v>64</v>
      </c>
      <c r="D705" s="6" t="s">
        <v>3622</v>
      </c>
    </row>
    <row r="706" spans="1:4" hidden="1" x14ac:dyDescent="0.35">
      <c r="A706" s="6" t="s">
        <v>2916</v>
      </c>
      <c r="B706" s="6" t="s">
        <v>2917</v>
      </c>
      <c r="C706" s="6" t="s">
        <v>64</v>
      </c>
      <c r="D706" s="6" t="s">
        <v>3622</v>
      </c>
    </row>
    <row r="707" spans="1:4" hidden="1" x14ac:dyDescent="0.35">
      <c r="A707" s="6" t="s">
        <v>2918</v>
      </c>
      <c r="B707" s="6" t="s">
        <v>2919</v>
      </c>
      <c r="C707" s="6" t="s">
        <v>1244</v>
      </c>
      <c r="D707" s="6" t="s">
        <v>3624</v>
      </c>
    </row>
    <row r="708" spans="1:4" hidden="1" x14ac:dyDescent="0.35">
      <c r="A708" s="6" t="s">
        <v>2920</v>
      </c>
      <c r="B708" s="6" t="s">
        <v>2921</v>
      </c>
      <c r="C708" s="6" t="s">
        <v>64</v>
      </c>
      <c r="D708" s="6" t="s">
        <v>1084</v>
      </c>
    </row>
    <row r="709" spans="1:4" hidden="1" x14ac:dyDescent="0.35">
      <c r="A709" s="6" t="s">
        <v>2922</v>
      </c>
      <c r="B709" s="6" t="s">
        <v>2923</v>
      </c>
      <c r="C709" s="6" t="s">
        <v>1242</v>
      </c>
      <c r="D709" s="6" t="s">
        <v>1084</v>
      </c>
    </row>
    <row r="710" spans="1:4" hidden="1" x14ac:dyDescent="0.35">
      <c r="A710" s="6" t="s">
        <v>2924</v>
      </c>
      <c r="B710" s="6" t="s">
        <v>2925</v>
      </c>
      <c r="C710" s="6" t="s">
        <v>1242</v>
      </c>
      <c r="D710" s="6" t="s">
        <v>3623</v>
      </c>
    </row>
    <row r="711" spans="1:4" hidden="1" x14ac:dyDescent="0.35">
      <c r="A711" s="6" t="s">
        <v>2926</v>
      </c>
      <c r="B711" s="6" t="s">
        <v>2927</v>
      </c>
      <c r="C711" s="6" t="s">
        <v>1242</v>
      </c>
      <c r="D711" s="6" t="s">
        <v>1084</v>
      </c>
    </row>
    <row r="712" spans="1:4" hidden="1" x14ac:dyDescent="0.35">
      <c r="A712" s="6" t="s">
        <v>2062</v>
      </c>
      <c r="B712" s="6" t="s">
        <v>1444</v>
      </c>
      <c r="C712" s="6" t="s">
        <v>64</v>
      </c>
      <c r="D712" s="6" t="s">
        <v>3622</v>
      </c>
    </row>
    <row r="713" spans="1:4" hidden="1" x14ac:dyDescent="0.35">
      <c r="A713" s="6" t="s">
        <v>2063</v>
      </c>
      <c r="B713" s="6" t="s">
        <v>1445</v>
      </c>
      <c r="C713" s="6" t="s">
        <v>64</v>
      </c>
      <c r="D713" s="6" t="s">
        <v>3624</v>
      </c>
    </row>
    <row r="714" spans="1:4" hidden="1" x14ac:dyDescent="0.35">
      <c r="A714" s="6" t="s">
        <v>2928</v>
      </c>
      <c r="B714" s="6" t="s">
        <v>2929</v>
      </c>
      <c r="C714" s="6" t="s">
        <v>64</v>
      </c>
      <c r="D714" s="6" t="s">
        <v>1084</v>
      </c>
    </row>
    <row r="715" spans="1:4" hidden="1" x14ac:dyDescent="0.35">
      <c r="A715" s="6" t="s">
        <v>2064</v>
      </c>
      <c r="B715" s="6" t="s">
        <v>1501</v>
      </c>
      <c r="C715" s="6" t="s">
        <v>64</v>
      </c>
      <c r="D715" s="6" t="s">
        <v>3623</v>
      </c>
    </row>
    <row r="716" spans="1:4" hidden="1" x14ac:dyDescent="0.35">
      <c r="A716" s="6" t="s">
        <v>2930</v>
      </c>
      <c r="B716" s="6" t="s">
        <v>2931</v>
      </c>
      <c r="C716" s="6" t="s">
        <v>1244</v>
      </c>
      <c r="D716" s="6" t="s">
        <v>3623</v>
      </c>
    </row>
    <row r="717" spans="1:4" hidden="1" x14ac:dyDescent="0.35">
      <c r="A717" s="6" t="s">
        <v>2932</v>
      </c>
      <c r="B717" s="6" t="s">
        <v>3483</v>
      </c>
      <c r="C717" s="6" t="s">
        <v>1244</v>
      </c>
      <c r="D717" s="6" t="s">
        <v>1084</v>
      </c>
    </row>
    <row r="718" spans="1:4" hidden="1" x14ac:dyDescent="0.35">
      <c r="A718" s="6" t="s">
        <v>2933</v>
      </c>
      <c r="B718" s="6" t="s">
        <v>3484</v>
      </c>
      <c r="C718" s="6" t="s">
        <v>1244</v>
      </c>
      <c r="D718" s="6" t="s">
        <v>3623</v>
      </c>
    </row>
    <row r="719" spans="1:4" hidden="1" x14ac:dyDescent="0.35">
      <c r="A719" s="6" t="s">
        <v>2065</v>
      </c>
      <c r="B719" s="6" t="s">
        <v>2066</v>
      </c>
      <c r="C719" s="6" t="s">
        <v>1244</v>
      </c>
      <c r="D719" s="6" t="s">
        <v>3622</v>
      </c>
    </row>
    <row r="720" spans="1:4" hidden="1" x14ac:dyDescent="0.35">
      <c r="A720" s="6" t="s">
        <v>2067</v>
      </c>
      <c r="B720" s="6" t="s">
        <v>2068</v>
      </c>
      <c r="C720" s="6" t="s">
        <v>1244</v>
      </c>
      <c r="D720" s="6" t="s">
        <v>3624</v>
      </c>
    </row>
    <row r="721" spans="1:4" hidden="1" x14ac:dyDescent="0.35">
      <c r="A721" s="6" t="s">
        <v>2069</v>
      </c>
      <c r="B721" s="6" t="s">
        <v>1389</v>
      </c>
      <c r="C721" s="6" t="s">
        <v>1242</v>
      </c>
      <c r="D721" s="6" t="s">
        <v>3623</v>
      </c>
    </row>
    <row r="722" spans="1:4" hidden="1" x14ac:dyDescent="0.35">
      <c r="A722" s="6" t="s">
        <v>2934</v>
      </c>
      <c r="B722" s="6" t="s">
        <v>2935</v>
      </c>
      <c r="C722" s="6" t="s">
        <v>64</v>
      </c>
      <c r="D722" s="6" t="s">
        <v>1084</v>
      </c>
    </row>
    <row r="723" spans="1:4" hidden="1" x14ac:dyDescent="0.35">
      <c r="A723" s="6" t="s">
        <v>2936</v>
      </c>
      <c r="B723" s="6" t="s">
        <v>2937</v>
      </c>
      <c r="C723" s="6" t="s">
        <v>64</v>
      </c>
      <c r="D723" s="6" t="s">
        <v>1084</v>
      </c>
    </row>
    <row r="724" spans="1:4" hidden="1" x14ac:dyDescent="0.35">
      <c r="A724" s="6" t="s">
        <v>2938</v>
      </c>
      <c r="B724" s="6" t="s">
        <v>2939</v>
      </c>
      <c r="C724" s="6" t="s">
        <v>1249</v>
      </c>
      <c r="D724" s="6" t="s">
        <v>1084</v>
      </c>
    </row>
    <row r="725" spans="1:4" hidden="1" x14ac:dyDescent="0.35">
      <c r="A725" s="6" t="s">
        <v>2070</v>
      </c>
      <c r="B725" s="6" t="s">
        <v>1415</v>
      </c>
      <c r="C725" s="6" t="s">
        <v>1244</v>
      </c>
      <c r="D725" s="6" t="s">
        <v>3622</v>
      </c>
    </row>
    <row r="726" spans="1:4" hidden="1" x14ac:dyDescent="0.35">
      <c r="A726" s="6" t="s">
        <v>2071</v>
      </c>
      <c r="B726" s="6" t="s">
        <v>2072</v>
      </c>
      <c r="C726" s="6" t="s">
        <v>1244</v>
      </c>
      <c r="D726" s="6" t="s">
        <v>3623</v>
      </c>
    </row>
    <row r="727" spans="1:4" hidden="1" x14ac:dyDescent="0.35">
      <c r="A727" s="6" t="s">
        <v>2073</v>
      </c>
      <c r="B727" s="6" t="s">
        <v>1328</v>
      </c>
      <c r="C727" s="6" t="s">
        <v>1244</v>
      </c>
      <c r="D727" s="6" t="s">
        <v>3622</v>
      </c>
    </row>
    <row r="728" spans="1:4" hidden="1" x14ac:dyDescent="0.35">
      <c r="A728" s="6" t="s">
        <v>2074</v>
      </c>
      <c r="B728" s="6" t="s">
        <v>1327</v>
      </c>
      <c r="C728" s="6" t="s">
        <v>1244</v>
      </c>
      <c r="D728" s="6" t="s">
        <v>3624</v>
      </c>
    </row>
    <row r="729" spans="1:4" hidden="1" x14ac:dyDescent="0.35">
      <c r="A729" s="6" t="s">
        <v>2075</v>
      </c>
      <c r="B729" s="6" t="s">
        <v>2076</v>
      </c>
      <c r="C729" s="6" t="s">
        <v>1244</v>
      </c>
      <c r="D729" s="6" t="s">
        <v>3622</v>
      </c>
    </row>
    <row r="730" spans="1:4" hidden="1" x14ac:dyDescent="0.35">
      <c r="A730" s="6" t="s">
        <v>2077</v>
      </c>
      <c r="B730" s="6" t="s">
        <v>2078</v>
      </c>
      <c r="C730" s="6" t="s">
        <v>1244</v>
      </c>
      <c r="D730" s="6" t="s">
        <v>3623</v>
      </c>
    </row>
    <row r="731" spans="1:4" hidden="1" x14ac:dyDescent="0.35">
      <c r="A731" s="6" t="s">
        <v>2940</v>
      </c>
      <c r="B731" s="6" t="s">
        <v>2941</v>
      </c>
      <c r="C731" s="6" t="s">
        <v>64</v>
      </c>
      <c r="D731" s="6" t="s">
        <v>1084</v>
      </c>
    </row>
    <row r="732" spans="1:4" hidden="1" x14ac:dyDescent="0.35">
      <c r="A732" s="6" t="s">
        <v>2079</v>
      </c>
      <c r="B732" s="6" t="s">
        <v>2080</v>
      </c>
      <c r="C732" s="6" t="s">
        <v>1244</v>
      </c>
      <c r="D732" s="6" t="s">
        <v>3622</v>
      </c>
    </row>
    <row r="733" spans="1:4" hidden="1" x14ac:dyDescent="0.35">
      <c r="A733" s="6" t="s">
        <v>2942</v>
      </c>
      <c r="B733" s="6" t="s">
        <v>2943</v>
      </c>
      <c r="C733" s="6" t="s">
        <v>1244</v>
      </c>
      <c r="D733" s="6" t="s">
        <v>1084</v>
      </c>
    </row>
    <row r="734" spans="1:4" hidden="1" x14ac:dyDescent="0.35">
      <c r="A734" s="6" t="s">
        <v>2944</v>
      </c>
      <c r="B734" s="6" t="s">
        <v>2945</v>
      </c>
      <c r="C734" s="6" t="s">
        <v>1242</v>
      </c>
      <c r="D734" s="6" t="s">
        <v>3624</v>
      </c>
    </row>
    <row r="735" spans="1:4" hidden="1" x14ac:dyDescent="0.35">
      <c r="A735" s="6" t="s">
        <v>2081</v>
      </c>
      <c r="B735" s="6" t="s">
        <v>1474</v>
      </c>
      <c r="C735" s="6" t="s">
        <v>1244</v>
      </c>
      <c r="D735" s="6" t="s">
        <v>3623</v>
      </c>
    </row>
    <row r="736" spans="1:4" hidden="1" x14ac:dyDescent="0.35">
      <c r="A736" s="6" t="s">
        <v>2946</v>
      </c>
      <c r="B736" s="6" t="s">
        <v>2947</v>
      </c>
      <c r="C736" s="6" t="s">
        <v>1244</v>
      </c>
      <c r="D736" s="6" t="s">
        <v>3623</v>
      </c>
    </row>
    <row r="737" spans="1:4" hidden="1" x14ac:dyDescent="0.35">
      <c r="A737" s="6" t="s">
        <v>2082</v>
      </c>
      <c r="B737" s="6" t="s">
        <v>1434</v>
      </c>
      <c r="C737" s="6" t="s">
        <v>1244</v>
      </c>
      <c r="D737" s="6" t="s">
        <v>3623</v>
      </c>
    </row>
    <row r="738" spans="1:4" hidden="1" x14ac:dyDescent="0.35">
      <c r="A738" s="6" t="s">
        <v>2083</v>
      </c>
      <c r="B738" s="6" t="s">
        <v>1365</v>
      </c>
      <c r="C738" s="6" t="s">
        <v>1244</v>
      </c>
      <c r="D738" s="6" t="s">
        <v>3622</v>
      </c>
    </row>
    <row r="739" spans="1:4" hidden="1" x14ac:dyDescent="0.35">
      <c r="A739" s="6" t="s">
        <v>2084</v>
      </c>
      <c r="B739" s="6" t="s">
        <v>1366</v>
      </c>
      <c r="C739" s="6" t="s">
        <v>1244</v>
      </c>
      <c r="D739" s="6" t="s">
        <v>3624</v>
      </c>
    </row>
    <row r="740" spans="1:4" hidden="1" x14ac:dyDescent="0.35">
      <c r="A740" s="6" t="s">
        <v>2085</v>
      </c>
      <c r="B740" s="6" t="s">
        <v>2086</v>
      </c>
      <c r="C740" s="6" t="s">
        <v>1244</v>
      </c>
      <c r="D740" s="6" t="s">
        <v>3623</v>
      </c>
    </row>
    <row r="741" spans="1:4" hidden="1" x14ac:dyDescent="0.35">
      <c r="A741" s="6" t="s">
        <v>2948</v>
      </c>
      <c r="B741" s="6" t="s">
        <v>2949</v>
      </c>
      <c r="C741" s="6" t="s">
        <v>64</v>
      </c>
      <c r="D741" s="6" t="s">
        <v>1084</v>
      </c>
    </row>
    <row r="742" spans="1:4" hidden="1" x14ac:dyDescent="0.35">
      <c r="A742" s="6" t="s">
        <v>2087</v>
      </c>
      <c r="B742" s="6" t="s">
        <v>1414</v>
      </c>
      <c r="C742" s="6" t="s">
        <v>1244</v>
      </c>
      <c r="D742" s="6" t="s">
        <v>3623</v>
      </c>
    </row>
    <row r="743" spans="1:4" hidden="1" x14ac:dyDescent="0.35">
      <c r="A743" s="6" t="s">
        <v>2088</v>
      </c>
      <c r="B743" s="6" t="s">
        <v>1478</v>
      </c>
      <c r="C743" s="6" t="s">
        <v>1244</v>
      </c>
      <c r="D743" s="6" t="s">
        <v>3622</v>
      </c>
    </row>
    <row r="744" spans="1:4" hidden="1" x14ac:dyDescent="0.35">
      <c r="A744" s="6" t="s">
        <v>2089</v>
      </c>
      <c r="B744" s="6" t="s">
        <v>1479</v>
      </c>
      <c r="C744" s="6" t="s">
        <v>1244</v>
      </c>
      <c r="D744" s="6" t="s">
        <v>3624</v>
      </c>
    </row>
    <row r="745" spans="1:4" hidden="1" x14ac:dyDescent="0.35">
      <c r="A745" s="6" t="s">
        <v>2090</v>
      </c>
      <c r="B745" s="6" t="s">
        <v>2091</v>
      </c>
      <c r="C745" s="6" t="s">
        <v>64</v>
      </c>
      <c r="D745" s="6" t="s">
        <v>3622</v>
      </c>
    </row>
    <row r="746" spans="1:4" hidden="1" x14ac:dyDescent="0.35">
      <c r="A746" s="6" t="s">
        <v>2092</v>
      </c>
      <c r="B746" s="6" t="s">
        <v>1522</v>
      </c>
      <c r="C746" s="6" t="s">
        <v>64</v>
      </c>
      <c r="D746" s="6" t="s">
        <v>3622</v>
      </c>
    </row>
    <row r="747" spans="1:4" hidden="1" x14ac:dyDescent="0.35">
      <c r="A747" s="6" t="s">
        <v>2093</v>
      </c>
      <c r="B747" s="6" t="s">
        <v>1432</v>
      </c>
      <c r="C747" s="6" t="s">
        <v>64</v>
      </c>
      <c r="D747" s="6" t="s">
        <v>3624</v>
      </c>
    </row>
    <row r="748" spans="1:4" hidden="1" x14ac:dyDescent="0.35">
      <c r="A748" s="6" t="s">
        <v>2094</v>
      </c>
      <c r="B748" s="6" t="s">
        <v>2950</v>
      </c>
      <c r="C748" s="6" t="s">
        <v>1244</v>
      </c>
      <c r="D748" s="6" t="s">
        <v>1084</v>
      </c>
    </row>
    <row r="749" spans="1:4" hidden="1" x14ac:dyDescent="0.35">
      <c r="A749" s="6" t="s">
        <v>2951</v>
      </c>
      <c r="B749" s="6" t="s">
        <v>2095</v>
      </c>
      <c r="C749" s="6" t="s">
        <v>64</v>
      </c>
      <c r="D749" s="6" t="s">
        <v>3622</v>
      </c>
    </row>
    <row r="750" spans="1:4" hidden="1" x14ac:dyDescent="0.35">
      <c r="A750" s="6" t="s">
        <v>2096</v>
      </c>
      <c r="B750" s="6" t="s">
        <v>2097</v>
      </c>
      <c r="C750" s="6" t="s">
        <v>64</v>
      </c>
      <c r="D750" s="6" t="s">
        <v>3624</v>
      </c>
    </row>
    <row r="751" spans="1:4" hidden="1" x14ac:dyDescent="0.35">
      <c r="A751" s="6" t="s">
        <v>2098</v>
      </c>
      <c r="B751" s="6" t="s">
        <v>1372</v>
      </c>
      <c r="C751" s="6" t="s">
        <v>64</v>
      </c>
      <c r="D751" s="6" t="s">
        <v>3624</v>
      </c>
    </row>
    <row r="752" spans="1:4" hidden="1" x14ac:dyDescent="0.35">
      <c r="A752" s="6" t="s">
        <v>2952</v>
      </c>
      <c r="B752" s="6" t="s">
        <v>2952</v>
      </c>
      <c r="C752" s="6" t="s">
        <v>1244</v>
      </c>
      <c r="D752" s="6" t="s">
        <v>3623</v>
      </c>
    </row>
    <row r="753" spans="1:4" hidden="1" x14ac:dyDescent="0.35">
      <c r="A753" s="6" t="s">
        <v>2099</v>
      </c>
      <c r="B753" s="6" t="s">
        <v>1431</v>
      </c>
      <c r="C753" s="6" t="s">
        <v>64</v>
      </c>
      <c r="D753" s="6" t="s">
        <v>3622</v>
      </c>
    </row>
    <row r="754" spans="1:4" hidden="1" x14ac:dyDescent="0.35">
      <c r="A754" s="6" t="s">
        <v>1126</v>
      </c>
      <c r="B754" s="6" t="s">
        <v>2480</v>
      </c>
      <c r="C754" s="6" t="s">
        <v>1114</v>
      </c>
      <c r="D754" s="6" t="s">
        <v>3622</v>
      </c>
    </row>
    <row r="755" spans="1:4" hidden="1" x14ac:dyDescent="0.35">
      <c r="A755" s="6" t="s">
        <v>2481</v>
      </c>
      <c r="B755" s="6" t="s">
        <v>2482</v>
      </c>
      <c r="C755" s="6" t="s">
        <v>1114</v>
      </c>
      <c r="D755" s="6" t="s">
        <v>3622</v>
      </c>
    </row>
    <row r="756" spans="1:4" hidden="1" x14ac:dyDescent="0.35">
      <c r="A756" s="6" t="s">
        <v>1219</v>
      </c>
      <c r="B756" s="6" t="s">
        <v>2483</v>
      </c>
      <c r="C756" s="6" t="s">
        <v>1220</v>
      </c>
      <c r="D756" s="6" t="s">
        <v>3622</v>
      </c>
    </row>
    <row r="757" spans="1:4" hidden="1" x14ac:dyDescent="0.35">
      <c r="A757" s="6" t="s">
        <v>1193</v>
      </c>
      <c r="B757" s="6" t="s">
        <v>1194</v>
      </c>
      <c r="C757" s="6" t="s">
        <v>1195</v>
      </c>
      <c r="D757" s="6" t="s">
        <v>3622</v>
      </c>
    </row>
    <row r="758" spans="1:4" hidden="1" x14ac:dyDescent="0.35">
      <c r="A758" s="6" t="s">
        <v>1122</v>
      </c>
      <c r="B758" s="6" t="s">
        <v>2484</v>
      </c>
      <c r="C758" s="6" t="s">
        <v>1114</v>
      </c>
      <c r="D758" s="6" t="s">
        <v>3622</v>
      </c>
    </row>
    <row r="759" spans="1:4" hidden="1" x14ac:dyDescent="0.35">
      <c r="A759" s="6" t="s">
        <v>1113</v>
      </c>
      <c r="B759" s="6" t="s">
        <v>2485</v>
      </c>
      <c r="C759" s="6" t="s">
        <v>1114</v>
      </c>
      <c r="D759" s="6" t="s">
        <v>3622</v>
      </c>
    </row>
    <row r="760" spans="1:4" hidden="1" x14ac:dyDescent="0.35">
      <c r="A760" s="6" t="s">
        <v>1187</v>
      </c>
      <c r="B760" s="6" t="s">
        <v>1188</v>
      </c>
      <c r="C760" s="6" t="s">
        <v>1189</v>
      </c>
      <c r="D760" s="6" t="s">
        <v>3622</v>
      </c>
    </row>
    <row r="761" spans="1:4" hidden="1" x14ac:dyDescent="0.35">
      <c r="A761" s="6" t="s">
        <v>1203</v>
      </c>
      <c r="B761" s="6" t="s">
        <v>2486</v>
      </c>
      <c r="C761" s="6" t="s">
        <v>1204</v>
      </c>
      <c r="D761" s="6" t="s">
        <v>3622</v>
      </c>
    </row>
    <row r="762" spans="1:4" hidden="1" x14ac:dyDescent="0.35">
      <c r="A762" s="6" t="s">
        <v>2487</v>
      </c>
      <c r="B762" s="6" t="s">
        <v>2488</v>
      </c>
      <c r="C762" s="6" t="s">
        <v>80</v>
      </c>
      <c r="D762" s="6" t="s">
        <v>3622</v>
      </c>
    </row>
    <row r="763" spans="1:4" hidden="1" x14ac:dyDescent="0.35">
      <c r="A763" s="6" t="s">
        <v>1162</v>
      </c>
      <c r="B763" s="6" t="s">
        <v>1163</v>
      </c>
      <c r="C763" s="6" t="s">
        <v>1164</v>
      </c>
      <c r="D763" s="6" t="s">
        <v>3622</v>
      </c>
    </row>
    <row r="764" spans="1:4" hidden="1" x14ac:dyDescent="0.35">
      <c r="A764" s="6" t="s">
        <v>1121</v>
      </c>
      <c r="B764" s="6" t="s">
        <v>2953</v>
      </c>
      <c r="C764" s="6" t="s">
        <v>1114</v>
      </c>
      <c r="D764" s="6" t="s">
        <v>3622</v>
      </c>
    </row>
    <row r="765" spans="1:4" hidden="1" x14ac:dyDescent="0.35">
      <c r="A765" s="6" t="s">
        <v>2489</v>
      </c>
      <c r="B765" s="6" t="s">
        <v>2490</v>
      </c>
      <c r="C765" s="6" t="s">
        <v>80</v>
      </c>
      <c r="D765" s="6" t="s">
        <v>3622</v>
      </c>
    </row>
    <row r="766" spans="1:4" hidden="1" x14ac:dyDescent="0.35">
      <c r="A766" s="6" t="s">
        <v>1120</v>
      </c>
      <c r="B766" s="6" t="s">
        <v>2491</v>
      </c>
      <c r="C766" s="6" t="s">
        <v>1114</v>
      </c>
      <c r="D766" s="6" t="s">
        <v>3622</v>
      </c>
    </row>
    <row r="767" spans="1:4" hidden="1" x14ac:dyDescent="0.35">
      <c r="A767" s="6" t="s">
        <v>1205</v>
      </c>
      <c r="B767" s="6" t="s">
        <v>2492</v>
      </c>
      <c r="C767" s="6" t="s">
        <v>1206</v>
      </c>
      <c r="D767" s="6" t="s">
        <v>3622</v>
      </c>
    </row>
    <row r="768" spans="1:4" hidden="1" x14ac:dyDescent="0.35">
      <c r="A768" s="6" t="s">
        <v>1146</v>
      </c>
      <c r="B768" s="6" t="s">
        <v>2493</v>
      </c>
      <c r="C768" s="6" t="s">
        <v>1114</v>
      </c>
      <c r="D768" s="6" t="s">
        <v>3622</v>
      </c>
    </row>
    <row r="769" spans="1:4" hidden="1" x14ac:dyDescent="0.35">
      <c r="A769" s="6" t="s">
        <v>1207</v>
      </c>
      <c r="B769" s="6" t="s">
        <v>3805</v>
      </c>
      <c r="C769" s="6" t="s">
        <v>1208</v>
      </c>
      <c r="D769" s="6" t="s">
        <v>3622</v>
      </c>
    </row>
    <row r="770" spans="1:4" hidden="1" x14ac:dyDescent="0.35">
      <c r="A770" s="6" t="s">
        <v>1176</v>
      </c>
      <c r="B770" s="6" t="s">
        <v>1177</v>
      </c>
      <c r="C770" s="6" t="s">
        <v>1175</v>
      </c>
      <c r="D770" s="6" t="s">
        <v>3622</v>
      </c>
    </row>
    <row r="771" spans="1:4" hidden="1" x14ac:dyDescent="0.35">
      <c r="A771" s="6" t="s">
        <v>1173</v>
      </c>
      <c r="B771" s="6" t="s">
        <v>1174</v>
      </c>
      <c r="C771" s="6" t="s">
        <v>1175</v>
      </c>
      <c r="D771" s="6" t="s">
        <v>3622</v>
      </c>
    </row>
    <row r="772" spans="1:4" hidden="1" x14ac:dyDescent="0.35">
      <c r="A772" s="6" t="s">
        <v>3485</v>
      </c>
      <c r="B772" s="6" t="s">
        <v>3486</v>
      </c>
      <c r="C772" s="6" t="s">
        <v>1305</v>
      </c>
      <c r="D772" s="6" t="s">
        <v>3622</v>
      </c>
    </row>
    <row r="773" spans="1:4" hidden="1" x14ac:dyDescent="0.35">
      <c r="A773" s="6" t="s">
        <v>1127</v>
      </c>
      <c r="B773" s="6" t="s">
        <v>2494</v>
      </c>
      <c r="C773" s="6" t="s">
        <v>1114</v>
      </c>
      <c r="D773" s="6" t="s">
        <v>3622</v>
      </c>
    </row>
    <row r="774" spans="1:4" hidden="1" x14ac:dyDescent="0.35">
      <c r="A774" s="6" t="s">
        <v>1223</v>
      </c>
      <c r="B774" s="6" t="s">
        <v>2495</v>
      </c>
      <c r="C774" s="6" t="s">
        <v>1224</v>
      </c>
      <c r="D774" s="6" t="s">
        <v>3622</v>
      </c>
    </row>
    <row r="775" spans="1:4" hidden="1" x14ac:dyDescent="0.35">
      <c r="A775" s="6" t="s">
        <v>1128</v>
      </c>
      <c r="B775" s="6" t="s">
        <v>2496</v>
      </c>
      <c r="C775" s="6" t="s">
        <v>1114</v>
      </c>
      <c r="D775" s="6" t="s">
        <v>3622</v>
      </c>
    </row>
    <row r="776" spans="1:4" hidden="1" x14ac:dyDescent="0.35">
      <c r="A776" s="6" t="s">
        <v>1209</v>
      </c>
      <c r="B776" s="6" t="s">
        <v>2497</v>
      </c>
      <c r="C776" s="6" t="s">
        <v>1210</v>
      </c>
      <c r="D776" s="6" t="s">
        <v>3622</v>
      </c>
    </row>
    <row r="777" spans="1:4" hidden="1" x14ac:dyDescent="0.35">
      <c r="A777" s="6" t="s">
        <v>1213</v>
      </c>
      <c r="B777" s="6" t="s">
        <v>2498</v>
      </c>
      <c r="C777" s="6" t="s">
        <v>1214</v>
      </c>
      <c r="D777" s="6" t="s">
        <v>3622</v>
      </c>
    </row>
    <row r="778" spans="1:4" hidden="1" x14ac:dyDescent="0.35">
      <c r="A778" s="6" t="s">
        <v>1115</v>
      </c>
      <c r="B778" s="6" t="s">
        <v>2499</v>
      </c>
      <c r="C778" s="6" t="s">
        <v>1114</v>
      </c>
      <c r="D778" s="6" t="s">
        <v>3622</v>
      </c>
    </row>
    <row r="779" spans="1:4" hidden="1" x14ac:dyDescent="0.35">
      <c r="A779" s="6" t="s">
        <v>1184</v>
      </c>
      <c r="B779" s="6" t="s">
        <v>1185</v>
      </c>
      <c r="C779" s="6" t="s">
        <v>1186</v>
      </c>
      <c r="D779" s="6" t="s">
        <v>3622</v>
      </c>
    </row>
    <row r="780" spans="1:4" hidden="1" x14ac:dyDescent="0.35">
      <c r="A780" s="6" t="s">
        <v>1181</v>
      </c>
      <c r="B780" s="6" t="s">
        <v>1182</v>
      </c>
      <c r="C780" s="6" t="s">
        <v>1183</v>
      </c>
      <c r="D780" s="6" t="s">
        <v>3622</v>
      </c>
    </row>
    <row r="781" spans="1:4" hidden="1" x14ac:dyDescent="0.35">
      <c r="A781" s="6" t="s">
        <v>1190</v>
      </c>
      <c r="B781" s="6" t="s">
        <v>1191</v>
      </c>
      <c r="C781" s="6" t="s">
        <v>1192</v>
      </c>
      <c r="D781" s="6" t="s">
        <v>3622</v>
      </c>
    </row>
    <row r="782" spans="1:4" hidden="1" x14ac:dyDescent="0.35">
      <c r="A782" s="6" t="s">
        <v>1142</v>
      </c>
      <c r="B782" s="6" t="s">
        <v>2500</v>
      </c>
      <c r="C782" s="6" t="s">
        <v>1114</v>
      </c>
      <c r="D782" s="6" t="s">
        <v>3622</v>
      </c>
    </row>
    <row r="783" spans="1:4" hidden="1" x14ac:dyDescent="0.35">
      <c r="A783" s="6" t="s">
        <v>1136</v>
      </c>
      <c r="B783" s="6" t="s">
        <v>1137</v>
      </c>
      <c r="C783" s="6" t="s">
        <v>2501</v>
      </c>
      <c r="D783" s="6" t="s">
        <v>3622</v>
      </c>
    </row>
    <row r="784" spans="1:4" hidden="1" x14ac:dyDescent="0.35">
      <c r="A784" s="6" t="s">
        <v>1132</v>
      </c>
      <c r="B784" s="6" t="s">
        <v>1133</v>
      </c>
      <c r="C784" s="6" t="s">
        <v>2501</v>
      </c>
      <c r="D784" s="6" t="s">
        <v>3622</v>
      </c>
    </row>
    <row r="785" spans="1:4" hidden="1" x14ac:dyDescent="0.35">
      <c r="A785" s="6" t="s">
        <v>1138</v>
      </c>
      <c r="B785" s="6" t="s">
        <v>1139</v>
      </c>
      <c r="C785" s="6" t="s">
        <v>2501</v>
      </c>
      <c r="D785" s="6" t="s">
        <v>3622</v>
      </c>
    </row>
    <row r="786" spans="1:4" hidden="1" x14ac:dyDescent="0.35">
      <c r="A786" s="6" t="s">
        <v>1134</v>
      </c>
      <c r="B786" s="6" t="s">
        <v>1135</v>
      </c>
      <c r="C786" s="6" t="s">
        <v>2501</v>
      </c>
      <c r="D786" s="6" t="s">
        <v>3622</v>
      </c>
    </row>
    <row r="787" spans="1:4" hidden="1" x14ac:dyDescent="0.35">
      <c r="A787" s="6" t="s">
        <v>1130</v>
      </c>
      <c r="B787" s="6" t="s">
        <v>1131</v>
      </c>
      <c r="C787" s="6" t="s">
        <v>2501</v>
      </c>
      <c r="D787" s="6" t="s">
        <v>3622</v>
      </c>
    </row>
    <row r="788" spans="1:4" hidden="1" x14ac:dyDescent="0.35">
      <c r="A788" s="6" t="s">
        <v>1140</v>
      </c>
      <c r="B788" s="6" t="s">
        <v>1141</v>
      </c>
      <c r="C788" s="6" t="s">
        <v>2501</v>
      </c>
      <c r="D788" s="6" t="s">
        <v>3622</v>
      </c>
    </row>
    <row r="789" spans="1:4" hidden="1" x14ac:dyDescent="0.35">
      <c r="A789" s="6" t="s">
        <v>1221</v>
      </c>
      <c r="B789" s="6" t="s">
        <v>2502</v>
      </c>
      <c r="C789" s="6" t="s">
        <v>1222</v>
      </c>
      <c r="D789" s="6" t="s">
        <v>3622</v>
      </c>
    </row>
    <row r="790" spans="1:4" hidden="1" x14ac:dyDescent="0.35">
      <c r="A790" s="6" t="s">
        <v>1116</v>
      </c>
      <c r="B790" s="6" t="s">
        <v>1117</v>
      </c>
      <c r="C790" s="6" t="s">
        <v>1118</v>
      </c>
      <c r="D790" s="6" t="s">
        <v>3622</v>
      </c>
    </row>
    <row r="791" spans="1:4" hidden="1" x14ac:dyDescent="0.35">
      <c r="A791" s="6" t="s">
        <v>1143</v>
      </c>
      <c r="B791" s="6" t="s">
        <v>1144</v>
      </c>
      <c r="C791" s="6" t="s">
        <v>1145</v>
      </c>
      <c r="D791" s="6" t="s">
        <v>3622</v>
      </c>
    </row>
    <row r="792" spans="1:4" hidden="1" x14ac:dyDescent="0.35">
      <c r="A792" s="6" t="s">
        <v>1099</v>
      </c>
      <c r="B792" s="6" t="s">
        <v>1100</v>
      </c>
      <c r="C792" s="6" t="s">
        <v>1098</v>
      </c>
      <c r="D792" s="6" t="s">
        <v>3622</v>
      </c>
    </row>
    <row r="793" spans="1:4" hidden="1" x14ac:dyDescent="0.35">
      <c r="A793" s="6" t="s">
        <v>2503</v>
      </c>
      <c r="B793" s="6" t="s">
        <v>2504</v>
      </c>
      <c r="C793" s="6" t="s">
        <v>2505</v>
      </c>
      <c r="D793" s="6" t="s">
        <v>3622</v>
      </c>
    </row>
    <row r="794" spans="1:4" hidden="1" x14ac:dyDescent="0.35">
      <c r="A794" s="6" t="s">
        <v>1217</v>
      </c>
      <c r="B794" s="6" t="s">
        <v>2506</v>
      </c>
      <c r="C794" s="6" t="s">
        <v>1218</v>
      </c>
      <c r="D794" s="6" t="s">
        <v>3622</v>
      </c>
    </row>
    <row r="795" spans="1:4" hidden="1" x14ac:dyDescent="0.35">
      <c r="A795" s="6" t="s">
        <v>1150</v>
      </c>
      <c r="B795" s="6" t="s">
        <v>2507</v>
      </c>
      <c r="C795" s="6" t="s">
        <v>1114</v>
      </c>
      <c r="D795" s="6" t="s">
        <v>3622</v>
      </c>
    </row>
    <row r="796" spans="1:4" hidden="1" x14ac:dyDescent="0.35">
      <c r="A796" s="6" t="s">
        <v>1215</v>
      </c>
      <c r="B796" s="6" t="s">
        <v>2508</v>
      </c>
      <c r="C796" s="6" t="s">
        <v>1216</v>
      </c>
      <c r="D796" s="6" t="s">
        <v>3622</v>
      </c>
    </row>
    <row r="797" spans="1:4" hidden="1" x14ac:dyDescent="0.35">
      <c r="A797" s="6" t="s">
        <v>1161</v>
      </c>
      <c r="B797" s="6" t="s">
        <v>2509</v>
      </c>
      <c r="C797" s="6" t="s">
        <v>1160</v>
      </c>
      <c r="D797" s="6" t="s">
        <v>3622</v>
      </c>
    </row>
    <row r="798" spans="1:4" hidden="1" x14ac:dyDescent="0.35">
      <c r="A798" s="6" t="s">
        <v>1158</v>
      </c>
      <c r="B798" s="6" t="s">
        <v>1159</v>
      </c>
      <c r="C798" s="6" t="s">
        <v>1160</v>
      </c>
      <c r="D798" s="6" t="s">
        <v>3622</v>
      </c>
    </row>
    <row r="799" spans="1:4" hidden="1" x14ac:dyDescent="0.35">
      <c r="A799" s="6" t="s">
        <v>1196</v>
      </c>
      <c r="B799" s="6" t="s">
        <v>1197</v>
      </c>
      <c r="C799" s="6" t="s">
        <v>1124</v>
      </c>
      <c r="D799" s="6" t="s">
        <v>3622</v>
      </c>
    </row>
    <row r="800" spans="1:4" hidden="1" x14ac:dyDescent="0.35">
      <c r="A800" s="6" t="s">
        <v>1129</v>
      </c>
      <c r="B800" s="6" t="s">
        <v>2510</v>
      </c>
      <c r="C800" s="6" t="s">
        <v>1114</v>
      </c>
      <c r="D800" s="6" t="s">
        <v>3622</v>
      </c>
    </row>
    <row r="801" spans="1:4" hidden="1" x14ac:dyDescent="0.35">
      <c r="A801" s="6" t="s">
        <v>1096</v>
      </c>
      <c r="B801" s="6" t="s">
        <v>1097</v>
      </c>
      <c r="C801" s="6" t="s">
        <v>1098</v>
      </c>
      <c r="D801" s="6" t="s">
        <v>3622</v>
      </c>
    </row>
    <row r="802" spans="1:4" hidden="1" x14ac:dyDescent="0.35">
      <c r="A802" s="6" t="s">
        <v>1094</v>
      </c>
      <c r="B802" s="6" t="s">
        <v>1095</v>
      </c>
      <c r="C802" s="6" t="s">
        <v>1085</v>
      </c>
      <c r="D802" s="6" t="s">
        <v>3622</v>
      </c>
    </row>
    <row r="803" spans="1:4" hidden="1" x14ac:dyDescent="0.35">
      <c r="A803" s="6" t="s">
        <v>1148</v>
      </c>
      <c r="B803" s="6" t="s">
        <v>1149</v>
      </c>
      <c r="C803" s="6" t="s">
        <v>1124</v>
      </c>
      <c r="D803" s="6" t="s">
        <v>3622</v>
      </c>
    </row>
    <row r="804" spans="1:4" hidden="1" x14ac:dyDescent="0.35">
      <c r="A804" s="6" t="s">
        <v>1101</v>
      </c>
      <c r="B804" s="6" t="s">
        <v>1102</v>
      </c>
      <c r="C804" s="6" t="s">
        <v>1103</v>
      </c>
      <c r="D804" s="6" t="s">
        <v>3622</v>
      </c>
    </row>
    <row r="805" spans="1:4" hidden="1" x14ac:dyDescent="0.35">
      <c r="A805" s="6" t="s">
        <v>1104</v>
      </c>
      <c r="B805" s="6" t="s">
        <v>1105</v>
      </c>
      <c r="C805" s="6" t="s">
        <v>1106</v>
      </c>
      <c r="D805" s="6" t="s">
        <v>3622</v>
      </c>
    </row>
    <row r="806" spans="1:4" hidden="1" x14ac:dyDescent="0.35">
      <c r="A806" s="6" t="s">
        <v>1107</v>
      </c>
      <c r="B806" s="6" t="s">
        <v>1108</v>
      </c>
      <c r="C806" s="6" t="s">
        <v>1109</v>
      </c>
      <c r="D806" s="6" t="s">
        <v>3622</v>
      </c>
    </row>
    <row r="807" spans="1:4" hidden="1" x14ac:dyDescent="0.35">
      <c r="A807" s="6" t="s">
        <v>1110</v>
      </c>
      <c r="B807" s="6" t="s">
        <v>1111</v>
      </c>
      <c r="C807" s="6" t="s">
        <v>1112</v>
      </c>
      <c r="D807" s="6" t="s">
        <v>3622</v>
      </c>
    </row>
    <row r="808" spans="1:4" hidden="1" x14ac:dyDescent="0.35">
      <c r="A808" s="6" t="s">
        <v>1201</v>
      </c>
      <c r="B808" s="6" t="s">
        <v>2511</v>
      </c>
      <c r="C808" s="6" t="s">
        <v>1202</v>
      </c>
      <c r="D808" s="6" t="s">
        <v>3622</v>
      </c>
    </row>
    <row r="809" spans="1:4" hidden="1" x14ac:dyDescent="0.35">
      <c r="A809" s="6" t="s">
        <v>1211</v>
      </c>
      <c r="B809" s="6" t="s">
        <v>2512</v>
      </c>
      <c r="C809" s="6" t="s">
        <v>1212</v>
      </c>
      <c r="D809" s="6" t="s">
        <v>3622</v>
      </c>
    </row>
    <row r="810" spans="1:4" hidden="1" x14ac:dyDescent="0.35">
      <c r="A810" s="6" t="s">
        <v>1147</v>
      </c>
      <c r="B810" s="6" t="s">
        <v>2513</v>
      </c>
      <c r="C810" s="6" t="s">
        <v>1114</v>
      </c>
      <c r="D810" s="6" t="s">
        <v>3622</v>
      </c>
    </row>
    <row r="811" spans="1:4" hidden="1" x14ac:dyDescent="0.35">
      <c r="A811" s="6" t="s">
        <v>1125</v>
      </c>
      <c r="B811" s="6" t="s">
        <v>2514</v>
      </c>
      <c r="C811" s="6" t="s">
        <v>1114</v>
      </c>
      <c r="D811" s="6" t="s">
        <v>3622</v>
      </c>
    </row>
    <row r="812" spans="1:4" hidden="1" x14ac:dyDescent="0.35">
      <c r="A812" s="6" t="s">
        <v>1179</v>
      </c>
      <c r="B812" s="6" t="s">
        <v>2954</v>
      </c>
      <c r="C812" s="6" t="s">
        <v>1180</v>
      </c>
      <c r="D812" s="6" t="s">
        <v>3622</v>
      </c>
    </row>
    <row r="813" spans="1:4" hidden="1" x14ac:dyDescent="0.35">
      <c r="A813" s="6" t="s">
        <v>2515</v>
      </c>
      <c r="B813" s="6" t="s">
        <v>2516</v>
      </c>
      <c r="C813" s="6" t="s">
        <v>1180</v>
      </c>
      <c r="D813" s="6" t="s">
        <v>3622</v>
      </c>
    </row>
    <row r="814" spans="1:4" hidden="1" x14ac:dyDescent="0.35">
      <c r="A814" s="6" t="s">
        <v>1151</v>
      </c>
      <c r="B814" s="6" t="s">
        <v>2517</v>
      </c>
      <c r="C814" s="6" t="s">
        <v>1114</v>
      </c>
      <c r="D814" s="6" t="s">
        <v>3622</v>
      </c>
    </row>
    <row r="815" spans="1:4" hidden="1" x14ac:dyDescent="0.35">
      <c r="A815" s="6" t="s">
        <v>1119</v>
      </c>
      <c r="B815" s="6" t="s">
        <v>2518</v>
      </c>
      <c r="C815" s="6" t="s">
        <v>1114</v>
      </c>
      <c r="D815" s="6" t="s">
        <v>3622</v>
      </c>
    </row>
    <row r="816" spans="1:4" hidden="1" x14ac:dyDescent="0.35">
      <c r="A816" s="6" t="s">
        <v>1123</v>
      </c>
      <c r="B816" s="6" t="s">
        <v>2519</v>
      </c>
      <c r="C816" s="6" t="s">
        <v>1124</v>
      </c>
      <c r="D816" s="6" t="s">
        <v>3622</v>
      </c>
    </row>
    <row r="817" spans="1:4" hidden="1" x14ac:dyDescent="0.35">
      <c r="A817" s="6" t="s">
        <v>1171</v>
      </c>
      <c r="B817" s="6" t="s">
        <v>1172</v>
      </c>
      <c r="C817" s="6" t="s">
        <v>1170</v>
      </c>
      <c r="D817" s="6" t="s">
        <v>3622</v>
      </c>
    </row>
    <row r="818" spans="1:4" hidden="1" x14ac:dyDescent="0.35">
      <c r="A818" s="6" t="s">
        <v>1168</v>
      </c>
      <c r="B818" s="6" t="s">
        <v>1169</v>
      </c>
      <c r="C818" s="6" t="s">
        <v>1170</v>
      </c>
      <c r="D818" s="6" t="s">
        <v>3622</v>
      </c>
    </row>
    <row r="819" spans="1:4" hidden="1" x14ac:dyDescent="0.35">
      <c r="A819" s="6" t="s">
        <v>1165</v>
      </c>
      <c r="B819" s="6" t="s">
        <v>1166</v>
      </c>
      <c r="C819" s="6" t="s">
        <v>1167</v>
      </c>
      <c r="D819" s="6" t="s">
        <v>3622</v>
      </c>
    </row>
    <row r="820" spans="1:4" hidden="1" x14ac:dyDescent="0.35">
      <c r="A820" s="6" t="s">
        <v>1178</v>
      </c>
      <c r="B820" s="6" t="s">
        <v>2520</v>
      </c>
      <c r="C820" s="6" t="s">
        <v>1170</v>
      </c>
      <c r="D820" s="6" t="s">
        <v>3622</v>
      </c>
    </row>
    <row r="821" spans="1:4" hidden="1" x14ac:dyDescent="0.35">
      <c r="A821" s="6" t="s">
        <v>2100</v>
      </c>
      <c r="B821" s="6" t="s">
        <v>1272</v>
      </c>
      <c r="C821" s="6" t="s">
        <v>1244</v>
      </c>
      <c r="D821" s="6" t="s">
        <v>3624</v>
      </c>
    </row>
    <row r="822" spans="1:4" hidden="1" x14ac:dyDescent="0.35">
      <c r="A822" s="6" t="s">
        <v>2955</v>
      </c>
      <c r="B822" s="6" t="s">
        <v>2956</v>
      </c>
      <c r="C822" s="6" t="s">
        <v>64</v>
      </c>
      <c r="D822" s="6" t="s">
        <v>1084</v>
      </c>
    </row>
    <row r="823" spans="1:4" hidden="1" x14ac:dyDescent="0.35">
      <c r="A823" s="6" t="s">
        <v>2101</v>
      </c>
      <c r="B823" s="6" t="s">
        <v>1441</v>
      </c>
      <c r="C823" s="6" t="s">
        <v>64</v>
      </c>
      <c r="D823" s="6" t="s">
        <v>3624</v>
      </c>
    </row>
    <row r="824" spans="1:4" hidden="1" x14ac:dyDescent="0.35">
      <c r="A824" s="6" t="s">
        <v>2102</v>
      </c>
      <c r="B824" s="6" t="s">
        <v>2103</v>
      </c>
      <c r="C824" s="6" t="s">
        <v>1244</v>
      </c>
      <c r="D824" s="6" t="s">
        <v>3624</v>
      </c>
    </row>
    <row r="825" spans="1:4" hidden="1" x14ac:dyDescent="0.35">
      <c r="A825" s="6" t="s">
        <v>2957</v>
      </c>
      <c r="B825" s="6" t="s">
        <v>2958</v>
      </c>
      <c r="C825" s="6" t="s">
        <v>64</v>
      </c>
      <c r="D825" s="6" t="s">
        <v>1084</v>
      </c>
    </row>
    <row r="826" spans="1:4" hidden="1" x14ac:dyDescent="0.35">
      <c r="A826" s="6" t="s">
        <v>2104</v>
      </c>
      <c r="B826" s="6" t="s">
        <v>2105</v>
      </c>
      <c r="C826" s="6" t="s">
        <v>1244</v>
      </c>
      <c r="D826" s="6" t="s">
        <v>3622</v>
      </c>
    </row>
    <row r="827" spans="1:4" hidden="1" x14ac:dyDescent="0.35">
      <c r="A827" s="6" t="s">
        <v>3487</v>
      </c>
      <c r="B827" s="6" t="s">
        <v>3488</v>
      </c>
      <c r="C827" s="6" t="s">
        <v>64</v>
      </c>
      <c r="D827" s="6" t="s">
        <v>3622</v>
      </c>
    </row>
    <row r="828" spans="1:4" hidden="1" x14ac:dyDescent="0.35">
      <c r="A828" s="6" t="s">
        <v>2106</v>
      </c>
      <c r="B828" s="6" t="s">
        <v>1473</v>
      </c>
      <c r="C828" s="6" t="s">
        <v>64</v>
      </c>
      <c r="D828" s="6" t="s">
        <v>3622</v>
      </c>
    </row>
    <row r="829" spans="1:4" hidden="1" x14ac:dyDescent="0.35">
      <c r="A829" s="6" t="s">
        <v>3489</v>
      </c>
      <c r="B829" s="6" t="s">
        <v>3490</v>
      </c>
      <c r="C829" s="6" t="s">
        <v>64</v>
      </c>
      <c r="D829" s="6" t="s">
        <v>3624</v>
      </c>
    </row>
    <row r="830" spans="1:4" hidden="1" x14ac:dyDescent="0.35">
      <c r="A830" s="6" t="s">
        <v>2107</v>
      </c>
      <c r="B830" s="6" t="s">
        <v>2108</v>
      </c>
      <c r="C830" s="6" t="s">
        <v>64</v>
      </c>
      <c r="D830" s="6" t="s">
        <v>3622</v>
      </c>
    </row>
    <row r="831" spans="1:4" hidden="1" x14ac:dyDescent="0.35">
      <c r="A831" s="6" t="s">
        <v>2109</v>
      </c>
      <c r="B831" s="6" t="s">
        <v>2110</v>
      </c>
      <c r="C831" s="6" t="s">
        <v>64</v>
      </c>
      <c r="D831" s="6" t="s">
        <v>3622</v>
      </c>
    </row>
    <row r="832" spans="1:4" hidden="1" x14ac:dyDescent="0.35">
      <c r="A832" s="6" t="s">
        <v>2111</v>
      </c>
      <c r="B832" s="6" t="s">
        <v>2112</v>
      </c>
      <c r="C832" s="6" t="s">
        <v>64</v>
      </c>
      <c r="D832" s="6" t="s">
        <v>3622</v>
      </c>
    </row>
    <row r="833" spans="1:4" hidden="1" x14ac:dyDescent="0.35">
      <c r="A833" s="6" t="s">
        <v>2113</v>
      </c>
      <c r="B833" s="6" t="s">
        <v>1614</v>
      </c>
      <c r="C833" s="6" t="s">
        <v>1244</v>
      </c>
      <c r="D833" s="6" t="s">
        <v>3622</v>
      </c>
    </row>
    <row r="834" spans="1:4" hidden="1" x14ac:dyDescent="0.35">
      <c r="A834" s="6" t="s">
        <v>2114</v>
      </c>
      <c r="B834" s="6" t="s">
        <v>1613</v>
      </c>
      <c r="C834" s="6" t="s">
        <v>1244</v>
      </c>
      <c r="D834" s="6" t="s">
        <v>3622</v>
      </c>
    </row>
    <row r="835" spans="1:4" x14ac:dyDescent="0.35">
      <c r="A835" s="6" t="s">
        <v>2115</v>
      </c>
      <c r="B835" s="6" t="s">
        <v>2116</v>
      </c>
      <c r="C835" s="6" t="s">
        <v>64</v>
      </c>
      <c r="D835" s="6" t="s">
        <v>3624</v>
      </c>
    </row>
    <row r="836" spans="1:4" hidden="1" x14ac:dyDescent="0.35">
      <c r="A836" s="6" t="s">
        <v>2117</v>
      </c>
      <c r="B836" s="6" t="s">
        <v>1612</v>
      </c>
      <c r="C836" s="6" t="s">
        <v>1244</v>
      </c>
      <c r="D836" s="6" t="s">
        <v>3624</v>
      </c>
    </row>
    <row r="837" spans="1:4" hidden="1" x14ac:dyDescent="0.35">
      <c r="A837" s="6" t="s">
        <v>2118</v>
      </c>
      <c r="B837" s="6" t="s">
        <v>1611</v>
      </c>
      <c r="C837" s="6" t="s">
        <v>1244</v>
      </c>
      <c r="D837" s="6" t="s">
        <v>3624</v>
      </c>
    </row>
    <row r="838" spans="1:4" hidden="1" x14ac:dyDescent="0.35">
      <c r="A838" s="6" t="s">
        <v>2119</v>
      </c>
      <c r="B838" s="6" t="s">
        <v>2120</v>
      </c>
      <c r="C838" s="6" t="s">
        <v>64</v>
      </c>
      <c r="D838" s="6" t="s">
        <v>3622</v>
      </c>
    </row>
    <row r="839" spans="1:4" hidden="1" x14ac:dyDescent="0.35">
      <c r="A839" s="6" t="s">
        <v>2121</v>
      </c>
      <c r="B839" s="6" t="s">
        <v>1447</v>
      </c>
      <c r="C839" s="6" t="s">
        <v>1244</v>
      </c>
      <c r="D839" s="6" t="s">
        <v>3624</v>
      </c>
    </row>
    <row r="840" spans="1:4" hidden="1" x14ac:dyDescent="0.35">
      <c r="A840" s="6" t="s">
        <v>3491</v>
      </c>
      <c r="B840" s="6" t="s">
        <v>3492</v>
      </c>
      <c r="C840" s="6" t="s">
        <v>64</v>
      </c>
      <c r="D840" s="6" t="s">
        <v>3624</v>
      </c>
    </row>
    <row r="841" spans="1:4" hidden="1" x14ac:dyDescent="0.35">
      <c r="A841" s="6" t="s">
        <v>2122</v>
      </c>
      <c r="B841" s="6" t="s">
        <v>2123</v>
      </c>
      <c r="C841" s="6" t="s">
        <v>64</v>
      </c>
      <c r="D841" s="6" t="s">
        <v>3624</v>
      </c>
    </row>
    <row r="842" spans="1:4" hidden="1" x14ac:dyDescent="0.35">
      <c r="A842" s="6" t="s">
        <v>2124</v>
      </c>
      <c r="B842" s="6" t="s">
        <v>1596</v>
      </c>
      <c r="C842" s="6" t="s">
        <v>1244</v>
      </c>
      <c r="D842" s="6" t="s">
        <v>3624</v>
      </c>
    </row>
    <row r="843" spans="1:4" hidden="1" x14ac:dyDescent="0.35">
      <c r="A843" s="6" t="s">
        <v>2125</v>
      </c>
      <c r="B843" s="6" t="s">
        <v>1446</v>
      </c>
      <c r="C843" s="6" t="s">
        <v>1244</v>
      </c>
      <c r="D843" s="6" t="s">
        <v>3622</v>
      </c>
    </row>
    <row r="844" spans="1:4" hidden="1" x14ac:dyDescent="0.35">
      <c r="A844" s="6" t="s">
        <v>2126</v>
      </c>
      <c r="B844" s="6" t="s">
        <v>2127</v>
      </c>
      <c r="C844" s="6" t="s">
        <v>1244</v>
      </c>
      <c r="D844" s="6" t="s">
        <v>3623</v>
      </c>
    </row>
    <row r="845" spans="1:4" hidden="1" x14ac:dyDescent="0.35">
      <c r="A845" s="6" t="s">
        <v>2128</v>
      </c>
      <c r="B845" s="6" t="s">
        <v>2129</v>
      </c>
      <c r="C845" s="6" t="s">
        <v>1244</v>
      </c>
      <c r="D845" s="6" t="s">
        <v>3623</v>
      </c>
    </row>
    <row r="846" spans="1:4" hidden="1" x14ac:dyDescent="0.35">
      <c r="A846" s="6" t="s">
        <v>2959</v>
      </c>
      <c r="B846" s="6" t="s">
        <v>2960</v>
      </c>
      <c r="C846" s="6" t="s">
        <v>1244</v>
      </c>
      <c r="D846" s="6" t="s">
        <v>1084</v>
      </c>
    </row>
    <row r="847" spans="1:4" hidden="1" x14ac:dyDescent="0.35">
      <c r="A847" s="6" t="s">
        <v>2130</v>
      </c>
      <c r="B847" s="6" t="s">
        <v>1339</v>
      </c>
      <c r="C847" s="6" t="s">
        <v>1244</v>
      </c>
      <c r="D847" s="6" t="s">
        <v>3623</v>
      </c>
    </row>
    <row r="848" spans="1:4" hidden="1" x14ac:dyDescent="0.35">
      <c r="A848" s="6" t="s">
        <v>2131</v>
      </c>
      <c r="B848" s="6" t="s">
        <v>1340</v>
      </c>
      <c r="C848" s="6" t="s">
        <v>1244</v>
      </c>
      <c r="D848" s="6" t="s">
        <v>3623</v>
      </c>
    </row>
    <row r="849" spans="1:4" hidden="1" x14ac:dyDescent="0.35">
      <c r="A849" s="6" t="s">
        <v>2132</v>
      </c>
      <c r="B849" s="6" t="s">
        <v>1341</v>
      </c>
      <c r="C849" s="6" t="s">
        <v>1244</v>
      </c>
      <c r="D849" s="6" t="s">
        <v>3623</v>
      </c>
    </row>
    <row r="850" spans="1:4" hidden="1" x14ac:dyDescent="0.35">
      <c r="A850" s="6" t="s">
        <v>2133</v>
      </c>
      <c r="B850" s="6" t="s">
        <v>1342</v>
      </c>
      <c r="C850" s="6" t="s">
        <v>1244</v>
      </c>
      <c r="D850" s="6" t="s">
        <v>3623</v>
      </c>
    </row>
    <row r="851" spans="1:4" hidden="1" x14ac:dyDescent="0.35">
      <c r="A851" s="6" t="s">
        <v>2134</v>
      </c>
      <c r="B851" s="6" t="s">
        <v>1343</v>
      </c>
      <c r="C851" s="6" t="s">
        <v>1244</v>
      </c>
      <c r="D851" s="6" t="s">
        <v>3623</v>
      </c>
    </row>
    <row r="852" spans="1:4" hidden="1" x14ac:dyDescent="0.35">
      <c r="A852" s="6" t="s">
        <v>2135</v>
      </c>
      <c r="B852" s="6" t="s">
        <v>1344</v>
      </c>
      <c r="C852" s="6" t="s">
        <v>1244</v>
      </c>
      <c r="D852" s="6" t="s">
        <v>3623</v>
      </c>
    </row>
    <row r="853" spans="1:4" hidden="1" x14ac:dyDescent="0.35">
      <c r="A853" s="6" t="s">
        <v>2136</v>
      </c>
      <c r="B853" s="6" t="s">
        <v>1345</v>
      </c>
      <c r="C853" s="6" t="s">
        <v>1244</v>
      </c>
      <c r="D853" s="6" t="s">
        <v>3623</v>
      </c>
    </row>
    <row r="854" spans="1:4" hidden="1" x14ac:dyDescent="0.35">
      <c r="A854" s="6" t="s">
        <v>2137</v>
      </c>
      <c r="B854" s="6" t="s">
        <v>1346</v>
      </c>
      <c r="C854" s="6" t="s">
        <v>1244</v>
      </c>
      <c r="D854" s="6" t="s">
        <v>3623</v>
      </c>
    </row>
    <row r="855" spans="1:4" hidden="1" x14ac:dyDescent="0.35">
      <c r="A855" s="6" t="s">
        <v>2138</v>
      </c>
      <c r="B855" s="6" t="s">
        <v>1347</v>
      </c>
      <c r="C855" s="6" t="s">
        <v>1244</v>
      </c>
      <c r="D855" s="6" t="s">
        <v>3623</v>
      </c>
    </row>
    <row r="856" spans="1:4" hidden="1" x14ac:dyDescent="0.35">
      <c r="A856" s="6" t="s">
        <v>2139</v>
      </c>
      <c r="B856" s="6" t="s">
        <v>2140</v>
      </c>
      <c r="C856" s="6" t="s">
        <v>1244</v>
      </c>
      <c r="D856" s="6" t="s">
        <v>3623</v>
      </c>
    </row>
    <row r="857" spans="1:4" hidden="1" x14ac:dyDescent="0.35">
      <c r="A857" s="6" t="s">
        <v>2141</v>
      </c>
      <c r="B857" s="6" t="s">
        <v>1348</v>
      </c>
      <c r="C857" s="6" t="s">
        <v>1244</v>
      </c>
      <c r="D857" s="6" t="s">
        <v>3623</v>
      </c>
    </row>
    <row r="858" spans="1:4" hidden="1" x14ac:dyDescent="0.35">
      <c r="A858" s="6" t="s">
        <v>2142</v>
      </c>
      <c r="B858" s="6" t="s">
        <v>1349</v>
      </c>
      <c r="C858" s="6" t="s">
        <v>1244</v>
      </c>
      <c r="D858" s="6" t="s">
        <v>3623</v>
      </c>
    </row>
    <row r="859" spans="1:4" hidden="1" x14ac:dyDescent="0.35">
      <c r="A859" s="6" t="s">
        <v>2143</v>
      </c>
      <c r="B859" s="6" t="s">
        <v>1350</v>
      </c>
      <c r="C859" s="6" t="s">
        <v>1244</v>
      </c>
      <c r="D859" s="6" t="s">
        <v>3623</v>
      </c>
    </row>
    <row r="860" spans="1:4" hidden="1" x14ac:dyDescent="0.35">
      <c r="A860" s="6" t="s">
        <v>2144</v>
      </c>
      <c r="B860" s="6" t="s">
        <v>1351</v>
      </c>
      <c r="C860" s="6" t="s">
        <v>1244</v>
      </c>
      <c r="D860" s="6" t="s">
        <v>3623</v>
      </c>
    </row>
    <row r="861" spans="1:4" hidden="1" x14ac:dyDescent="0.35">
      <c r="A861" s="6" t="s">
        <v>2145</v>
      </c>
      <c r="B861" s="6" t="s">
        <v>1352</v>
      </c>
      <c r="C861" s="6" t="s">
        <v>1244</v>
      </c>
      <c r="D861" s="6" t="s">
        <v>3623</v>
      </c>
    </row>
    <row r="862" spans="1:4" hidden="1" x14ac:dyDescent="0.35">
      <c r="A862" s="6" t="s">
        <v>2146</v>
      </c>
      <c r="B862" s="6" t="s">
        <v>1353</v>
      </c>
      <c r="C862" s="6" t="s">
        <v>1244</v>
      </c>
      <c r="D862" s="6" t="s">
        <v>3623</v>
      </c>
    </row>
    <row r="863" spans="1:4" hidden="1" x14ac:dyDescent="0.35">
      <c r="A863" s="6" t="s">
        <v>2147</v>
      </c>
      <c r="B863" s="6" t="s">
        <v>1354</v>
      </c>
      <c r="C863" s="6" t="s">
        <v>1244</v>
      </c>
      <c r="D863" s="6" t="s">
        <v>3623</v>
      </c>
    </row>
    <row r="864" spans="1:4" hidden="1" x14ac:dyDescent="0.35">
      <c r="A864" s="6" t="s">
        <v>2148</v>
      </c>
      <c r="B864" s="6" t="s">
        <v>1355</v>
      </c>
      <c r="C864" s="6" t="s">
        <v>1244</v>
      </c>
      <c r="D864" s="6" t="s">
        <v>3623</v>
      </c>
    </row>
    <row r="865" spans="1:4" hidden="1" x14ac:dyDescent="0.35">
      <c r="A865" s="6" t="s">
        <v>2149</v>
      </c>
      <c r="B865" s="6" t="s">
        <v>1356</v>
      </c>
      <c r="C865" s="6" t="s">
        <v>1244</v>
      </c>
      <c r="D865" s="6" t="s">
        <v>3623</v>
      </c>
    </row>
    <row r="866" spans="1:4" hidden="1" x14ac:dyDescent="0.35">
      <c r="A866" s="6" t="s">
        <v>2150</v>
      </c>
      <c r="B866" s="6" t="s">
        <v>1357</v>
      </c>
      <c r="C866" s="6" t="s">
        <v>1244</v>
      </c>
      <c r="D866" s="6" t="s">
        <v>3623</v>
      </c>
    </row>
    <row r="867" spans="1:4" hidden="1" x14ac:dyDescent="0.35">
      <c r="A867" s="6" t="s">
        <v>2151</v>
      </c>
      <c r="B867" s="6" t="s">
        <v>1358</v>
      </c>
      <c r="C867" s="6" t="s">
        <v>1244</v>
      </c>
      <c r="D867" s="6" t="s">
        <v>3623</v>
      </c>
    </row>
    <row r="868" spans="1:4" hidden="1" x14ac:dyDescent="0.35">
      <c r="A868" s="6" t="s">
        <v>2152</v>
      </c>
      <c r="B868" s="6" t="s">
        <v>1359</v>
      </c>
      <c r="C868" s="6" t="s">
        <v>1244</v>
      </c>
      <c r="D868" s="6" t="s">
        <v>3623</v>
      </c>
    </row>
    <row r="869" spans="1:4" hidden="1" x14ac:dyDescent="0.35">
      <c r="A869" s="6" t="s">
        <v>2153</v>
      </c>
      <c r="B869" s="6" t="s">
        <v>1360</v>
      </c>
      <c r="C869" s="6" t="s">
        <v>1244</v>
      </c>
      <c r="D869" s="6" t="s">
        <v>3623</v>
      </c>
    </row>
    <row r="870" spans="1:4" hidden="1" x14ac:dyDescent="0.35">
      <c r="A870" s="6" t="s">
        <v>2154</v>
      </c>
      <c r="B870" s="6" t="s">
        <v>2155</v>
      </c>
      <c r="C870" s="6" t="s">
        <v>1244</v>
      </c>
      <c r="D870" s="6" t="s">
        <v>3623</v>
      </c>
    </row>
    <row r="871" spans="1:4" hidden="1" x14ac:dyDescent="0.35">
      <c r="A871" s="6" t="s">
        <v>2156</v>
      </c>
      <c r="B871" s="6" t="s">
        <v>2157</v>
      </c>
      <c r="C871" s="6" t="s">
        <v>1244</v>
      </c>
      <c r="D871" s="6" t="s">
        <v>3623</v>
      </c>
    </row>
    <row r="872" spans="1:4" hidden="1" x14ac:dyDescent="0.35">
      <c r="A872" s="6" t="s">
        <v>2158</v>
      </c>
      <c r="B872" s="6" t="s">
        <v>3493</v>
      </c>
      <c r="C872" s="6" t="s">
        <v>1244</v>
      </c>
      <c r="D872" s="6" t="s">
        <v>3624</v>
      </c>
    </row>
    <row r="873" spans="1:4" hidden="1" x14ac:dyDescent="0.35">
      <c r="A873" s="6" t="s">
        <v>2961</v>
      </c>
      <c r="B873" s="6" t="s">
        <v>3494</v>
      </c>
      <c r="C873" s="6" t="s">
        <v>1244</v>
      </c>
      <c r="D873" s="6" t="s">
        <v>3624</v>
      </c>
    </row>
    <row r="874" spans="1:4" hidden="1" x14ac:dyDescent="0.35">
      <c r="A874" s="6" t="s">
        <v>2962</v>
      </c>
      <c r="B874" s="6" t="s">
        <v>2963</v>
      </c>
      <c r="C874" s="6" t="s">
        <v>64</v>
      </c>
      <c r="D874" s="6" t="s">
        <v>3624</v>
      </c>
    </row>
    <row r="875" spans="1:4" hidden="1" x14ac:dyDescent="0.35">
      <c r="A875" s="6" t="s">
        <v>2964</v>
      </c>
      <c r="B875" s="6" t="s">
        <v>2965</v>
      </c>
      <c r="C875" s="6" t="s">
        <v>1244</v>
      </c>
      <c r="D875" s="6" t="s">
        <v>3622</v>
      </c>
    </row>
    <row r="876" spans="1:4" hidden="1" x14ac:dyDescent="0.35">
      <c r="A876" s="6" t="s">
        <v>2966</v>
      </c>
      <c r="B876" s="6" t="s">
        <v>3495</v>
      </c>
      <c r="C876" s="6" t="s">
        <v>1244</v>
      </c>
      <c r="D876" s="6" t="s">
        <v>3623</v>
      </c>
    </row>
    <row r="877" spans="1:4" hidden="1" x14ac:dyDescent="0.35">
      <c r="A877" s="6" t="s">
        <v>2967</v>
      </c>
      <c r="B877" s="6" t="s">
        <v>2968</v>
      </c>
      <c r="C877" s="6" t="s">
        <v>1244</v>
      </c>
      <c r="D877" s="6" t="s">
        <v>3623</v>
      </c>
    </row>
    <row r="878" spans="1:4" hidden="1" x14ac:dyDescent="0.35">
      <c r="A878" s="6" t="s">
        <v>2969</v>
      </c>
      <c r="B878" s="6" t="s">
        <v>2970</v>
      </c>
      <c r="C878" s="6" t="s">
        <v>1244</v>
      </c>
      <c r="D878" s="6" t="s">
        <v>3623</v>
      </c>
    </row>
    <row r="879" spans="1:4" hidden="1" x14ac:dyDescent="0.35">
      <c r="A879" s="6" t="s">
        <v>2159</v>
      </c>
      <c r="B879" s="6" t="s">
        <v>3496</v>
      </c>
      <c r="C879" s="6" t="s">
        <v>1244</v>
      </c>
      <c r="D879" s="6" t="s">
        <v>3622</v>
      </c>
    </row>
    <row r="880" spans="1:4" hidden="1" x14ac:dyDescent="0.35">
      <c r="A880" s="6" t="s">
        <v>2160</v>
      </c>
      <c r="B880" s="6" t="s">
        <v>3497</v>
      </c>
      <c r="C880" s="6" t="s">
        <v>1244</v>
      </c>
      <c r="D880" s="6" t="s">
        <v>3624</v>
      </c>
    </row>
    <row r="881" spans="1:4" hidden="1" x14ac:dyDescent="0.35">
      <c r="A881" s="6" t="s">
        <v>2971</v>
      </c>
      <c r="B881" s="6" t="s">
        <v>2972</v>
      </c>
      <c r="C881" s="6" t="s">
        <v>64</v>
      </c>
      <c r="D881" s="6" t="s">
        <v>1084</v>
      </c>
    </row>
    <row r="882" spans="1:4" hidden="1" x14ac:dyDescent="0.35">
      <c r="A882" s="6" t="s">
        <v>2973</v>
      </c>
      <c r="B882" s="6" t="s">
        <v>2974</v>
      </c>
      <c r="C882" s="6" t="s">
        <v>64</v>
      </c>
      <c r="D882" s="6" t="s">
        <v>1084</v>
      </c>
    </row>
    <row r="883" spans="1:4" hidden="1" x14ac:dyDescent="0.35">
      <c r="A883" s="6" t="s">
        <v>2975</v>
      </c>
      <c r="B883" s="6" t="s">
        <v>2976</v>
      </c>
      <c r="C883" s="6" t="s">
        <v>64</v>
      </c>
      <c r="D883" s="6" t="s">
        <v>1084</v>
      </c>
    </row>
    <row r="884" spans="1:4" hidden="1" x14ac:dyDescent="0.35">
      <c r="A884" s="6" t="s">
        <v>2161</v>
      </c>
      <c r="B884" s="6" t="s">
        <v>1521</v>
      </c>
      <c r="C884" s="6" t="s">
        <v>1244</v>
      </c>
      <c r="D884" s="6" t="s">
        <v>3623</v>
      </c>
    </row>
    <row r="885" spans="1:4" hidden="1" x14ac:dyDescent="0.35">
      <c r="A885" s="6" t="s">
        <v>2977</v>
      </c>
      <c r="B885" s="6" t="s">
        <v>2978</v>
      </c>
      <c r="C885" s="6" t="s">
        <v>1242</v>
      </c>
      <c r="D885" s="6" t="s">
        <v>1084</v>
      </c>
    </row>
    <row r="886" spans="1:4" hidden="1" x14ac:dyDescent="0.35">
      <c r="A886" s="6" t="s">
        <v>2979</v>
      </c>
      <c r="B886" s="6" t="s">
        <v>3498</v>
      </c>
      <c r="C886" s="6" t="s">
        <v>1242</v>
      </c>
      <c r="D886" s="6" t="s">
        <v>3624</v>
      </c>
    </row>
    <row r="887" spans="1:4" hidden="1" x14ac:dyDescent="0.35">
      <c r="A887" s="6" t="s">
        <v>2980</v>
      </c>
      <c r="B887" s="6" t="s">
        <v>2981</v>
      </c>
      <c r="C887" s="6" t="s">
        <v>64</v>
      </c>
      <c r="D887" s="6" t="s">
        <v>1084</v>
      </c>
    </row>
    <row r="888" spans="1:4" hidden="1" x14ac:dyDescent="0.35">
      <c r="A888" s="6" t="s">
        <v>2982</v>
      </c>
      <c r="B888" s="6" t="s">
        <v>2983</v>
      </c>
      <c r="C888" s="6" t="s">
        <v>2534</v>
      </c>
      <c r="D888" s="6" t="s">
        <v>1084</v>
      </c>
    </row>
    <row r="889" spans="1:4" hidden="1" x14ac:dyDescent="0.35">
      <c r="A889" s="6" t="s">
        <v>2984</v>
      </c>
      <c r="B889" s="6" t="s">
        <v>3499</v>
      </c>
      <c r="C889" s="6" t="s">
        <v>64</v>
      </c>
      <c r="D889" s="6" t="s">
        <v>1084</v>
      </c>
    </row>
    <row r="890" spans="1:4" hidden="1" x14ac:dyDescent="0.35">
      <c r="A890" s="6" t="s">
        <v>2162</v>
      </c>
      <c r="B890" s="6" t="s">
        <v>1533</v>
      </c>
      <c r="C890" s="6" t="s">
        <v>64</v>
      </c>
      <c r="D890" s="6" t="s">
        <v>3622</v>
      </c>
    </row>
    <row r="891" spans="1:4" hidden="1" x14ac:dyDescent="0.35">
      <c r="A891" s="6" t="s">
        <v>2163</v>
      </c>
      <c r="B891" s="6" t="s">
        <v>1532</v>
      </c>
      <c r="C891" s="6" t="s">
        <v>64</v>
      </c>
      <c r="D891" s="6" t="s">
        <v>3624</v>
      </c>
    </row>
    <row r="892" spans="1:4" hidden="1" x14ac:dyDescent="0.35">
      <c r="A892" s="6" t="s">
        <v>2164</v>
      </c>
      <c r="B892" s="6" t="s">
        <v>1483</v>
      </c>
      <c r="C892" s="6" t="s">
        <v>1244</v>
      </c>
      <c r="D892" s="6" t="s">
        <v>3622</v>
      </c>
    </row>
    <row r="893" spans="1:4" hidden="1" x14ac:dyDescent="0.35">
      <c r="A893" s="6" t="s">
        <v>2165</v>
      </c>
      <c r="B893" s="6" t="s">
        <v>1480</v>
      </c>
      <c r="C893" s="6" t="s">
        <v>1244</v>
      </c>
      <c r="D893" s="6" t="s">
        <v>3624</v>
      </c>
    </row>
    <row r="894" spans="1:4" hidden="1" x14ac:dyDescent="0.35">
      <c r="A894" s="6" t="s">
        <v>2166</v>
      </c>
      <c r="B894" s="6" t="s">
        <v>1531</v>
      </c>
      <c r="C894" s="6" t="s">
        <v>1244</v>
      </c>
      <c r="D894" s="6" t="s">
        <v>3622</v>
      </c>
    </row>
    <row r="895" spans="1:4" hidden="1" x14ac:dyDescent="0.35">
      <c r="A895" s="6" t="s">
        <v>2167</v>
      </c>
      <c r="B895" s="6" t="s">
        <v>2168</v>
      </c>
      <c r="C895" s="6" t="s">
        <v>1244</v>
      </c>
      <c r="D895" s="6" t="s">
        <v>3624</v>
      </c>
    </row>
    <row r="896" spans="1:4" hidden="1" x14ac:dyDescent="0.35">
      <c r="A896" s="6" t="s">
        <v>2985</v>
      </c>
      <c r="B896" s="6" t="s">
        <v>2986</v>
      </c>
      <c r="C896" s="6" t="s">
        <v>1244</v>
      </c>
      <c r="D896" s="6" t="s">
        <v>3623</v>
      </c>
    </row>
    <row r="897" spans="1:4" hidden="1" x14ac:dyDescent="0.35">
      <c r="A897" s="6" t="s">
        <v>2987</v>
      </c>
      <c r="B897" s="6" t="s">
        <v>2988</v>
      </c>
      <c r="C897" s="6" t="s">
        <v>1249</v>
      </c>
      <c r="D897" s="6" t="s">
        <v>3622</v>
      </c>
    </row>
    <row r="898" spans="1:4" hidden="1" x14ac:dyDescent="0.35">
      <c r="A898" s="6" t="s">
        <v>2989</v>
      </c>
      <c r="B898" s="6" t="s">
        <v>2990</v>
      </c>
      <c r="C898" s="6" t="s">
        <v>1249</v>
      </c>
      <c r="D898" s="6" t="s">
        <v>3624</v>
      </c>
    </row>
    <row r="899" spans="1:4" hidden="1" x14ac:dyDescent="0.35">
      <c r="A899" s="6" t="s">
        <v>2169</v>
      </c>
      <c r="B899" s="6" t="s">
        <v>2170</v>
      </c>
      <c r="C899" s="6" t="s">
        <v>1244</v>
      </c>
      <c r="D899" s="6" t="s">
        <v>3622</v>
      </c>
    </row>
    <row r="900" spans="1:4" hidden="1" x14ac:dyDescent="0.35">
      <c r="A900" s="6" t="s">
        <v>563</v>
      </c>
      <c r="B900" s="6" t="s">
        <v>1626</v>
      </c>
      <c r="C900" s="6" t="s">
        <v>1244</v>
      </c>
      <c r="D900" s="6" t="s">
        <v>3624</v>
      </c>
    </row>
    <row r="901" spans="1:4" hidden="1" x14ac:dyDescent="0.35">
      <c r="A901" s="6" t="s">
        <v>2171</v>
      </c>
      <c r="B901" s="6" t="s">
        <v>2172</v>
      </c>
      <c r="C901" s="6" t="s">
        <v>1244</v>
      </c>
      <c r="D901" s="6" t="s">
        <v>3623</v>
      </c>
    </row>
    <row r="902" spans="1:4" hidden="1" x14ac:dyDescent="0.35">
      <c r="A902" s="6" t="s">
        <v>2173</v>
      </c>
      <c r="B902" s="6" t="s">
        <v>1627</v>
      </c>
      <c r="C902" s="6" t="s">
        <v>1244</v>
      </c>
      <c r="D902" s="6" t="s">
        <v>3624</v>
      </c>
    </row>
    <row r="903" spans="1:4" hidden="1" x14ac:dyDescent="0.35">
      <c r="A903" s="6" t="s">
        <v>2174</v>
      </c>
      <c r="B903" s="6" t="s">
        <v>1373</v>
      </c>
      <c r="C903" s="6" t="s">
        <v>1244</v>
      </c>
      <c r="D903" s="6" t="s">
        <v>3624</v>
      </c>
    </row>
    <row r="904" spans="1:4" hidden="1" x14ac:dyDescent="0.35">
      <c r="A904" s="6" t="s">
        <v>2175</v>
      </c>
      <c r="B904" s="6" t="s">
        <v>1374</v>
      </c>
      <c r="C904" s="6" t="s">
        <v>64</v>
      </c>
      <c r="D904" s="6" t="s">
        <v>3622</v>
      </c>
    </row>
    <row r="905" spans="1:4" hidden="1" x14ac:dyDescent="0.35">
      <c r="A905" s="6" t="s">
        <v>3500</v>
      </c>
      <c r="B905" s="6" t="s">
        <v>3501</v>
      </c>
      <c r="C905" s="6" t="s">
        <v>1244</v>
      </c>
      <c r="D905" s="6" t="s">
        <v>3623</v>
      </c>
    </row>
    <row r="906" spans="1:4" hidden="1" x14ac:dyDescent="0.35">
      <c r="A906" s="6" t="s">
        <v>2176</v>
      </c>
      <c r="B906" s="6" t="s">
        <v>2177</v>
      </c>
      <c r="C906" s="6" t="s">
        <v>1244</v>
      </c>
      <c r="D906" s="6" t="s">
        <v>3622</v>
      </c>
    </row>
    <row r="907" spans="1:4" hidden="1" x14ac:dyDescent="0.35">
      <c r="A907" s="6" t="s">
        <v>2178</v>
      </c>
      <c r="B907" s="6" t="s">
        <v>2179</v>
      </c>
      <c r="C907" s="6" t="s">
        <v>1244</v>
      </c>
      <c r="D907" s="6" t="s">
        <v>3623</v>
      </c>
    </row>
    <row r="908" spans="1:4" hidden="1" x14ac:dyDescent="0.35">
      <c r="A908" s="6" t="s">
        <v>2180</v>
      </c>
      <c r="B908" s="6" t="s">
        <v>2181</v>
      </c>
      <c r="C908" s="6" t="s">
        <v>1244</v>
      </c>
      <c r="D908" s="6" t="s">
        <v>3623</v>
      </c>
    </row>
    <row r="909" spans="1:4" hidden="1" x14ac:dyDescent="0.35">
      <c r="A909" s="6" t="s">
        <v>2991</v>
      </c>
      <c r="B909" s="6" t="s">
        <v>3502</v>
      </c>
      <c r="C909" s="6" t="s">
        <v>1242</v>
      </c>
      <c r="D909" s="6" t="s">
        <v>1084</v>
      </c>
    </row>
    <row r="910" spans="1:4" hidden="1" x14ac:dyDescent="0.35">
      <c r="A910" s="6" t="s">
        <v>2992</v>
      </c>
      <c r="B910" s="6" t="s">
        <v>2993</v>
      </c>
      <c r="C910" s="6" t="s">
        <v>1249</v>
      </c>
      <c r="D910" s="6" t="s">
        <v>3623</v>
      </c>
    </row>
    <row r="911" spans="1:4" hidden="1" x14ac:dyDescent="0.35">
      <c r="A911" s="6" t="s">
        <v>2182</v>
      </c>
      <c r="B911" s="6" t="s">
        <v>1648</v>
      </c>
      <c r="C911" s="6" t="s">
        <v>1244</v>
      </c>
      <c r="D911" s="6" t="s">
        <v>3623</v>
      </c>
    </row>
    <row r="912" spans="1:4" hidden="1" x14ac:dyDescent="0.35">
      <c r="A912" s="6" t="s">
        <v>2994</v>
      </c>
      <c r="B912" s="6" t="s">
        <v>2995</v>
      </c>
      <c r="C912" s="6" t="s">
        <v>1242</v>
      </c>
      <c r="D912" s="6" t="s">
        <v>1084</v>
      </c>
    </row>
    <row r="913" spans="1:4" hidden="1" x14ac:dyDescent="0.35">
      <c r="A913" s="6" t="s">
        <v>2996</v>
      </c>
      <c r="B913" s="6" t="s">
        <v>3503</v>
      </c>
      <c r="C913" s="6" t="s">
        <v>1242</v>
      </c>
      <c r="D913" s="6" t="s">
        <v>3622</v>
      </c>
    </row>
    <row r="914" spans="1:4" hidden="1" x14ac:dyDescent="0.35">
      <c r="A914" s="6" t="s">
        <v>2997</v>
      </c>
      <c r="B914" s="6" t="s">
        <v>2998</v>
      </c>
      <c r="C914" s="6" t="s">
        <v>1244</v>
      </c>
      <c r="D914" s="6" t="s">
        <v>1084</v>
      </c>
    </row>
    <row r="915" spans="1:4" hidden="1" x14ac:dyDescent="0.35">
      <c r="A915" s="6" t="s">
        <v>2999</v>
      </c>
      <c r="B915" s="6" t="s">
        <v>3000</v>
      </c>
      <c r="C915" s="6" t="s">
        <v>1244</v>
      </c>
      <c r="D915" s="6" t="s">
        <v>3624</v>
      </c>
    </row>
    <row r="916" spans="1:4" hidden="1" x14ac:dyDescent="0.35">
      <c r="A916" s="6" t="s">
        <v>3001</v>
      </c>
      <c r="B916" s="6" t="s">
        <v>3002</v>
      </c>
      <c r="C916" s="6" t="s">
        <v>1244</v>
      </c>
      <c r="D916" s="6" t="s">
        <v>1084</v>
      </c>
    </row>
    <row r="917" spans="1:4" hidden="1" x14ac:dyDescent="0.35">
      <c r="A917" s="6" t="s">
        <v>3003</v>
      </c>
      <c r="B917" s="6" t="s">
        <v>3004</v>
      </c>
      <c r="C917" s="6" t="s">
        <v>1244</v>
      </c>
      <c r="D917" s="6" t="s">
        <v>1084</v>
      </c>
    </row>
    <row r="918" spans="1:4" hidden="1" x14ac:dyDescent="0.35">
      <c r="A918" s="6" t="s">
        <v>3005</v>
      </c>
      <c r="B918" s="6" t="s">
        <v>3006</v>
      </c>
      <c r="C918" s="6" t="s">
        <v>1244</v>
      </c>
      <c r="D918" s="6" t="s">
        <v>3622</v>
      </c>
    </row>
    <row r="919" spans="1:4" hidden="1" x14ac:dyDescent="0.35">
      <c r="A919" s="6" t="s">
        <v>2183</v>
      </c>
      <c r="B919" s="6" t="s">
        <v>1548</v>
      </c>
      <c r="C919" s="6" t="s">
        <v>1244</v>
      </c>
      <c r="D919" s="6" t="s">
        <v>3622</v>
      </c>
    </row>
    <row r="920" spans="1:4" hidden="1" x14ac:dyDescent="0.35">
      <c r="A920" s="6" t="s">
        <v>2184</v>
      </c>
      <c r="B920" s="6" t="s">
        <v>2185</v>
      </c>
      <c r="C920" s="6" t="s">
        <v>1244</v>
      </c>
      <c r="D920" s="6" t="s">
        <v>3622</v>
      </c>
    </row>
    <row r="921" spans="1:4" hidden="1" x14ac:dyDescent="0.35">
      <c r="A921" s="6" t="s">
        <v>618</v>
      </c>
      <c r="B921" s="6" t="s">
        <v>2186</v>
      </c>
      <c r="C921" s="6" t="s">
        <v>1244</v>
      </c>
      <c r="D921" s="6" t="s">
        <v>3622</v>
      </c>
    </row>
    <row r="922" spans="1:4" hidden="1" x14ac:dyDescent="0.35">
      <c r="A922" s="6" t="s">
        <v>2187</v>
      </c>
      <c r="B922" s="6" t="s">
        <v>1386</v>
      </c>
      <c r="C922" s="6" t="s">
        <v>1244</v>
      </c>
      <c r="D922" s="6" t="s">
        <v>3622</v>
      </c>
    </row>
    <row r="923" spans="1:4" hidden="1" x14ac:dyDescent="0.35">
      <c r="A923" s="6" t="s">
        <v>3007</v>
      </c>
      <c r="B923" s="6" t="s">
        <v>3008</v>
      </c>
      <c r="C923" s="6" t="s">
        <v>1244</v>
      </c>
      <c r="D923" s="6" t="s">
        <v>1084</v>
      </c>
    </row>
    <row r="924" spans="1:4" hidden="1" x14ac:dyDescent="0.35">
      <c r="A924" s="6" t="s">
        <v>2188</v>
      </c>
      <c r="B924" s="6" t="s">
        <v>1387</v>
      </c>
      <c r="C924" s="6" t="s">
        <v>1244</v>
      </c>
      <c r="D924" s="6" t="s">
        <v>3624</v>
      </c>
    </row>
    <row r="925" spans="1:4" hidden="1" x14ac:dyDescent="0.35">
      <c r="A925" s="6" t="s">
        <v>2189</v>
      </c>
      <c r="B925" s="6" t="s">
        <v>1471</v>
      </c>
      <c r="C925" s="6" t="s">
        <v>1244</v>
      </c>
      <c r="D925" s="6" t="s">
        <v>3622</v>
      </c>
    </row>
    <row r="926" spans="1:4" hidden="1" x14ac:dyDescent="0.35">
      <c r="A926" s="6" t="s">
        <v>2190</v>
      </c>
      <c r="B926" s="6" t="s">
        <v>1472</v>
      </c>
      <c r="C926" s="6" t="s">
        <v>1244</v>
      </c>
      <c r="D926" s="6" t="s">
        <v>3624</v>
      </c>
    </row>
    <row r="927" spans="1:4" hidden="1" x14ac:dyDescent="0.35">
      <c r="A927" s="6" t="s">
        <v>2191</v>
      </c>
      <c r="B927" s="6" t="s">
        <v>2192</v>
      </c>
      <c r="C927" s="6" t="s">
        <v>1244</v>
      </c>
      <c r="D927" s="6" t="s">
        <v>3622</v>
      </c>
    </row>
    <row r="928" spans="1:4" hidden="1" x14ac:dyDescent="0.35">
      <c r="A928" s="6" t="s">
        <v>2193</v>
      </c>
      <c r="B928" s="6" t="s">
        <v>2194</v>
      </c>
      <c r="C928" s="6" t="s">
        <v>1244</v>
      </c>
      <c r="D928" s="6" t="s">
        <v>3622</v>
      </c>
    </row>
    <row r="929" spans="1:4" hidden="1" x14ac:dyDescent="0.35">
      <c r="A929" s="6" t="s">
        <v>2195</v>
      </c>
      <c r="B929" s="6" t="s">
        <v>2196</v>
      </c>
      <c r="C929" s="6" t="s">
        <v>1244</v>
      </c>
      <c r="D929" s="6" t="s">
        <v>3622</v>
      </c>
    </row>
    <row r="930" spans="1:4" hidden="1" x14ac:dyDescent="0.35">
      <c r="A930" s="6" t="s">
        <v>2197</v>
      </c>
      <c r="B930" s="6" t="s">
        <v>1417</v>
      </c>
      <c r="C930" s="6" t="s">
        <v>1244</v>
      </c>
      <c r="D930" s="6" t="s">
        <v>3622</v>
      </c>
    </row>
    <row r="931" spans="1:4" hidden="1" x14ac:dyDescent="0.35">
      <c r="A931" s="6" t="s">
        <v>2198</v>
      </c>
      <c r="B931" s="6" t="s">
        <v>1418</v>
      </c>
      <c r="C931" s="6" t="s">
        <v>1244</v>
      </c>
      <c r="D931" s="6" t="s">
        <v>3624</v>
      </c>
    </row>
    <row r="932" spans="1:4" hidden="1" x14ac:dyDescent="0.35">
      <c r="A932" s="6" t="s">
        <v>3009</v>
      </c>
      <c r="B932" s="6" t="s">
        <v>3010</v>
      </c>
      <c r="C932" s="6" t="s">
        <v>64</v>
      </c>
      <c r="D932" s="6" t="s">
        <v>1084</v>
      </c>
    </row>
    <row r="933" spans="1:4" hidden="1" x14ac:dyDescent="0.35">
      <c r="A933" s="6" t="s">
        <v>3011</v>
      </c>
      <c r="B933" s="6" t="s">
        <v>3012</v>
      </c>
      <c r="C933" s="6" t="s">
        <v>64</v>
      </c>
      <c r="D933" s="6" t="s">
        <v>1084</v>
      </c>
    </row>
    <row r="934" spans="1:4" hidden="1" x14ac:dyDescent="0.35">
      <c r="A934" s="6" t="s">
        <v>3013</v>
      </c>
      <c r="B934" s="6" t="s">
        <v>3014</v>
      </c>
      <c r="C934" s="6" t="s">
        <v>64</v>
      </c>
      <c r="D934" s="6" t="s">
        <v>1084</v>
      </c>
    </row>
    <row r="935" spans="1:4" hidden="1" x14ac:dyDescent="0.35">
      <c r="A935" s="6" t="s">
        <v>3015</v>
      </c>
      <c r="B935" s="6" t="s">
        <v>3016</v>
      </c>
      <c r="C935" s="6" t="s">
        <v>64</v>
      </c>
      <c r="D935" s="6" t="s">
        <v>1084</v>
      </c>
    </row>
    <row r="936" spans="1:4" hidden="1" x14ac:dyDescent="0.35">
      <c r="A936" s="6" t="s">
        <v>2199</v>
      </c>
      <c r="B936" s="6" t="s">
        <v>1576</v>
      </c>
      <c r="C936" s="6" t="s">
        <v>1244</v>
      </c>
      <c r="D936" s="6" t="s">
        <v>3622</v>
      </c>
    </row>
    <row r="937" spans="1:4" hidden="1" x14ac:dyDescent="0.35">
      <c r="A937" s="6" t="s">
        <v>2200</v>
      </c>
      <c r="B937" s="6" t="s">
        <v>3017</v>
      </c>
      <c r="C937" s="6" t="s">
        <v>1244</v>
      </c>
      <c r="D937" s="6" t="s">
        <v>1084</v>
      </c>
    </row>
    <row r="938" spans="1:4" hidden="1" x14ac:dyDescent="0.35">
      <c r="A938" s="6" t="s">
        <v>3018</v>
      </c>
      <c r="B938" s="6" t="s">
        <v>1577</v>
      </c>
      <c r="C938" s="6" t="s">
        <v>1244</v>
      </c>
      <c r="D938" s="6" t="s">
        <v>3624</v>
      </c>
    </row>
    <row r="939" spans="1:4" hidden="1" x14ac:dyDescent="0.35">
      <c r="A939" s="6" t="s">
        <v>3019</v>
      </c>
      <c r="B939" s="6" t="s">
        <v>3020</v>
      </c>
      <c r="C939" s="6" t="s">
        <v>64</v>
      </c>
      <c r="D939" s="6" t="s">
        <v>3622</v>
      </c>
    </row>
    <row r="940" spans="1:4" hidden="1" x14ac:dyDescent="0.35">
      <c r="A940" s="6" t="s">
        <v>3021</v>
      </c>
      <c r="B940" s="6" t="s">
        <v>3022</v>
      </c>
      <c r="C940" s="6" t="s">
        <v>64</v>
      </c>
      <c r="D940" s="6" t="s">
        <v>3624</v>
      </c>
    </row>
    <row r="941" spans="1:4" hidden="1" x14ac:dyDescent="0.35">
      <c r="A941" s="6" t="s">
        <v>3023</v>
      </c>
      <c r="B941" s="6" t="s">
        <v>3024</v>
      </c>
      <c r="C941" s="6" t="s">
        <v>1244</v>
      </c>
      <c r="D941" s="6" t="s">
        <v>1084</v>
      </c>
    </row>
    <row r="942" spans="1:4" hidden="1" x14ac:dyDescent="0.35">
      <c r="A942" s="6" t="s">
        <v>3025</v>
      </c>
      <c r="B942" s="6" t="s">
        <v>3026</v>
      </c>
      <c r="C942" s="6" t="s">
        <v>1244</v>
      </c>
      <c r="D942" s="6" t="s">
        <v>1084</v>
      </c>
    </row>
    <row r="943" spans="1:4" hidden="1" x14ac:dyDescent="0.35">
      <c r="A943" s="6" t="s">
        <v>2201</v>
      </c>
      <c r="B943" s="6" t="s">
        <v>2202</v>
      </c>
      <c r="C943" s="6" t="s">
        <v>1244</v>
      </c>
      <c r="D943" s="6" t="s">
        <v>3623</v>
      </c>
    </row>
    <row r="944" spans="1:4" hidden="1" x14ac:dyDescent="0.35">
      <c r="A944" s="6" t="s">
        <v>3027</v>
      </c>
      <c r="B944" s="6" t="s">
        <v>3028</v>
      </c>
      <c r="C944" s="6" t="s">
        <v>1244</v>
      </c>
      <c r="D944" s="6" t="s">
        <v>1084</v>
      </c>
    </row>
    <row r="945" spans="1:4" hidden="1" x14ac:dyDescent="0.35">
      <c r="A945" s="6" t="s">
        <v>3029</v>
      </c>
      <c r="B945" s="6" t="s">
        <v>3030</v>
      </c>
      <c r="C945" s="6" t="s">
        <v>1244</v>
      </c>
      <c r="D945" s="6" t="s">
        <v>1084</v>
      </c>
    </row>
    <row r="946" spans="1:4" hidden="1" x14ac:dyDescent="0.35">
      <c r="A946" s="6" t="s">
        <v>3031</v>
      </c>
      <c r="B946" s="6" t="s">
        <v>3032</v>
      </c>
      <c r="C946" s="6" t="s">
        <v>64</v>
      </c>
      <c r="D946" s="6" t="s">
        <v>1084</v>
      </c>
    </row>
    <row r="947" spans="1:4" hidden="1" x14ac:dyDescent="0.35">
      <c r="A947" s="6" t="s">
        <v>2203</v>
      </c>
      <c r="B947" s="6" t="s">
        <v>2204</v>
      </c>
      <c r="C947" s="6" t="s">
        <v>1244</v>
      </c>
      <c r="D947" s="6" t="s">
        <v>3623</v>
      </c>
    </row>
    <row r="948" spans="1:4" hidden="1" x14ac:dyDescent="0.35">
      <c r="A948" s="6" t="s">
        <v>625</v>
      </c>
      <c r="B948" s="6" t="s">
        <v>3033</v>
      </c>
      <c r="C948" s="6" t="s">
        <v>94</v>
      </c>
      <c r="D948" s="6" t="s">
        <v>1084</v>
      </c>
    </row>
    <row r="949" spans="1:4" hidden="1" x14ac:dyDescent="0.35">
      <c r="A949" s="6" t="s">
        <v>2205</v>
      </c>
      <c r="B949" s="6" t="s">
        <v>1488</v>
      </c>
      <c r="C949" s="6" t="s">
        <v>1244</v>
      </c>
      <c r="D949" s="6" t="s">
        <v>3622</v>
      </c>
    </row>
    <row r="950" spans="1:4" hidden="1" x14ac:dyDescent="0.35">
      <c r="A950" s="6" t="s">
        <v>2206</v>
      </c>
      <c r="B950" s="6" t="s">
        <v>2207</v>
      </c>
      <c r="C950" s="6" t="s">
        <v>1248</v>
      </c>
      <c r="D950" s="6" t="s">
        <v>3623</v>
      </c>
    </row>
    <row r="951" spans="1:4" hidden="1" x14ac:dyDescent="0.35">
      <c r="A951" s="6" t="s">
        <v>2208</v>
      </c>
      <c r="B951" s="6" t="s">
        <v>1475</v>
      </c>
      <c r="C951" s="6" t="s">
        <v>1244</v>
      </c>
      <c r="D951" s="6" t="s">
        <v>3623</v>
      </c>
    </row>
    <row r="952" spans="1:4" hidden="1" x14ac:dyDescent="0.35">
      <c r="A952" s="6" t="s">
        <v>3034</v>
      </c>
      <c r="B952" s="6" t="s">
        <v>3035</v>
      </c>
      <c r="C952" s="6" t="s">
        <v>1244</v>
      </c>
      <c r="D952" s="6" t="s">
        <v>3623</v>
      </c>
    </row>
    <row r="953" spans="1:4" hidden="1" x14ac:dyDescent="0.35">
      <c r="A953" s="6" t="s">
        <v>3036</v>
      </c>
      <c r="B953" s="6" t="s">
        <v>3037</v>
      </c>
      <c r="C953" s="6" t="s">
        <v>64</v>
      </c>
      <c r="D953" s="6" t="s">
        <v>3624</v>
      </c>
    </row>
    <row r="954" spans="1:4" hidden="1" x14ac:dyDescent="0.35">
      <c r="A954" s="6" t="s">
        <v>2209</v>
      </c>
      <c r="B954" s="6" t="s">
        <v>1433</v>
      </c>
      <c r="C954" s="6" t="s">
        <v>1244</v>
      </c>
      <c r="D954" s="6" t="s">
        <v>3623</v>
      </c>
    </row>
    <row r="955" spans="1:4" hidden="1" x14ac:dyDescent="0.35">
      <c r="A955" s="6" t="s">
        <v>2210</v>
      </c>
      <c r="B955" s="6" t="s">
        <v>2211</v>
      </c>
      <c r="C955" s="6" t="s">
        <v>1244</v>
      </c>
      <c r="D955" s="6" t="s">
        <v>3622</v>
      </c>
    </row>
    <row r="956" spans="1:4" hidden="1" x14ac:dyDescent="0.35">
      <c r="A956" s="6" t="s">
        <v>3038</v>
      </c>
      <c r="B956" s="6" t="s">
        <v>3504</v>
      </c>
      <c r="C956" s="6" t="s">
        <v>1244</v>
      </c>
      <c r="D956" s="6" t="s">
        <v>1084</v>
      </c>
    </row>
    <row r="957" spans="1:4" hidden="1" x14ac:dyDescent="0.35">
      <c r="A957" s="6" t="s">
        <v>2212</v>
      </c>
      <c r="B957" s="6" t="s">
        <v>1630</v>
      </c>
      <c r="C957" s="6" t="s">
        <v>1244</v>
      </c>
      <c r="D957" s="6" t="s">
        <v>3622</v>
      </c>
    </row>
    <row r="958" spans="1:4" hidden="1" x14ac:dyDescent="0.35">
      <c r="A958" s="6" t="s">
        <v>2213</v>
      </c>
      <c r="B958" s="6" t="s">
        <v>1550</v>
      </c>
      <c r="C958" s="6" t="s">
        <v>1244</v>
      </c>
      <c r="D958" s="6" t="s">
        <v>3622</v>
      </c>
    </row>
    <row r="959" spans="1:4" hidden="1" x14ac:dyDescent="0.35">
      <c r="A959" s="6" t="s">
        <v>3039</v>
      </c>
      <c r="B959" s="6" t="s">
        <v>3040</v>
      </c>
      <c r="C959" s="6" t="s">
        <v>45</v>
      </c>
      <c r="D959" s="6" t="s">
        <v>3623</v>
      </c>
    </row>
    <row r="960" spans="1:4" hidden="1" x14ac:dyDescent="0.35">
      <c r="A960" s="6" t="s">
        <v>3041</v>
      </c>
      <c r="B960" s="6" t="s">
        <v>3042</v>
      </c>
      <c r="C960" s="6" t="s">
        <v>1242</v>
      </c>
      <c r="D960" s="6" t="s">
        <v>1084</v>
      </c>
    </row>
    <row r="961" spans="1:4" hidden="1" x14ac:dyDescent="0.35">
      <c r="A961" s="6" t="s">
        <v>3043</v>
      </c>
      <c r="B961" s="6" t="s">
        <v>3044</v>
      </c>
      <c r="C961" s="6" t="s">
        <v>45</v>
      </c>
      <c r="D961" s="6" t="s">
        <v>3623</v>
      </c>
    </row>
    <row r="962" spans="1:4" hidden="1" x14ac:dyDescent="0.35">
      <c r="A962" s="6" t="s">
        <v>3045</v>
      </c>
      <c r="B962" s="6" t="s">
        <v>3046</v>
      </c>
      <c r="C962" s="6" t="s">
        <v>1242</v>
      </c>
      <c r="D962" s="6" t="s">
        <v>1084</v>
      </c>
    </row>
    <row r="963" spans="1:4" hidden="1" x14ac:dyDescent="0.35">
      <c r="A963" s="6" t="s">
        <v>3047</v>
      </c>
      <c r="B963" s="6" t="s">
        <v>3048</v>
      </c>
      <c r="C963" s="6" t="s">
        <v>1242</v>
      </c>
      <c r="D963" s="6" t="s">
        <v>1084</v>
      </c>
    </row>
    <row r="964" spans="1:4" hidden="1" x14ac:dyDescent="0.35">
      <c r="A964" s="6" t="s">
        <v>2214</v>
      </c>
      <c r="B964" s="6" t="s">
        <v>1469</v>
      </c>
      <c r="C964" s="6" t="s">
        <v>1244</v>
      </c>
      <c r="D964" s="6" t="s">
        <v>3622</v>
      </c>
    </row>
    <row r="965" spans="1:4" hidden="1" x14ac:dyDescent="0.35">
      <c r="A965" s="6" t="s">
        <v>2215</v>
      </c>
      <c r="B965" s="6" t="s">
        <v>2216</v>
      </c>
      <c r="C965" s="6" t="s">
        <v>1244</v>
      </c>
      <c r="D965" s="6" t="s">
        <v>3622</v>
      </c>
    </row>
    <row r="966" spans="1:4" hidden="1" x14ac:dyDescent="0.35">
      <c r="A966" s="6" t="s">
        <v>2217</v>
      </c>
      <c r="B966" s="6" t="s">
        <v>1296</v>
      </c>
      <c r="C966" s="6" t="s">
        <v>1244</v>
      </c>
      <c r="D966" s="6" t="s">
        <v>3623</v>
      </c>
    </row>
    <row r="967" spans="1:4" hidden="1" x14ac:dyDescent="0.35">
      <c r="A967" s="6" t="s">
        <v>3505</v>
      </c>
      <c r="B967" s="6" t="s">
        <v>3506</v>
      </c>
      <c r="C967" s="6" t="s">
        <v>1242</v>
      </c>
      <c r="D967" s="6" t="s">
        <v>3622</v>
      </c>
    </row>
    <row r="968" spans="1:4" hidden="1" x14ac:dyDescent="0.35">
      <c r="A968" s="6" t="s">
        <v>2218</v>
      </c>
      <c r="B968" s="6" t="s">
        <v>2219</v>
      </c>
      <c r="C968" s="6" t="s">
        <v>1244</v>
      </c>
      <c r="D968" s="6" t="s">
        <v>3622</v>
      </c>
    </row>
    <row r="969" spans="1:4" hidden="1" x14ac:dyDescent="0.35">
      <c r="A969" s="6" t="s">
        <v>3049</v>
      </c>
      <c r="B969" s="6" t="s">
        <v>3050</v>
      </c>
      <c r="C969" s="6" t="s">
        <v>1244</v>
      </c>
      <c r="D969" s="6" t="s">
        <v>1084</v>
      </c>
    </row>
    <row r="970" spans="1:4" hidden="1" x14ac:dyDescent="0.35">
      <c r="A970" s="6" t="s">
        <v>2220</v>
      </c>
      <c r="B970" s="6" t="s">
        <v>1530</v>
      </c>
      <c r="C970" s="6" t="s">
        <v>1244</v>
      </c>
      <c r="D970" s="6" t="s">
        <v>3623</v>
      </c>
    </row>
    <row r="971" spans="1:4" hidden="1" x14ac:dyDescent="0.35">
      <c r="A971" s="6" t="s">
        <v>3051</v>
      </c>
      <c r="B971" s="6" t="s">
        <v>3052</v>
      </c>
      <c r="C971" s="6" t="s">
        <v>64</v>
      </c>
      <c r="D971" s="6" t="s">
        <v>1084</v>
      </c>
    </row>
    <row r="972" spans="1:4" hidden="1" x14ac:dyDescent="0.35">
      <c r="A972" s="6" t="s">
        <v>2221</v>
      </c>
      <c r="B972" s="6" t="s">
        <v>1375</v>
      </c>
      <c r="C972" s="6" t="s">
        <v>1244</v>
      </c>
      <c r="D972" s="6" t="s">
        <v>3623</v>
      </c>
    </row>
    <row r="973" spans="1:4" hidden="1" x14ac:dyDescent="0.35">
      <c r="A973" s="6" t="s">
        <v>3053</v>
      </c>
      <c r="B973" s="6" t="s">
        <v>3054</v>
      </c>
      <c r="C973" s="6" t="s">
        <v>64</v>
      </c>
      <c r="D973" s="6" t="s">
        <v>3622</v>
      </c>
    </row>
    <row r="974" spans="1:4" hidden="1" x14ac:dyDescent="0.35">
      <c r="A974" s="6" t="s">
        <v>2222</v>
      </c>
      <c r="B974" s="6" t="s">
        <v>1330</v>
      </c>
      <c r="C974" s="6" t="s">
        <v>1244</v>
      </c>
      <c r="D974" s="6" t="s">
        <v>3622</v>
      </c>
    </row>
    <row r="975" spans="1:4" hidden="1" x14ac:dyDescent="0.35">
      <c r="A975" s="6" t="s">
        <v>2223</v>
      </c>
      <c r="B975" s="6" t="s">
        <v>2224</v>
      </c>
      <c r="C975" s="6" t="s">
        <v>1244</v>
      </c>
      <c r="D975" s="6" t="s">
        <v>3622</v>
      </c>
    </row>
    <row r="976" spans="1:4" hidden="1" x14ac:dyDescent="0.35">
      <c r="A976" s="6" t="s">
        <v>2225</v>
      </c>
      <c r="B976" s="6" t="s">
        <v>1329</v>
      </c>
      <c r="C976" s="6" t="s">
        <v>64</v>
      </c>
      <c r="D976" s="6" t="s">
        <v>3624</v>
      </c>
    </row>
    <row r="977" spans="1:4" hidden="1" x14ac:dyDescent="0.35">
      <c r="A977" s="6" t="s">
        <v>3055</v>
      </c>
      <c r="B977" s="6" t="s">
        <v>3056</v>
      </c>
      <c r="C977" s="6" t="s">
        <v>1244</v>
      </c>
      <c r="D977" s="6" t="s">
        <v>1084</v>
      </c>
    </row>
    <row r="978" spans="1:4" hidden="1" x14ac:dyDescent="0.35">
      <c r="A978" s="6" t="s">
        <v>2226</v>
      </c>
      <c r="B978" s="6" t="s">
        <v>1499</v>
      </c>
      <c r="C978" s="6" t="s">
        <v>1244</v>
      </c>
      <c r="D978" s="6" t="s">
        <v>3622</v>
      </c>
    </row>
    <row r="979" spans="1:4" hidden="1" x14ac:dyDescent="0.35">
      <c r="A979" s="6" t="s">
        <v>3057</v>
      </c>
      <c r="B979" s="6" t="s">
        <v>3507</v>
      </c>
      <c r="C979" s="6" t="s">
        <v>1242</v>
      </c>
      <c r="D979" s="6" t="s">
        <v>3624</v>
      </c>
    </row>
    <row r="980" spans="1:4" hidden="1" x14ac:dyDescent="0.35">
      <c r="A980" s="6" t="s">
        <v>2227</v>
      </c>
      <c r="B980" s="6" t="s">
        <v>2228</v>
      </c>
      <c r="C980" s="6" t="s">
        <v>64</v>
      </c>
      <c r="D980" s="6" t="s">
        <v>3622</v>
      </c>
    </row>
    <row r="981" spans="1:4" hidden="1" x14ac:dyDescent="0.35">
      <c r="A981" s="6" t="s">
        <v>2229</v>
      </c>
      <c r="B981" s="6" t="s">
        <v>1331</v>
      </c>
      <c r="C981" s="6" t="s">
        <v>64</v>
      </c>
      <c r="D981" s="6" t="s">
        <v>3624</v>
      </c>
    </row>
    <row r="982" spans="1:4" hidden="1" x14ac:dyDescent="0.35">
      <c r="A982" s="6" t="s">
        <v>3058</v>
      </c>
      <c r="B982" s="6" t="s">
        <v>3508</v>
      </c>
      <c r="C982" s="6" t="s">
        <v>64</v>
      </c>
      <c r="D982" s="6" t="s">
        <v>1084</v>
      </c>
    </row>
    <row r="983" spans="1:4" hidden="1" x14ac:dyDescent="0.35">
      <c r="A983" s="6" t="s">
        <v>2230</v>
      </c>
      <c r="B983" s="6" t="s">
        <v>1516</v>
      </c>
      <c r="C983" s="6" t="s">
        <v>1244</v>
      </c>
      <c r="D983" s="6" t="s">
        <v>3622</v>
      </c>
    </row>
    <row r="984" spans="1:4" hidden="1" x14ac:dyDescent="0.35">
      <c r="A984" s="6" t="s">
        <v>2231</v>
      </c>
      <c r="B984" s="6" t="s">
        <v>2232</v>
      </c>
      <c r="C984" s="6" t="s">
        <v>64</v>
      </c>
      <c r="D984" s="6" t="s">
        <v>3622</v>
      </c>
    </row>
    <row r="985" spans="1:4" hidden="1" x14ac:dyDescent="0.35">
      <c r="A985" s="6" t="s">
        <v>3059</v>
      </c>
      <c r="B985" s="6" t="s">
        <v>3060</v>
      </c>
      <c r="C985" s="6" t="s">
        <v>64</v>
      </c>
      <c r="D985" s="6" t="s">
        <v>1084</v>
      </c>
    </row>
    <row r="986" spans="1:4" hidden="1" x14ac:dyDescent="0.35">
      <c r="A986" s="6" t="s">
        <v>3061</v>
      </c>
      <c r="B986" s="6" t="s">
        <v>3509</v>
      </c>
      <c r="C986" s="6" t="s">
        <v>64</v>
      </c>
      <c r="D986" s="6" t="s">
        <v>3622</v>
      </c>
    </row>
    <row r="987" spans="1:4" hidden="1" x14ac:dyDescent="0.35">
      <c r="A987" s="6" t="s">
        <v>3062</v>
      </c>
      <c r="B987" s="6" t="s">
        <v>3063</v>
      </c>
      <c r="C987" s="6" t="s">
        <v>1244</v>
      </c>
      <c r="D987" s="6" t="s">
        <v>1084</v>
      </c>
    </row>
    <row r="988" spans="1:4" hidden="1" x14ac:dyDescent="0.35">
      <c r="A988" s="6" t="s">
        <v>3064</v>
      </c>
      <c r="B988" s="6" t="s">
        <v>3510</v>
      </c>
      <c r="C988" s="6" t="s">
        <v>1244</v>
      </c>
      <c r="D988" s="6" t="s">
        <v>1084</v>
      </c>
    </row>
    <row r="989" spans="1:4" hidden="1" x14ac:dyDescent="0.35">
      <c r="A989" s="6" t="s">
        <v>1225</v>
      </c>
      <c r="B989" s="6" t="s">
        <v>1226</v>
      </c>
      <c r="C989" s="6" t="s">
        <v>1227</v>
      </c>
      <c r="D989" s="6" t="s">
        <v>3622</v>
      </c>
    </row>
    <row r="990" spans="1:4" hidden="1" x14ac:dyDescent="0.35">
      <c r="A990" s="6" t="s">
        <v>1237</v>
      </c>
      <c r="B990" s="6" t="s">
        <v>1238</v>
      </c>
      <c r="C990" s="6" t="s">
        <v>1239</v>
      </c>
      <c r="D990" s="6" t="s">
        <v>3622</v>
      </c>
    </row>
    <row r="991" spans="1:4" hidden="1" x14ac:dyDescent="0.35">
      <c r="A991" s="6" t="s">
        <v>1240</v>
      </c>
      <c r="B991" s="6" t="s">
        <v>3065</v>
      </c>
      <c r="C991" s="6" t="s">
        <v>1241</v>
      </c>
      <c r="D991" s="6" t="s">
        <v>3622</v>
      </c>
    </row>
    <row r="992" spans="1:4" hidden="1" x14ac:dyDescent="0.35">
      <c r="A992" s="6" t="s">
        <v>2521</v>
      </c>
      <c r="B992" s="6" t="s">
        <v>3066</v>
      </c>
      <c r="C992" s="6" t="s">
        <v>80</v>
      </c>
      <c r="D992" s="6" t="s">
        <v>3622</v>
      </c>
    </row>
    <row r="993" spans="1:4" hidden="1" x14ac:dyDescent="0.35">
      <c r="A993" s="6" t="s">
        <v>3511</v>
      </c>
      <c r="B993" s="6" t="s">
        <v>3512</v>
      </c>
      <c r="C993" s="6" t="s">
        <v>3513</v>
      </c>
      <c r="D993" s="6" t="s">
        <v>3622</v>
      </c>
    </row>
    <row r="994" spans="1:4" hidden="1" x14ac:dyDescent="0.35">
      <c r="A994" s="6" t="s">
        <v>2522</v>
      </c>
      <c r="B994" s="6" t="s">
        <v>2523</v>
      </c>
      <c r="C994" s="6" t="s">
        <v>2524</v>
      </c>
      <c r="D994" s="6" t="s">
        <v>3622</v>
      </c>
    </row>
    <row r="995" spans="1:4" hidden="1" x14ac:dyDescent="0.35">
      <c r="A995" s="6" t="s">
        <v>2525</v>
      </c>
      <c r="B995" s="6" t="s">
        <v>3067</v>
      </c>
      <c r="C995" s="6" t="s">
        <v>1227</v>
      </c>
      <c r="D995" s="6" t="s">
        <v>3622</v>
      </c>
    </row>
    <row r="996" spans="1:4" hidden="1" x14ac:dyDescent="0.35">
      <c r="A996" s="6" t="s">
        <v>2526</v>
      </c>
      <c r="B996" s="6" t="s">
        <v>2527</v>
      </c>
      <c r="C996" s="6" t="s">
        <v>1227</v>
      </c>
      <c r="D996" s="6" t="s">
        <v>3622</v>
      </c>
    </row>
    <row r="997" spans="1:4" hidden="1" x14ac:dyDescent="0.35">
      <c r="A997" s="6" t="s">
        <v>2528</v>
      </c>
      <c r="B997" s="6" t="s">
        <v>2529</v>
      </c>
      <c r="C997" s="6" t="s">
        <v>1541</v>
      </c>
      <c r="D997" s="6" t="s">
        <v>3622</v>
      </c>
    </row>
    <row r="998" spans="1:4" hidden="1" x14ac:dyDescent="0.35">
      <c r="A998" s="6" t="s">
        <v>2530</v>
      </c>
      <c r="B998" s="6" t="s">
        <v>2531</v>
      </c>
      <c r="C998" s="6" t="s">
        <v>2532</v>
      </c>
      <c r="D998" s="6" t="s">
        <v>3622</v>
      </c>
    </row>
    <row r="999" spans="1:4" hidden="1" x14ac:dyDescent="0.35">
      <c r="A999" s="6" t="s">
        <v>2533</v>
      </c>
      <c r="B999" s="6" t="s">
        <v>3514</v>
      </c>
      <c r="C999" s="6" t="s">
        <v>2534</v>
      </c>
      <c r="D999" s="6" t="s">
        <v>3622</v>
      </c>
    </row>
    <row r="1000" spans="1:4" hidden="1" x14ac:dyDescent="0.35">
      <c r="A1000" s="6" t="s">
        <v>1231</v>
      </c>
      <c r="B1000" s="6" t="s">
        <v>1232</v>
      </c>
      <c r="C1000" s="6" t="s">
        <v>1233</v>
      </c>
      <c r="D1000" s="6" t="s">
        <v>3622</v>
      </c>
    </row>
    <row r="1001" spans="1:4" hidden="1" x14ac:dyDescent="0.35">
      <c r="A1001" s="6" t="s">
        <v>2535</v>
      </c>
      <c r="B1001" s="6" t="s">
        <v>3515</v>
      </c>
      <c r="C1001" s="6" t="s">
        <v>2534</v>
      </c>
      <c r="D1001" s="6" t="s">
        <v>3622</v>
      </c>
    </row>
    <row r="1002" spans="1:4" hidden="1" x14ac:dyDescent="0.35">
      <c r="A1002" s="6" t="s">
        <v>2536</v>
      </c>
      <c r="B1002" s="6" t="s">
        <v>3516</v>
      </c>
      <c r="C1002" s="6" t="s">
        <v>2534</v>
      </c>
      <c r="D1002" s="6" t="s">
        <v>3622</v>
      </c>
    </row>
    <row r="1003" spans="1:4" hidden="1" x14ac:dyDescent="0.35">
      <c r="A1003" s="6" t="s">
        <v>2537</v>
      </c>
      <c r="B1003" s="6" t="s">
        <v>3517</v>
      </c>
      <c r="C1003" s="6" t="s">
        <v>2534</v>
      </c>
      <c r="D1003" s="6" t="s">
        <v>3622</v>
      </c>
    </row>
    <row r="1004" spans="1:4" hidden="1" x14ac:dyDescent="0.35">
      <c r="A1004" s="6" t="s">
        <v>2538</v>
      </c>
      <c r="B1004" s="6" t="s">
        <v>3068</v>
      </c>
      <c r="C1004" s="6" t="s">
        <v>1227</v>
      </c>
      <c r="D1004" s="6" t="s">
        <v>3622</v>
      </c>
    </row>
    <row r="1005" spans="1:4" hidden="1" x14ac:dyDescent="0.35">
      <c r="A1005" s="6" t="s">
        <v>3518</v>
      </c>
      <c r="B1005" s="6" t="s">
        <v>3519</v>
      </c>
      <c r="C1005" s="6" t="s">
        <v>3520</v>
      </c>
      <c r="D1005" s="6" t="s">
        <v>3622</v>
      </c>
    </row>
    <row r="1006" spans="1:4" hidden="1" x14ac:dyDescent="0.35">
      <c r="A1006" s="6" t="s">
        <v>3069</v>
      </c>
      <c r="B1006" s="6" t="s">
        <v>3070</v>
      </c>
      <c r="C1006" s="6" t="s">
        <v>1541</v>
      </c>
      <c r="D1006" s="6" t="s">
        <v>3622</v>
      </c>
    </row>
    <row r="1007" spans="1:4" hidden="1" x14ac:dyDescent="0.35">
      <c r="A1007" s="6" t="s">
        <v>1198</v>
      </c>
      <c r="B1007" s="6" t="s">
        <v>1199</v>
      </c>
      <c r="C1007" s="6" t="s">
        <v>1200</v>
      </c>
      <c r="D1007" s="6" t="s">
        <v>3622</v>
      </c>
    </row>
    <row r="1008" spans="1:4" hidden="1" x14ac:dyDescent="0.35">
      <c r="A1008" s="6" t="s">
        <v>2539</v>
      </c>
      <c r="B1008" s="6" t="s">
        <v>3071</v>
      </c>
      <c r="C1008" s="6" t="s">
        <v>1227</v>
      </c>
      <c r="D1008" s="6" t="s">
        <v>3622</v>
      </c>
    </row>
    <row r="1009" spans="1:4" hidden="1" x14ac:dyDescent="0.35">
      <c r="A1009" s="6" t="s">
        <v>2540</v>
      </c>
      <c r="B1009" s="6" t="s">
        <v>3521</v>
      </c>
      <c r="C1009" s="6" t="s">
        <v>1085</v>
      </c>
      <c r="D1009" s="6" t="s">
        <v>1084</v>
      </c>
    </row>
    <row r="1010" spans="1:4" hidden="1" x14ac:dyDescent="0.35">
      <c r="A1010" s="6" t="s">
        <v>1228</v>
      </c>
      <c r="B1010" s="6" t="s">
        <v>1229</v>
      </c>
      <c r="C1010" s="6" t="s">
        <v>1230</v>
      </c>
      <c r="D1010" s="6" t="s">
        <v>3622</v>
      </c>
    </row>
    <row r="1011" spans="1:4" hidden="1" x14ac:dyDescent="0.35">
      <c r="A1011" s="6" t="s">
        <v>1234</v>
      </c>
      <c r="B1011" s="6" t="s">
        <v>1235</v>
      </c>
      <c r="C1011" s="6" t="s">
        <v>1236</v>
      </c>
      <c r="D1011" s="6" t="s">
        <v>3622</v>
      </c>
    </row>
    <row r="1012" spans="1:4" hidden="1" x14ac:dyDescent="0.35">
      <c r="A1012" s="6" t="s">
        <v>2233</v>
      </c>
      <c r="B1012" s="6" t="s">
        <v>1639</v>
      </c>
      <c r="C1012" s="6" t="s">
        <v>64</v>
      </c>
      <c r="D1012" s="6" t="s">
        <v>3622</v>
      </c>
    </row>
    <row r="1013" spans="1:4" hidden="1" x14ac:dyDescent="0.35">
      <c r="A1013" s="6" t="s">
        <v>2234</v>
      </c>
      <c r="B1013" s="6" t="s">
        <v>3522</v>
      </c>
      <c r="C1013" s="6" t="s">
        <v>1244</v>
      </c>
      <c r="D1013" s="6" t="s">
        <v>3622</v>
      </c>
    </row>
    <row r="1014" spans="1:4" hidden="1" x14ac:dyDescent="0.35">
      <c r="A1014" s="6" t="s">
        <v>2235</v>
      </c>
      <c r="B1014" s="6" t="s">
        <v>1640</v>
      </c>
      <c r="C1014" s="6" t="s">
        <v>64</v>
      </c>
      <c r="D1014" s="6" t="s">
        <v>3624</v>
      </c>
    </row>
    <row r="1015" spans="1:4" hidden="1" x14ac:dyDescent="0.35">
      <c r="A1015" s="6" t="s">
        <v>2236</v>
      </c>
      <c r="B1015" s="6" t="s">
        <v>1583</v>
      </c>
      <c r="C1015" s="6" t="s">
        <v>1242</v>
      </c>
      <c r="D1015" s="6" t="s">
        <v>3622</v>
      </c>
    </row>
    <row r="1016" spans="1:4" hidden="1" x14ac:dyDescent="0.35">
      <c r="A1016" s="6" t="s">
        <v>2237</v>
      </c>
      <c r="B1016" s="6" t="s">
        <v>2238</v>
      </c>
      <c r="C1016" s="6" t="s">
        <v>1244</v>
      </c>
      <c r="D1016" s="6" t="s">
        <v>3622</v>
      </c>
    </row>
    <row r="1017" spans="1:4" hidden="1" x14ac:dyDescent="0.35">
      <c r="A1017" s="6" t="s">
        <v>2239</v>
      </c>
      <c r="B1017" s="6" t="s">
        <v>2240</v>
      </c>
      <c r="C1017" s="6" t="s">
        <v>1244</v>
      </c>
      <c r="D1017" s="6" t="s">
        <v>3622</v>
      </c>
    </row>
    <row r="1018" spans="1:4" hidden="1" x14ac:dyDescent="0.35">
      <c r="A1018" s="6" t="s">
        <v>2241</v>
      </c>
      <c r="B1018" s="6" t="s">
        <v>2242</v>
      </c>
      <c r="C1018" s="6" t="s">
        <v>1244</v>
      </c>
      <c r="D1018" s="6" t="s">
        <v>3622</v>
      </c>
    </row>
    <row r="1019" spans="1:4" hidden="1" x14ac:dyDescent="0.35">
      <c r="A1019" s="6" t="s">
        <v>2243</v>
      </c>
      <c r="B1019" s="6" t="s">
        <v>1318</v>
      </c>
      <c r="C1019" s="6" t="s">
        <v>1244</v>
      </c>
      <c r="D1019" s="6" t="s">
        <v>3622</v>
      </c>
    </row>
    <row r="1020" spans="1:4" hidden="1" x14ac:dyDescent="0.35">
      <c r="A1020" s="6" t="s">
        <v>2244</v>
      </c>
      <c r="B1020" s="6" t="s">
        <v>1322</v>
      </c>
      <c r="C1020" s="6" t="s">
        <v>1244</v>
      </c>
      <c r="D1020" s="6" t="s">
        <v>3622</v>
      </c>
    </row>
    <row r="1021" spans="1:4" hidden="1" x14ac:dyDescent="0.35">
      <c r="A1021" s="6" t="s">
        <v>2245</v>
      </c>
      <c r="B1021" s="6" t="s">
        <v>2246</v>
      </c>
      <c r="C1021" s="6" t="s">
        <v>1244</v>
      </c>
      <c r="D1021" s="6" t="s">
        <v>3622</v>
      </c>
    </row>
    <row r="1022" spans="1:4" hidden="1" x14ac:dyDescent="0.35">
      <c r="A1022" s="6" t="s">
        <v>3072</v>
      </c>
      <c r="B1022" s="6" t="s">
        <v>3073</v>
      </c>
      <c r="C1022" s="6" t="s">
        <v>45</v>
      </c>
      <c r="D1022" s="6" t="s">
        <v>3623</v>
      </c>
    </row>
    <row r="1023" spans="1:4" hidden="1" x14ac:dyDescent="0.35">
      <c r="A1023" s="6" t="s">
        <v>2247</v>
      </c>
      <c r="B1023" s="6" t="s">
        <v>2248</v>
      </c>
      <c r="C1023" s="6" t="s">
        <v>64</v>
      </c>
      <c r="D1023" s="6" t="s">
        <v>3622</v>
      </c>
    </row>
    <row r="1024" spans="1:4" hidden="1" x14ac:dyDescent="0.35">
      <c r="A1024" s="6" t="s">
        <v>2249</v>
      </c>
      <c r="B1024" s="6" t="s">
        <v>2250</v>
      </c>
      <c r="C1024" s="6" t="s">
        <v>1249</v>
      </c>
      <c r="D1024" s="6" t="s">
        <v>3622</v>
      </c>
    </row>
    <row r="1025" spans="1:4" hidden="1" x14ac:dyDescent="0.35">
      <c r="A1025" s="6" t="s">
        <v>2251</v>
      </c>
      <c r="B1025" s="6" t="s">
        <v>1493</v>
      </c>
      <c r="C1025" s="6" t="s">
        <v>1244</v>
      </c>
      <c r="D1025" s="6" t="s">
        <v>3622</v>
      </c>
    </row>
    <row r="1026" spans="1:4" hidden="1" x14ac:dyDescent="0.35">
      <c r="A1026" s="6" t="s">
        <v>3074</v>
      </c>
      <c r="B1026" s="6" t="s">
        <v>3075</v>
      </c>
      <c r="C1026" s="6" t="s">
        <v>64</v>
      </c>
      <c r="D1026" s="6" t="s">
        <v>3624</v>
      </c>
    </row>
    <row r="1027" spans="1:4" hidden="1" x14ac:dyDescent="0.35">
      <c r="A1027" s="6" t="s">
        <v>3076</v>
      </c>
      <c r="B1027" s="6" t="s">
        <v>3077</v>
      </c>
      <c r="C1027" s="6" t="s">
        <v>64</v>
      </c>
      <c r="D1027" s="6" t="s">
        <v>3624</v>
      </c>
    </row>
    <row r="1028" spans="1:4" hidden="1" x14ac:dyDescent="0.35">
      <c r="A1028" s="6" t="s">
        <v>3078</v>
      </c>
      <c r="B1028" s="6" t="s">
        <v>3079</v>
      </c>
      <c r="C1028" s="6" t="s">
        <v>64</v>
      </c>
      <c r="D1028" s="6" t="s">
        <v>3624</v>
      </c>
    </row>
    <row r="1029" spans="1:4" hidden="1" x14ac:dyDescent="0.35">
      <c r="A1029" s="6" t="s">
        <v>2252</v>
      </c>
      <c r="B1029" s="6" t="s">
        <v>2253</v>
      </c>
      <c r="C1029" s="6" t="s">
        <v>1244</v>
      </c>
      <c r="D1029" s="6" t="s">
        <v>3623</v>
      </c>
    </row>
    <row r="1030" spans="1:4" hidden="1" x14ac:dyDescent="0.35">
      <c r="A1030" s="6" t="s">
        <v>1704</v>
      </c>
      <c r="B1030" s="6" t="s">
        <v>3523</v>
      </c>
      <c r="C1030" s="6" t="s">
        <v>1244</v>
      </c>
      <c r="D1030" s="6" t="s">
        <v>3624</v>
      </c>
    </row>
    <row r="1031" spans="1:4" hidden="1" x14ac:dyDescent="0.35">
      <c r="A1031" s="6" t="s">
        <v>2254</v>
      </c>
      <c r="B1031" s="6" t="s">
        <v>2255</v>
      </c>
      <c r="C1031" s="6" t="s">
        <v>1244</v>
      </c>
      <c r="D1031" s="6" t="s">
        <v>3622</v>
      </c>
    </row>
    <row r="1032" spans="1:4" hidden="1" x14ac:dyDescent="0.35">
      <c r="A1032" s="6" t="s">
        <v>2256</v>
      </c>
      <c r="B1032" s="6" t="s">
        <v>1592</v>
      </c>
      <c r="C1032" s="6" t="s">
        <v>1244</v>
      </c>
      <c r="D1032" s="6" t="s">
        <v>3623</v>
      </c>
    </row>
    <row r="1033" spans="1:4" hidden="1" x14ac:dyDescent="0.35">
      <c r="A1033" s="6" t="s">
        <v>2257</v>
      </c>
      <c r="B1033" s="6" t="s">
        <v>2258</v>
      </c>
      <c r="C1033" s="6" t="s">
        <v>1244</v>
      </c>
      <c r="D1033" s="6" t="s">
        <v>3623</v>
      </c>
    </row>
    <row r="1034" spans="1:4" hidden="1" x14ac:dyDescent="0.35">
      <c r="A1034" s="6" t="s">
        <v>2259</v>
      </c>
      <c r="B1034" s="6" t="s">
        <v>1404</v>
      </c>
      <c r="C1034" s="6" t="s">
        <v>1244</v>
      </c>
      <c r="D1034" s="6" t="s">
        <v>3623</v>
      </c>
    </row>
    <row r="1035" spans="1:4" hidden="1" x14ac:dyDescent="0.35">
      <c r="A1035" s="6" t="s">
        <v>2260</v>
      </c>
      <c r="B1035" s="6" t="s">
        <v>1405</v>
      </c>
      <c r="C1035" s="6" t="s">
        <v>1244</v>
      </c>
      <c r="D1035" s="6" t="s">
        <v>3623</v>
      </c>
    </row>
    <row r="1036" spans="1:4" hidden="1" x14ac:dyDescent="0.35">
      <c r="A1036" s="6" t="s">
        <v>2261</v>
      </c>
      <c r="B1036" s="6" t="s">
        <v>1435</v>
      </c>
      <c r="C1036" s="6" t="s">
        <v>64</v>
      </c>
      <c r="D1036" s="6" t="s">
        <v>3622</v>
      </c>
    </row>
    <row r="1037" spans="1:4" hidden="1" x14ac:dyDescent="0.35">
      <c r="A1037" s="6" t="s">
        <v>2262</v>
      </c>
      <c r="B1037" s="6" t="s">
        <v>1543</v>
      </c>
      <c r="C1037" s="6" t="s">
        <v>1244</v>
      </c>
      <c r="D1037" s="6" t="s">
        <v>3622</v>
      </c>
    </row>
    <row r="1038" spans="1:4" hidden="1" x14ac:dyDescent="0.35">
      <c r="A1038" s="6" t="s">
        <v>2263</v>
      </c>
      <c r="B1038" s="6" t="s">
        <v>1544</v>
      </c>
      <c r="C1038" s="6" t="s">
        <v>1244</v>
      </c>
      <c r="D1038" s="6" t="s">
        <v>3624</v>
      </c>
    </row>
    <row r="1039" spans="1:4" hidden="1" x14ac:dyDescent="0.35">
      <c r="A1039" s="6" t="s">
        <v>3080</v>
      </c>
      <c r="B1039" s="6" t="s">
        <v>3081</v>
      </c>
      <c r="C1039" s="6" t="s">
        <v>1242</v>
      </c>
      <c r="D1039" s="6" t="s">
        <v>1084</v>
      </c>
    </row>
    <row r="1040" spans="1:4" hidden="1" x14ac:dyDescent="0.35">
      <c r="A1040" s="6" t="s">
        <v>3082</v>
      </c>
      <c r="B1040" s="6" t="s">
        <v>3083</v>
      </c>
      <c r="C1040" s="6" t="s">
        <v>64</v>
      </c>
      <c r="D1040" s="6" t="s">
        <v>1084</v>
      </c>
    </row>
    <row r="1041" spans="1:4" hidden="1" x14ac:dyDescent="0.35">
      <c r="A1041" s="6" t="s">
        <v>3084</v>
      </c>
      <c r="B1041" s="6" t="s">
        <v>3085</v>
      </c>
      <c r="C1041" s="6" t="s">
        <v>1244</v>
      </c>
      <c r="D1041" s="6" t="s">
        <v>3623</v>
      </c>
    </row>
    <row r="1042" spans="1:4" hidden="1" x14ac:dyDescent="0.35">
      <c r="A1042" s="6" t="s">
        <v>2264</v>
      </c>
      <c r="B1042" s="6" t="s">
        <v>2265</v>
      </c>
      <c r="C1042" s="6" t="s">
        <v>1244</v>
      </c>
      <c r="D1042" s="6" t="s">
        <v>3623</v>
      </c>
    </row>
    <row r="1043" spans="1:4" hidden="1" x14ac:dyDescent="0.35">
      <c r="A1043" s="6" t="s">
        <v>3086</v>
      </c>
      <c r="B1043" s="6" t="s">
        <v>3524</v>
      </c>
      <c r="C1043" s="6" t="s">
        <v>64</v>
      </c>
      <c r="D1043" s="6" t="s">
        <v>3622</v>
      </c>
    </row>
    <row r="1044" spans="1:4" hidden="1" x14ac:dyDescent="0.35">
      <c r="A1044" s="6" t="s">
        <v>3087</v>
      </c>
      <c r="B1044" s="6" t="s">
        <v>3088</v>
      </c>
      <c r="C1044" s="6" t="s">
        <v>1242</v>
      </c>
      <c r="D1044" s="6" t="s">
        <v>3623</v>
      </c>
    </row>
    <row r="1045" spans="1:4" hidden="1" x14ac:dyDescent="0.35">
      <c r="A1045" s="6" t="s">
        <v>3089</v>
      </c>
      <c r="B1045" s="6" t="s">
        <v>3525</v>
      </c>
      <c r="C1045" s="6" t="s">
        <v>64</v>
      </c>
      <c r="D1045" s="6" t="s">
        <v>1084</v>
      </c>
    </row>
    <row r="1046" spans="1:4" hidden="1" x14ac:dyDescent="0.35">
      <c r="A1046" s="6" t="s">
        <v>3090</v>
      </c>
      <c r="B1046" s="6" t="s">
        <v>3091</v>
      </c>
      <c r="C1046" s="6" t="s">
        <v>64</v>
      </c>
      <c r="D1046" s="6" t="s">
        <v>1084</v>
      </c>
    </row>
    <row r="1047" spans="1:4" hidden="1" x14ac:dyDescent="0.35">
      <c r="A1047" s="6" t="s">
        <v>2266</v>
      </c>
      <c r="B1047" s="6" t="s">
        <v>2267</v>
      </c>
      <c r="C1047" s="6" t="s">
        <v>1244</v>
      </c>
      <c r="D1047" s="6" t="s">
        <v>3623</v>
      </c>
    </row>
    <row r="1048" spans="1:4" hidden="1" x14ac:dyDescent="0.35">
      <c r="A1048" s="6" t="s">
        <v>2268</v>
      </c>
      <c r="B1048" s="6" t="s">
        <v>1507</v>
      </c>
      <c r="C1048" s="6" t="s">
        <v>1244</v>
      </c>
      <c r="D1048" s="6" t="s">
        <v>3624</v>
      </c>
    </row>
    <row r="1049" spans="1:4" hidden="1" x14ac:dyDescent="0.35">
      <c r="A1049" s="6" t="s">
        <v>2269</v>
      </c>
      <c r="B1049" s="6" t="s">
        <v>2270</v>
      </c>
      <c r="C1049" s="6" t="s">
        <v>1244</v>
      </c>
      <c r="D1049" s="6" t="s">
        <v>3622</v>
      </c>
    </row>
    <row r="1050" spans="1:4" hidden="1" x14ac:dyDescent="0.35">
      <c r="A1050" s="6" t="s">
        <v>2271</v>
      </c>
      <c r="B1050" s="6" t="s">
        <v>2272</v>
      </c>
      <c r="C1050" s="6" t="s">
        <v>1244</v>
      </c>
      <c r="D1050" s="6" t="s">
        <v>3624</v>
      </c>
    </row>
    <row r="1051" spans="1:4" hidden="1" x14ac:dyDescent="0.35">
      <c r="A1051" s="6" t="s">
        <v>3092</v>
      </c>
      <c r="B1051" s="6" t="s">
        <v>3093</v>
      </c>
      <c r="C1051" s="6" t="s">
        <v>64</v>
      </c>
      <c r="D1051" s="6" t="s">
        <v>1084</v>
      </c>
    </row>
    <row r="1052" spans="1:4" hidden="1" x14ac:dyDescent="0.35">
      <c r="A1052" s="6" t="s">
        <v>2273</v>
      </c>
      <c r="B1052" s="6" t="s">
        <v>1579</v>
      </c>
      <c r="C1052" s="6" t="s">
        <v>1244</v>
      </c>
      <c r="D1052" s="6" t="s">
        <v>3623</v>
      </c>
    </row>
    <row r="1053" spans="1:4" hidden="1" x14ac:dyDescent="0.35">
      <c r="A1053" s="6" t="s">
        <v>3094</v>
      </c>
      <c r="B1053" s="6" t="s">
        <v>3526</v>
      </c>
      <c r="C1053" s="6" t="s">
        <v>45</v>
      </c>
      <c r="D1053" s="6" t="s">
        <v>3623</v>
      </c>
    </row>
    <row r="1054" spans="1:4" hidden="1" x14ac:dyDescent="0.35">
      <c r="A1054" s="6" t="s">
        <v>3095</v>
      </c>
      <c r="B1054" s="6" t="s">
        <v>3096</v>
      </c>
      <c r="C1054" s="6" t="s">
        <v>45</v>
      </c>
      <c r="D1054" s="6" t="s">
        <v>3623</v>
      </c>
    </row>
    <row r="1055" spans="1:4" hidden="1" x14ac:dyDescent="0.35">
      <c r="A1055" s="6" t="s">
        <v>3097</v>
      </c>
      <c r="B1055" s="6" t="s">
        <v>3527</v>
      </c>
      <c r="C1055" s="6" t="s">
        <v>45</v>
      </c>
      <c r="D1055" s="6" t="s">
        <v>3623</v>
      </c>
    </row>
    <row r="1056" spans="1:4" hidden="1" x14ac:dyDescent="0.35">
      <c r="A1056" s="6" t="s">
        <v>2274</v>
      </c>
      <c r="B1056" s="6" t="s">
        <v>1487</v>
      </c>
      <c r="C1056" s="6" t="s">
        <v>1244</v>
      </c>
      <c r="D1056" s="6" t="s">
        <v>3622</v>
      </c>
    </row>
    <row r="1057" spans="1:4" hidden="1" x14ac:dyDescent="0.35">
      <c r="A1057" s="6" t="s">
        <v>3098</v>
      </c>
      <c r="B1057" s="6" t="s">
        <v>3099</v>
      </c>
      <c r="C1057" s="6" t="s">
        <v>1244</v>
      </c>
      <c r="D1057" s="6" t="s">
        <v>3624</v>
      </c>
    </row>
    <row r="1058" spans="1:4" hidden="1" x14ac:dyDescent="0.35">
      <c r="A1058" s="6" t="s">
        <v>2275</v>
      </c>
      <c r="B1058" s="6" t="s">
        <v>1422</v>
      </c>
      <c r="C1058" s="6" t="s">
        <v>1244</v>
      </c>
      <c r="D1058" s="6" t="s">
        <v>3623</v>
      </c>
    </row>
    <row r="1059" spans="1:4" hidden="1" x14ac:dyDescent="0.35">
      <c r="A1059" s="6" t="s">
        <v>2276</v>
      </c>
      <c r="B1059" s="6" t="s">
        <v>1423</v>
      </c>
      <c r="C1059" s="6" t="s">
        <v>1244</v>
      </c>
      <c r="D1059" s="6" t="s">
        <v>3623</v>
      </c>
    </row>
    <row r="1060" spans="1:4" hidden="1" x14ac:dyDescent="0.35">
      <c r="A1060" s="6" t="s">
        <v>2277</v>
      </c>
      <c r="B1060" s="6" t="s">
        <v>2278</v>
      </c>
      <c r="C1060" s="6" t="s">
        <v>1244</v>
      </c>
      <c r="D1060" s="6" t="s">
        <v>3623</v>
      </c>
    </row>
    <row r="1061" spans="1:4" hidden="1" x14ac:dyDescent="0.35">
      <c r="A1061" s="6" t="s">
        <v>2279</v>
      </c>
      <c r="B1061" s="6" t="s">
        <v>1570</v>
      </c>
      <c r="C1061" s="6" t="s">
        <v>1244</v>
      </c>
      <c r="D1061" s="6" t="s">
        <v>3622</v>
      </c>
    </row>
    <row r="1062" spans="1:4" hidden="1" x14ac:dyDescent="0.35">
      <c r="A1062" s="6" t="s">
        <v>2280</v>
      </c>
      <c r="B1062" s="6" t="s">
        <v>1567</v>
      </c>
      <c r="C1062" s="6" t="s">
        <v>1244</v>
      </c>
      <c r="D1062" s="6" t="s">
        <v>3624</v>
      </c>
    </row>
    <row r="1063" spans="1:4" hidden="1" x14ac:dyDescent="0.35">
      <c r="A1063" s="6" t="s">
        <v>2281</v>
      </c>
      <c r="B1063" s="6" t="s">
        <v>2282</v>
      </c>
      <c r="C1063" s="6" t="s">
        <v>1244</v>
      </c>
      <c r="D1063" s="6" t="s">
        <v>3623</v>
      </c>
    </row>
    <row r="1064" spans="1:4" hidden="1" x14ac:dyDescent="0.35">
      <c r="A1064" s="6" t="s">
        <v>2283</v>
      </c>
      <c r="B1064" s="6" t="s">
        <v>1642</v>
      </c>
      <c r="C1064" s="6" t="s">
        <v>1244</v>
      </c>
      <c r="D1064" s="6" t="s">
        <v>3622</v>
      </c>
    </row>
    <row r="1065" spans="1:4" hidden="1" x14ac:dyDescent="0.35">
      <c r="A1065" s="6" t="s">
        <v>2284</v>
      </c>
      <c r="B1065" s="6" t="s">
        <v>1643</v>
      </c>
      <c r="C1065" s="6" t="s">
        <v>1244</v>
      </c>
      <c r="D1065" s="6" t="s">
        <v>3624</v>
      </c>
    </row>
    <row r="1066" spans="1:4" hidden="1" x14ac:dyDescent="0.35">
      <c r="A1066" s="6" t="s">
        <v>1705</v>
      </c>
      <c r="B1066" s="6" t="s">
        <v>3528</v>
      </c>
      <c r="C1066" s="6" t="s">
        <v>1689</v>
      </c>
      <c r="D1066" s="6" t="s">
        <v>3624</v>
      </c>
    </row>
    <row r="1067" spans="1:4" hidden="1" x14ac:dyDescent="0.35">
      <c r="A1067" s="6" t="s">
        <v>2285</v>
      </c>
      <c r="B1067" s="6" t="s">
        <v>1311</v>
      </c>
      <c r="C1067" s="6" t="s">
        <v>1244</v>
      </c>
      <c r="D1067" s="6" t="s">
        <v>3622</v>
      </c>
    </row>
    <row r="1068" spans="1:4" hidden="1" x14ac:dyDescent="0.35">
      <c r="A1068" s="6" t="s">
        <v>2286</v>
      </c>
      <c r="B1068" s="6" t="s">
        <v>1569</v>
      </c>
      <c r="C1068" s="6" t="s">
        <v>64</v>
      </c>
      <c r="D1068" s="6" t="s">
        <v>3624</v>
      </c>
    </row>
    <row r="1069" spans="1:4" hidden="1" x14ac:dyDescent="0.35">
      <c r="A1069" s="6" t="s">
        <v>2287</v>
      </c>
      <c r="B1069" s="6" t="s">
        <v>1568</v>
      </c>
      <c r="C1069" s="6" t="s">
        <v>1244</v>
      </c>
      <c r="D1069" s="6" t="s">
        <v>3622</v>
      </c>
    </row>
    <row r="1070" spans="1:4" hidden="1" x14ac:dyDescent="0.35">
      <c r="A1070" s="6" t="s">
        <v>2288</v>
      </c>
      <c r="B1070" s="6" t="s">
        <v>1313</v>
      </c>
      <c r="C1070" s="6" t="s">
        <v>1244</v>
      </c>
      <c r="D1070" s="6" t="s">
        <v>3622</v>
      </c>
    </row>
    <row r="1071" spans="1:4" hidden="1" x14ac:dyDescent="0.35">
      <c r="A1071" s="6" t="s">
        <v>3100</v>
      </c>
      <c r="B1071" s="6" t="s">
        <v>3101</v>
      </c>
      <c r="C1071" s="6" t="s">
        <v>64</v>
      </c>
      <c r="D1071" s="6" t="s">
        <v>1084</v>
      </c>
    </row>
    <row r="1072" spans="1:4" hidden="1" x14ac:dyDescent="0.35">
      <c r="A1072" s="6" t="s">
        <v>2289</v>
      </c>
      <c r="B1072" s="6" t="s">
        <v>3529</v>
      </c>
      <c r="C1072" s="6" t="s">
        <v>1244</v>
      </c>
      <c r="D1072" s="6" t="s">
        <v>3622</v>
      </c>
    </row>
    <row r="1073" spans="1:4" hidden="1" x14ac:dyDescent="0.35">
      <c r="A1073" s="6" t="s">
        <v>2290</v>
      </c>
      <c r="B1073" s="6" t="s">
        <v>3530</v>
      </c>
      <c r="C1073" s="6" t="s">
        <v>1244</v>
      </c>
      <c r="D1073" s="6" t="s">
        <v>3624</v>
      </c>
    </row>
    <row r="1074" spans="1:4" hidden="1" x14ac:dyDescent="0.35">
      <c r="A1074" s="6" t="s">
        <v>2291</v>
      </c>
      <c r="B1074" s="6" t="s">
        <v>2292</v>
      </c>
      <c r="C1074" s="6" t="s">
        <v>1244</v>
      </c>
      <c r="D1074" s="6" t="s">
        <v>3623</v>
      </c>
    </row>
    <row r="1075" spans="1:4" hidden="1" x14ac:dyDescent="0.35">
      <c r="A1075" s="6" t="s">
        <v>2293</v>
      </c>
      <c r="B1075" s="6" t="s">
        <v>1312</v>
      </c>
      <c r="C1075" s="6" t="s">
        <v>1244</v>
      </c>
      <c r="D1075" s="6" t="s">
        <v>3624</v>
      </c>
    </row>
    <row r="1076" spans="1:4" hidden="1" x14ac:dyDescent="0.35">
      <c r="A1076" s="6" t="s">
        <v>2294</v>
      </c>
      <c r="B1076" s="6" t="s">
        <v>2295</v>
      </c>
      <c r="C1076" s="6" t="s">
        <v>64</v>
      </c>
      <c r="D1076" s="6" t="s">
        <v>3622</v>
      </c>
    </row>
    <row r="1077" spans="1:4" hidden="1" x14ac:dyDescent="0.35">
      <c r="A1077" s="6" t="s">
        <v>3102</v>
      </c>
      <c r="B1077" s="6" t="s">
        <v>3531</v>
      </c>
      <c r="C1077" s="6" t="s">
        <v>64</v>
      </c>
      <c r="D1077" s="6" t="s">
        <v>1084</v>
      </c>
    </row>
    <row r="1078" spans="1:4" hidden="1" x14ac:dyDescent="0.35">
      <c r="A1078" s="6" t="s">
        <v>3103</v>
      </c>
      <c r="B1078" s="6" t="s">
        <v>3532</v>
      </c>
      <c r="C1078" s="6" t="s">
        <v>64</v>
      </c>
      <c r="D1078" s="6" t="s">
        <v>3622</v>
      </c>
    </row>
    <row r="1079" spans="1:4" hidden="1" x14ac:dyDescent="0.35">
      <c r="A1079" s="6" t="s">
        <v>3104</v>
      </c>
      <c r="B1079" s="6" t="s">
        <v>3105</v>
      </c>
      <c r="C1079" s="6" t="s">
        <v>64</v>
      </c>
      <c r="D1079" s="6" t="s">
        <v>1084</v>
      </c>
    </row>
    <row r="1080" spans="1:4" hidden="1" x14ac:dyDescent="0.35">
      <c r="A1080" s="6" t="s">
        <v>2296</v>
      </c>
      <c r="B1080" s="6" t="s">
        <v>2297</v>
      </c>
      <c r="C1080" s="6" t="s">
        <v>64</v>
      </c>
      <c r="D1080" s="6" t="s">
        <v>3622</v>
      </c>
    </row>
    <row r="1081" spans="1:4" hidden="1" x14ac:dyDescent="0.35">
      <c r="A1081" s="6" t="s">
        <v>2298</v>
      </c>
      <c r="B1081" s="6" t="s">
        <v>1505</v>
      </c>
      <c r="C1081" s="6" t="s">
        <v>1244</v>
      </c>
      <c r="D1081" s="6" t="s">
        <v>3623</v>
      </c>
    </row>
    <row r="1082" spans="1:4" hidden="1" x14ac:dyDescent="0.35">
      <c r="A1082" s="6" t="s">
        <v>3106</v>
      </c>
      <c r="B1082" s="6" t="s">
        <v>3107</v>
      </c>
      <c r="C1082" s="6" t="s">
        <v>1244</v>
      </c>
      <c r="D1082" s="6" t="s">
        <v>3623</v>
      </c>
    </row>
    <row r="1083" spans="1:4" hidden="1" x14ac:dyDescent="0.35">
      <c r="A1083" s="6" t="s">
        <v>2299</v>
      </c>
      <c r="B1083" s="6" t="s">
        <v>1314</v>
      </c>
      <c r="C1083" s="6" t="s">
        <v>1244</v>
      </c>
      <c r="D1083" s="6" t="s">
        <v>3624</v>
      </c>
    </row>
    <row r="1084" spans="1:4" hidden="1" x14ac:dyDescent="0.35">
      <c r="A1084" s="6" t="s">
        <v>3108</v>
      </c>
      <c r="B1084" s="6" t="s">
        <v>3109</v>
      </c>
      <c r="C1084" s="6" t="s">
        <v>1244</v>
      </c>
      <c r="D1084" s="6" t="s">
        <v>1084</v>
      </c>
    </row>
    <row r="1085" spans="1:4" hidden="1" x14ac:dyDescent="0.35">
      <c r="A1085" s="6" t="s">
        <v>3110</v>
      </c>
      <c r="B1085" s="6" t="s">
        <v>3533</v>
      </c>
      <c r="C1085" s="6" t="s">
        <v>64</v>
      </c>
      <c r="D1085" s="6" t="s">
        <v>1084</v>
      </c>
    </row>
    <row r="1086" spans="1:4" hidden="1" x14ac:dyDescent="0.35">
      <c r="A1086" s="6" t="s">
        <v>3111</v>
      </c>
      <c r="B1086" s="6" t="s">
        <v>3534</v>
      </c>
      <c r="C1086" s="6" t="s">
        <v>64</v>
      </c>
      <c r="D1086" s="6" t="s">
        <v>3624</v>
      </c>
    </row>
    <row r="1087" spans="1:4" hidden="1" x14ac:dyDescent="0.35">
      <c r="A1087" s="6" t="s">
        <v>3112</v>
      </c>
      <c r="B1087" s="6" t="s">
        <v>3535</v>
      </c>
      <c r="C1087" s="6" t="s">
        <v>64</v>
      </c>
      <c r="D1087" s="6" t="s">
        <v>3622</v>
      </c>
    </row>
    <row r="1088" spans="1:4" hidden="1" x14ac:dyDescent="0.35">
      <c r="A1088" s="6" t="s">
        <v>2300</v>
      </c>
      <c r="B1088" s="6" t="s">
        <v>1513</v>
      </c>
      <c r="C1088" s="6" t="s">
        <v>64</v>
      </c>
      <c r="D1088" s="6" t="s">
        <v>3622</v>
      </c>
    </row>
    <row r="1089" spans="1:4" hidden="1" x14ac:dyDescent="0.35">
      <c r="A1089" s="6" t="s">
        <v>2301</v>
      </c>
      <c r="B1089" s="6" t="s">
        <v>1514</v>
      </c>
      <c r="C1089" s="6" t="s">
        <v>64</v>
      </c>
      <c r="D1089" s="6" t="s">
        <v>3624</v>
      </c>
    </row>
    <row r="1090" spans="1:4" hidden="1" x14ac:dyDescent="0.35">
      <c r="A1090" s="6" t="s">
        <v>3113</v>
      </c>
      <c r="B1090" s="6" t="s">
        <v>3114</v>
      </c>
      <c r="C1090" s="6" t="s">
        <v>1244</v>
      </c>
      <c r="D1090" s="6" t="s">
        <v>3622</v>
      </c>
    </row>
    <row r="1091" spans="1:4" hidden="1" x14ac:dyDescent="0.35">
      <c r="A1091" s="6" t="s">
        <v>3115</v>
      </c>
      <c r="B1091" s="6" t="s">
        <v>3116</v>
      </c>
      <c r="C1091" s="6" t="s">
        <v>1249</v>
      </c>
      <c r="D1091" s="6" t="s">
        <v>3624</v>
      </c>
    </row>
    <row r="1092" spans="1:4" hidden="1" x14ac:dyDescent="0.35">
      <c r="A1092" s="6" t="s">
        <v>3117</v>
      </c>
      <c r="B1092" s="6" t="s">
        <v>3118</v>
      </c>
      <c r="C1092" s="6" t="s">
        <v>1244</v>
      </c>
      <c r="D1092" s="6" t="s">
        <v>3623</v>
      </c>
    </row>
    <row r="1093" spans="1:4" hidden="1" x14ac:dyDescent="0.35">
      <c r="A1093" s="6" t="s">
        <v>3119</v>
      </c>
      <c r="B1093" s="6" t="s">
        <v>3120</v>
      </c>
      <c r="C1093" s="6" t="s">
        <v>1249</v>
      </c>
      <c r="D1093" s="6" t="s">
        <v>1084</v>
      </c>
    </row>
    <row r="1094" spans="1:4" hidden="1" x14ac:dyDescent="0.35">
      <c r="A1094" s="6" t="s">
        <v>2302</v>
      </c>
      <c r="B1094" s="6" t="s">
        <v>2303</v>
      </c>
      <c r="C1094" s="6" t="s">
        <v>1244</v>
      </c>
      <c r="D1094" s="6" t="s">
        <v>3622</v>
      </c>
    </row>
    <row r="1095" spans="1:4" hidden="1" x14ac:dyDescent="0.35">
      <c r="A1095" s="6" t="s">
        <v>2304</v>
      </c>
      <c r="B1095" s="6" t="s">
        <v>1523</v>
      </c>
      <c r="C1095" s="6" t="s">
        <v>1244</v>
      </c>
      <c r="D1095" s="6" t="s">
        <v>3622</v>
      </c>
    </row>
    <row r="1096" spans="1:4" hidden="1" x14ac:dyDescent="0.35">
      <c r="A1096" s="6" t="s">
        <v>2305</v>
      </c>
      <c r="B1096" s="6" t="s">
        <v>1524</v>
      </c>
      <c r="C1096" s="6" t="s">
        <v>1244</v>
      </c>
      <c r="D1096" s="6" t="s">
        <v>3624</v>
      </c>
    </row>
    <row r="1097" spans="1:4" hidden="1" x14ac:dyDescent="0.35">
      <c r="A1097" s="6" t="s">
        <v>2306</v>
      </c>
      <c r="B1097" s="6" t="s">
        <v>3536</v>
      </c>
      <c r="C1097" s="6" t="s">
        <v>1244</v>
      </c>
      <c r="D1097" s="6" t="s">
        <v>3623</v>
      </c>
    </row>
    <row r="1098" spans="1:4" hidden="1" x14ac:dyDescent="0.35">
      <c r="A1098" s="6" t="s">
        <v>3121</v>
      </c>
      <c r="B1098" s="6" t="s">
        <v>3122</v>
      </c>
      <c r="C1098" s="6" t="s">
        <v>64</v>
      </c>
      <c r="D1098" s="6" t="s">
        <v>1084</v>
      </c>
    </row>
    <row r="1099" spans="1:4" hidden="1" x14ac:dyDescent="0.35">
      <c r="A1099" s="6" t="s">
        <v>3123</v>
      </c>
      <c r="B1099" s="6" t="s">
        <v>3124</v>
      </c>
      <c r="C1099" s="6" t="s">
        <v>64</v>
      </c>
      <c r="D1099" s="6" t="s">
        <v>3622</v>
      </c>
    </row>
    <row r="1100" spans="1:4" hidden="1" x14ac:dyDescent="0.35">
      <c r="A1100" s="6" t="s">
        <v>3125</v>
      </c>
      <c r="B1100" s="6" t="s">
        <v>3125</v>
      </c>
      <c r="C1100" s="6" t="s">
        <v>64</v>
      </c>
      <c r="D1100" s="6" t="s">
        <v>3622</v>
      </c>
    </row>
    <row r="1101" spans="1:4" hidden="1" x14ac:dyDescent="0.35">
      <c r="A1101" s="6" t="s">
        <v>3126</v>
      </c>
      <c r="B1101" s="6" t="s">
        <v>3126</v>
      </c>
      <c r="C1101" s="6" t="s">
        <v>64</v>
      </c>
      <c r="D1101" s="6" t="s">
        <v>3622</v>
      </c>
    </row>
    <row r="1102" spans="1:4" hidden="1" x14ac:dyDescent="0.35">
      <c r="A1102" s="6" t="s">
        <v>2307</v>
      </c>
      <c r="B1102" s="6" t="s">
        <v>1492</v>
      </c>
      <c r="C1102" s="6" t="s">
        <v>64</v>
      </c>
      <c r="D1102" s="6" t="s">
        <v>3622</v>
      </c>
    </row>
    <row r="1103" spans="1:4" hidden="1" x14ac:dyDescent="0.35">
      <c r="A1103" s="6" t="s">
        <v>3127</v>
      </c>
      <c r="B1103" s="6" t="s">
        <v>3127</v>
      </c>
      <c r="C1103" s="6" t="s">
        <v>1244</v>
      </c>
      <c r="D1103" s="6" t="s">
        <v>3623</v>
      </c>
    </row>
    <row r="1104" spans="1:4" hidden="1" x14ac:dyDescent="0.35">
      <c r="A1104" s="6" t="s">
        <v>3128</v>
      </c>
      <c r="B1104" s="6" t="s">
        <v>3537</v>
      </c>
      <c r="C1104" s="6" t="s">
        <v>1242</v>
      </c>
      <c r="D1104" s="6" t="s">
        <v>1084</v>
      </c>
    </row>
    <row r="1105" spans="1:4" hidden="1" x14ac:dyDescent="0.35">
      <c r="A1105" s="6" t="s">
        <v>3129</v>
      </c>
      <c r="B1105" s="6" t="s">
        <v>3130</v>
      </c>
      <c r="C1105" s="6" t="s">
        <v>1244</v>
      </c>
      <c r="D1105" s="6" t="s">
        <v>3623</v>
      </c>
    </row>
    <row r="1106" spans="1:4" hidden="1" x14ac:dyDescent="0.35">
      <c r="A1106" s="6" t="s">
        <v>3131</v>
      </c>
      <c r="B1106" s="6" t="s">
        <v>3132</v>
      </c>
      <c r="C1106" s="6" t="s">
        <v>64</v>
      </c>
      <c r="D1106" s="6" t="s">
        <v>1084</v>
      </c>
    </row>
    <row r="1107" spans="1:4" hidden="1" x14ac:dyDescent="0.35">
      <c r="A1107" s="6" t="s">
        <v>2308</v>
      </c>
      <c r="B1107" s="6" t="s">
        <v>2309</v>
      </c>
      <c r="C1107" s="6" t="s">
        <v>1244</v>
      </c>
      <c r="D1107" s="6" t="s">
        <v>3622</v>
      </c>
    </row>
    <row r="1108" spans="1:4" hidden="1" x14ac:dyDescent="0.35">
      <c r="A1108" s="6" t="s">
        <v>2310</v>
      </c>
      <c r="B1108" s="6" t="s">
        <v>2311</v>
      </c>
      <c r="C1108" s="6" t="s">
        <v>1244</v>
      </c>
      <c r="D1108" s="6" t="s">
        <v>3622</v>
      </c>
    </row>
    <row r="1109" spans="1:4" hidden="1" x14ac:dyDescent="0.35">
      <c r="A1109" s="6" t="s">
        <v>2312</v>
      </c>
      <c r="B1109" s="6" t="s">
        <v>2313</v>
      </c>
      <c r="C1109" s="6" t="s">
        <v>1244</v>
      </c>
      <c r="D1109" s="6" t="s">
        <v>3624</v>
      </c>
    </row>
    <row r="1110" spans="1:4" hidden="1" x14ac:dyDescent="0.35">
      <c r="A1110" s="6" t="s">
        <v>2314</v>
      </c>
      <c r="B1110" s="6" t="s">
        <v>2315</v>
      </c>
      <c r="C1110" s="6" t="s">
        <v>1244</v>
      </c>
      <c r="D1110" s="6" t="s">
        <v>3623</v>
      </c>
    </row>
    <row r="1111" spans="1:4" hidden="1" x14ac:dyDescent="0.35">
      <c r="A1111" s="6" t="s">
        <v>3133</v>
      </c>
      <c r="B1111" s="6" t="s">
        <v>3133</v>
      </c>
      <c r="C1111" s="6" t="s">
        <v>1249</v>
      </c>
      <c r="D1111" s="6" t="s">
        <v>3622</v>
      </c>
    </row>
    <row r="1112" spans="1:4" hidden="1" x14ac:dyDescent="0.35">
      <c r="A1112" s="6" t="s">
        <v>3134</v>
      </c>
      <c r="B1112" s="6" t="s">
        <v>3135</v>
      </c>
      <c r="C1112" s="6" t="s">
        <v>1249</v>
      </c>
      <c r="D1112" s="6" t="s">
        <v>3624</v>
      </c>
    </row>
    <row r="1113" spans="1:4" hidden="1" x14ac:dyDescent="0.35">
      <c r="A1113" s="6" t="s">
        <v>2316</v>
      </c>
      <c r="B1113" s="6" t="s">
        <v>2317</v>
      </c>
      <c r="C1113" s="6" t="s">
        <v>1244</v>
      </c>
      <c r="D1113" s="6" t="s">
        <v>3622</v>
      </c>
    </row>
    <row r="1114" spans="1:4" hidden="1" x14ac:dyDescent="0.35">
      <c r="A1114" s="6" t="s">
        <v>2318</v>
      </c>
      <c r="B1114" s="6" t="s">
        <v>1498</v>
      </c>
      <c r="C1114" s="6" t="s">
        <v>1244</v>
      </c>
      <c r="D1114" s="6" t="s">
        <v>3624</v>
      </c>
    </row>
    <row r="1115" spans="1:4" hidden="1" x14ac:dyDescent="0.35">
      <c r="A1115" s="6" t="s">
        <v>2319</v>
      </c>
      <c r="B1115" s="6" t="s">
        <v>2320</v>
      </c>
      <c r="C1115" s="6" t="s">
        <v>1244</v>
      </c>
      <c r="D1115" s="6" t="s">
        <v>3622</v>
      </c>
    </row>
    <row r="1116" spans="1:4" hidden="1" x14ac:dyDescent="0.35">
      <c r="A1116" s="6" t="s">
        <v>3136</v>
      </c>
      <c r="B1116" s="6" t="s">
        <v>3137</v>
      </c>
      <c r="C1116" s="6" t="s">
        <v>64</v>
      </c>
      <c r="D1116" s="6" t="s">
        <v>1084</v>
      </c>
    </row>
    <row r="1117" spans="1:4" hidden="1" x14ac:dyDescent="0.35">
      <c r="A1117" s="6" t="s">
        <v>3138</v>
      </c>
      <c r="B1117" s="6" t="s">
        <v>3138</v>
      </c>
      <c r="C1117" s="6" t="s">
        <v>64</v>
      </c>
      <c r="D1117" s="6" t="s">
        <v>1084</v>
      </c>
    </row>
    <row r="1118" spans="1:4" hidden="1" x14ac:dyDescent="0.35">
      <c r="A1118" s="6" t="s">
        <v>2321</v>
      </c>
      <c r="B1118" s="6" t="s">
        <v>1585</v>
      </c>
      <c r="C1118" s="6" t="s">
        <v>1244</v>
      </c>
      <c r="D1118" s="6" t="s">
        <v>3623</v>
      </c>
    </row>
    <row r="1119" spans="1:4" hidden="1" x14ac:dyDescent="0.35">
      <c r="A1119" s="6" t="s">
        <v>2322</v>
      </c>
      <c r="B1119" s="6" t="s">
        <v>2323</v>
      </c>
      <c r="C1119" s="6" t="s">
        <v>1244</v>
      </c>
      <c r="D1119" s="6" t="s">
        <v>3622</v>
      </c>
    </row>
    <row r="1120" spans="1:4" hidden="1" x14ac:dyDescent="0.35">
      <c r="A1120" s="6" t="s">
        <v>2324</v>
      </c>
      <c r="B1120" s="6" t="s">
        <v>1641</v>
      </c>
      <c r="C1120" s="6" t="s">
        <v>1244</v>
      </c>
      <c r="D1120" s="6" t="s">
        <v>3623</v>
      </c>
    </row>
    <row r="1121" spans="1:4" hidden="1" x14ac:dyDescent="0.35">
      <c r="A1121" s="6" t="s">
        <v>2325</v>
      </c>
      <c r="B1121" s="6" t="s">
        <v>3538</v>
      </c>
      <c r="C1121" s="6" t="s">
        <v>1244</v>
      </c>
      <c r="D1121" s="6" t="s">
        <v>3622</v>
      </c>
    </row>
    <row r="1122" spans="1:4" hidden="1" x14ac:dyDescent="0.35">
      <c r="A1122" s="6" t="s">
        <v>2326</v>
      </c>
      <c r="B1122" s="6" t="s">
        <v>3139</v>
      </c>
      <c r="C1122" s="6" t="s">
        <v>1689</v>
      </c>
      <c r="D1122" s="6" t="s">
        <v>3624</v>
      </c>
    </row>
    <row r="1123" spans="1:4" hidden="1" x14ac:dyDescent="0.35">
      <c r="A1123" s="6" t="s">
        <v>3140</v>
      </c>
      <c r="B1123" s="6" t="s">
        <v>3141</v>
      </c>
      <c r="C1123" s="6" t="s">
        <v>1244</v>
      </c>
      <c r="D1123" s="6" t="s">
        <v>3623</v>
      </c>
    </row>
    <row r="1124" spans="1:4" hidden="1" x14ac:dyDescent="0.35">
      <c r="A1124" s="6" t="s">
        <v>3142</v>
      </c>
      <c r="B1124" s="6" t="s">
        <v>3143</v>
      </c>
      <c r="C1124" s="6" t="s">
        <v>64</v>
      </c>
      <c r="D1124" s="6" t="s">
        <v>1084</v>
      </c>
    </row>
    <row r="1125" spans="1:4" hidden="1" x14ac:dyDescent="0.35">
      <c r="A1125" s="6" t="s">
        <v>3144</v>
      </c>
      <c r="B1125" s="6" t="s">
        <v>3145</v>
      </c>
      <c r="C1125" s="6" t="s">
        <v>1242</v>
      </c>
      <c r="D1125" s="6" t="s">
        <v>1084</v>
      </c>
    </row>
    <row r="1126" spans="1:4" hidden="1" x14ac:dyDescent="0.35">
      <c r="A1126" s="6" t="s">
        <v>3146</v>
      </c>
      <c r="B1126" s="6" t="s">
        <v>3147</v>
      </c>
      <c r="C1126" s="6" t="s">
        <v>1244</v>
      </c>
      <c r="D1126" s="6" t="s">
        <v>1084</v>
      </c>
    </row>
    <row r="1127" spans="1:4" hidden="1" x14ac:dyDescent="0.35">
      <c r="A1127" s="6" t="s">
        <v>2327</v>
      </c>
      <c r="B1127" s="6" t="s">
        <v>1607</v>
      </c>
      <c r="C1127" s="6" t="s">
        <v>1244</v>
      </c>
      <c r="D1127" s="6" t="s">
        <v>3623</v>
      </c>
    </row>
    <row r="1128" spans="1:4" hidden="1" x14ac:dyDescent="0.35">
      <c r="A1128" s="6" t="s">
        <v>2328</v>
      </c>
      <c r="B1128" s="6" t="s">
        <v>3539</v>
      </c>
      <c r="C1128" s="6" t="s">
        <v>1244</v>
      </c>
      <c r="D1128" s="6" t="s">
        <v>3623</v>
      </c>
    </row>
    <row r="1129" spans="1:4" hidden="1" x14ac:dyDescent="0.35">
      <c r="A1129" s="6" t="s">
        <v>3148</v>
      </c>
      <c r="B1129" s="6" t="s">
        <v>3540</v>
      </c>
      <c r="C1129" s="6" t="s">
        <v>1244</v>
      </c>
      <c r="D1129" s="6" t="s">
        <v>3622</v>
      </c>
    </row>
    <row r="1130" spans="1:4" hidden="1" x14ac:dyDescent="0.35">
      <c r="A1130" s="6" t="s">
        <v>3149</v>
      </c>
      <c r="B1130" s="6" t="s">
        <v>3541</v>
      </c>
      <c r="C1130" s="6" t="s">
        <v>1244</v>
      </c>
      <c r="D1130" s="6" t="s">
        <v>3624</v>
      </c>
    </row>
    <row r="1131" spans="1:4" hidden="1" x14ac:dyDescent="0.35">
      <c r="A1131" s="6" t="s">
        <v>2329</v>
      </c>
      <c r="B1131" s="6" t="s">
        <v>1456</v>
      </c>
      <c r="C1131" s="6" t="s">
        <v>1244</v>
      </c>
      <c r="D1131" s="6" t="s">
        <v>3622</v>
      </c>
    </row>
    <row r="1132" spans="1:4" hidden="1" x14ac:dyDescent="0.35">
      <c r="A1132" s="6" t="s">
        <v>2330</v>
      </c>
      <c r="B1132" s="6" t="s">
        <v>1457</v>
      </c>
      <c r="C1132" s="6" t="s">
        <v>1244</v>
      </c>
      <c r="D1132" s="6" t="s">
        <v>3624</v>
      </c>
    </row>
    <row r="1133" spans="1:4" hidden="1" x14ac:dyDescent="0.35">
      <c r="A1133" s="6" t="s">
        <v>2331</v>
      </c>
      <c r="B1133" s="6" t="s">
        <v>2332</v>
      </c>
      <c r="C1133" s="6" t="s">
        <v>1244</v>
      </c>
      <c r="D1133" s="6" t="s">
        <v>3623</v>
      </c>
    </row>
    <row r="1134" spans="1:4" hidden="1" x14ac:dyDescent="0.35">
      <c r="A1134" s="6" t="s">
        <v>3150</v>
      </c>
      <c r="B1134" s="6" t="s">
        <v>3151</v>
      </c>
      <c r="C1134" s="6" t="s">
        <v>1242</v>
      </c>
      <c r="D1134" s="6" t="s">
        <v>1084</v>
      </c>
    </row>
    <row r="1135" spans="1:4" hidden="1" x14ac:dyDescent="0.35">
      <c r="A1135" s="6" t="s">
        <v>3152</v>
      </c>
      <c r="B1135" s="6" t="s">
        <v>3153</v>
      </c>
      <c r="C1135" s="6" t="s">
        <v>45</v>
      </c>
      <c r="D1135" s="6" t="s">
        <v>3623</v>
      </c>
    </row>
    <row r="1136" spans="1:4" hidden="1" x14ac:dyDescent="0.35">
      <c r="A1136" s="6" t="s">
        <v>2333</v>
      </c>
      <c r="B1136" s="6" t="s">
        <v>1298</v>
      </c>
      <c r="C1136" s="6" t="s">
        <v>1249</v>
      </c>
      <c r="D1136" s="6" t="s">
        <v>3622</v>
      </c>
    </row>
    <row r="1137" spans="1:4" hidden="1" x14ac:dyDescent="0.35">
      <c r="A1137" s="6" t="s">
        <v>3154</v>
      </c>
      <c r="B1137" s="6" t="s">
        <v>3155</v>
      </c>
      <c r="C1137" s="6" t="s">
        <v>1249</v>
      </c>
      <c r="D1137" s="6" t="s">
        <v>1084</v>
      </c>
    </row>
    <row r="1138" spans="1:4" hidden="1" x14ac:dyDescent="0.35">
      <c r="A1138" s="6" t="s">
        <v>2334</v>
      </c>
      <c r="B1138" s="6" t="s">
        <v>2335</v>
      </c>
      <c r="C1138" s="6" t="s">
        <v>1249</v>
      </c>
      <c r="D1138" s="6" t="s">
        <v>3624</v>
      </c>
    </row>
    <row r="1139" spans="1:4" hidden="1" x14ac:dyDescent="0.35">
      <c r="A1139" s="6" t="s">
        <v>3156</v>
      </c>
      <c r="B1139" s="6" t="s">
        <v>3542</v>
      </c>
      <c r="C1139" s="6" t="s">
        <v>1244</v>
      </c>
      <c r="D1139" s="6" t="s">
        <v>3623</v>
      </c>
    </row>
    <row r="1140" spans="1:4" hidden="1" x14ac:dyDescent="0.35">
      <c r="A1140" s="6" t="s">
        <v>3157</v>
      </c>
      <c r="B1140" s="6" t="s">
        <v>3158</v>
      </c>
      <c r="C1140" s="6" t="s">
        <v>1244</v>
      </c>
      <c r="D1140" s="6" t="s">
        <v>1084</v>
      </c>
    </row>
    <row r="1141" spans="1:4" hidden="1" x14ac:dyDescent="0.35">
      <c r="A1141" s="6" t="s">
        <v>3159</v>
      </c>
      <c r="B1141" s="6" t="s">
        <v>3160</v>
      </c>
      <c r="C1141" s="6" t="s">
        <v>1244</v>
      </c>
      <c r="D1141" s="6" t="s">
        <v>1084</v>
      </c>
    </row>
    <row r="1142" spans="1:4" hidden="1" x14ac:dyDescent="0.35">
      <c r="A1142" s="6" t="s">
        <v>3161</v>
      </c>
      <c r="B1142" s="6" t="s">
        <v>3162</v>
      </c>
      <c r="C1142" s="6" t="s">
        <v>64</v>
      </c>
      <c r="D1142" s="6" t="s">
        <v>1084</v>
      </c>
    </row>
    <row r="1143" spans="1:4" hidden="1" x14ac:dyDescent="0.35">
      <c r="A1143" s="6" t="s">
        <v>3163</v>
      </c>
      <c r="B1143" s="6" t="s">
        <v>3164</v>
      </c>
      <c r="C1143" s="6" t="s">
        <v>1242</v>
      </c>
      <c r="D1143" s="6" t="s">
        <v>1084</v>
      </c>
    </row>
    <row r="1144" spans="1:4" hidden="1" x14ac:dyDescent="0.35">
      <c r="A1144" s="6" t="s">
        <v>3165</v>
      </c>
      <c r="B1144" s="6" t="s">
        <v>3166</v>
      </c>
      <c r="C1144" s="6" t="s">
        <v>1242</v>
      </c>
      <c r="D1144" s="6" t="s">
        <v>1084</v>
      </c>
    </row>
    <row r="1145" spans="1:4" hidden="1" x14ac:dyDescent="0.35">
      <c r="A1145" s="6" t="s">
        <v>2336</v>
      </c>
      <c r="B1145" s="6" t="s">
        <v>1515</v>
      </c>
      <c r="C1145" s="6" t="s">
        <v>1244</v>
      </c>
      <c r="D1145" s="6" t="s">
        <v>3622</v>
      </c>
    </row>
    <row r="1146" spans="1:4" hidden="1" x14ac:dyDescent="0.35">
      <c r="A1146" s="6" t="s">
        <v>2337</v>
      </c>
      <c r="B1146" s="6" t="s">
        <v>1625</v>
      </c>
      <c r="C1146" s="6" t="s">
        <v>1244</v>
      </c>
      <c r="D1146" s="6" t="s">
        <v>3624</v>
      </c>
    </row>
    <row r="1147" spans="1:4" hidden="1" x14ac:dyDescent="0.35">
      <c r="A1147" s="6" t="s">
        <v>1706</v>
      </c>
      <c r="B1147" s="6" t="s">
        <v>3543</v>
      </c>
      <c r="C1147" s="6" t="s">
        <v>1689</v>
      </c>
      <c r="D1147" s="6" t="s">
        <v>3624</v>
      </c>
    </row>
    <row r="1148" spans="1:4" hidden="1" x14ac:dyDescent="0.35">
      <c r="A1148" s="6" t="s">
        <v>3544</v>
      </c>
      <c r="B1148" s="6" t="s">
        <v>3545</v>
      </c>
      <c r="C1148" s="6" t="s">
        <v>1244</v>
      </c>
      <c r="D1148" s="6" t="s">
        <v>3623</v>
      </c>
    </row>
    <row r="1149" spans="1:4" hidden="1" x14ac:dyDescent="0.35">
      <c r="A1149" s="6" t="s">
        <v>2338</v>
      </c>
      <c r="B1149" s="6" t="s">
        <v>1489</v>
      </c>
      <c r="C1149" s="6" t="s">
        <v>1244</v>
      </c>
      <c r="D1149" s="6" t="s">
        <v>3623</v>
      </c>
    </row>
    <row r="1150" spans="1:4" hidden="1" x14ac:dyDescent="0.35">
      <c r="A1150" s="6" t="s">
        <v>2339</v>
      </c>
      <c r="B1150" s="6" t="s">
        <v>2340</v>
      </c>
      <c r="C1150" s="6" t="s">
        <v>1248</v>
      </c>
      <c r="D1150" s="6" t="s">
        <v>3623</v>
      </c>
    </row>
    <row r="1151" spans="1:4" hidden="1" x14ac:dyDescent="0.35">
      <c r="A1151" s="6" t="s">
        <v>3167</v>
      </c>
      <c r="B1151" s="6" t="s">
        <v>3168</v>
      </c>
      <c r="C1151" s="6" t="s">
        <v>1242</v>
      </c>
      <c r="D1151" s="6" t="s">
        <v>1084</v>
      </c>
    </row>
    <row r="1152" spans="1:4" hidden="1" x14ac:dyDescent="0.35">
      <c r="A1152" s="6" t="s">
        <v>2341</v>
      </c>
      <c r="B1152" s="6" t="s">
        <v>2342</v>
      </c>
      <c r="C1152" s="6" t="s">
        <v>1244</v>
      </c>
      <c r="D1152" s="6" t="s">
        <v>3622</v>
      </c>
    </row>
    <row r="1153" spans="1:4" hidden="1" x14ac:dyDescent="0.35">
      <c r="A1153" s="6" t="s">
        <v>2343</v>
      </c>
      <c r="B1153" s="6" t="s">
        <v>1407</v>
      </c>
      <c r="C1153" s="6" t="s">
        <v>1244</v>
      </c>
      <c r="D1153" s="6" t="s">
        <v>3622</v>
      </c>
    </row>
    <row r="1154" spans="1:4" hidden="1" x14ac:dyDescent="0.35">
      <c r="A1154" s="6" t="s">
        <v>3169</v>
      </c>
      <c r="B1154" s="6" t="s">
        <v>3546</v>
      </c>
      <c r="C1154" s="6" t="s">
        <v>1242</v>
      </c>
      <c r="D1154" s="6" t="s">
        <v>1084</v>
      </c>
    </row>
    <row r="1155" spans="1:4" hidden="1" x14ac:dyDescent="0.35">
      <c r="A1155" s="6" t="s">
        <v>3170</v>
      </c>
      <c r="B1155" s="6" t="s">
        <v>3171</v>
      </c>
      <c r="C1155" s="6" t="s">
        <v>45</v>
      </c>
      <c r="D1155" s="6" t="s">
        <v>3623</v>
      </c>
    </row>
    <row r="1156" spans="1:4" hidden="1" x14ac:dyDescent="0.35">
      <c r="A1156" s="6" t="s">
        <v>2344</v>
      </c>
      <c r="B1156" s="6" t="s">
        <v>1408</v>
      </c>
      <c r="C1156" s="6" t="s">
        <v>1244</v>
      </c>
      <c r="D1156" s="6" t="s">
        <v>3624</v>
      </c>
    </row>
    <row r="1157" spans="1:4" hidden="1" x14ac:dyDescent="0.35">
      <c r="A1157" s="6" t="s">
        <v>3547</v>
      </c>
      <c r="B1157" s="6" t="s">
        <v>3548</v>
      </c>
      <c r="C1157" s="6" t="s">
        <v>1244</v>
      </c>
      <c r="D1157" s="6" t="s">
        <v>3623</v>
      </c>
    </row>
    <row r="1158" spans="1:4" hidden="1" x14ac:dyDescent="0.35">
      <c r="A1158" s="6" t="s">
        <v>804</v>
      </c>
      <c r="B1158" s="6" t="s">
        <v>3549</v>
      </c>
      <c r="C1158" s="6" t="s">
        <v>1244</v>
      </c>
      <c r="D1158" s="6" t="s">
        <v>3623</v>
      </c>
    </row>
    <row r="1159" spans="1:4" hidden="1" x14ac:dyDescent="0.35">
      <c r="A1159" s="6" t="s">
        <v>2345</v>
      </c>
      <c r="B1159" s="6" t="s">
        <v>1252</v>
      </c>
      <c r="C1159" s="6" t="s">
        <v>1244</v>
      </c>
      <c r="D1159" s="6" t="s">
        <v>3622</v>
      </c>
    </row>
    <row r="1160" spans="1:4" hidden="1" x14ac:dyDescent="0.35">
      <c r="A1160" s="6" t="s">
        <v>2346</v>
      </c>
      <c r="B1160" s="6" t="s">
        <v>1442</v>
      </c>
      <c r="C1160" s="6" t="s">
        <v>64</v>
      </c>
      <c r="D1160" s="6" t="s">
        <v>3622</v>
      </c>
    </row>
    <row r="1161" spans="1:4" hidden="1" x14ac:dyDescent="0.35">
      <c r="A1161" s="6" t="s">
        <v>2347</v>
      </c>
      <c r="B1161" s="6" t="s">
        <v>1443</v>
      </c>
      <c r="C1161" s="6" t="s">
        <v>64</v>
      </c>
      <c r="D1161" s="6" t="s">
        <v>3624</v>
      </c>
    </row>
    <row r="1162" spans="1:4" hidden="1" x14ac:dyDescent="0.35">
      <c r="A1162" s="6" t="s">
        <v>3172</v>
      </c>
      <c r="B1162" s="6" t="s">
        <v>3550</v>
      </c>
      <c r="C1162" s="6" t="s">
        <v>1242</v>
      </c>
      <c r="D1162" s="6" t="s">
        <v>3622</v>
      </c>
    </row>
    <row r="1163" spans="1:4" hidden="1" x14ac:dyDescent="0.35">
      <c r="A1163" s="6" t="s">
        <v>3173</v>
      </c>
      <c r="B1163" s="6" t="s">
        <v>3174</v>
      </c>
      <c r="C1163" s="6" t="s">
        <v>1242</v>
      </c>
      <c r="D1163" s="6" t="s">
        <v>1084</v>
      </c>
    </row>
    <row r="1164" spans="1:4" hidden="1" x14ac:dyDescent="0.35">
      <c r="A1164" s="6" t="s">
        <v>2348</v>
      </c>
      <c r="B1164" s="6" t="s">
        <v>2349</v>
      </c>
      <c r="C1164" s="6" t="s">
        <v>1244</v>
      </c>
      <c r="D1164" s="6" t="s">
        <v>3622</v>
      </c>
    </row>
    <row r="1165" spans="1:4" hidden="1" x14ac:dyDescent="0.35">
      <c r="A1165" s="6" t="s">
        <v>3175</v>
      </c>
      <c r="B1165" s="6" t="s">
        <v>3176</v>
      </c>
      <c r="C1165" s="6" t="s">
        <v>64</v>
      </c>
      <c r="D1165" s="6" t="s">
        <v>1084</v>
      </c>
    </row>
    <row r="1166" spans="1:4" hidden="1" x14ac:dyDescent="0.35">
      <c r="A1166" s="6" t="s">
        <v>2350</v>
      </c>
      <c r="B1166" s="6" t="s">
        <v>1490</v>
      </c>
      <c r="C1166" s="6" t="s">
        <v>1244</v>
      </c>
      <c r="D1166" s="6" t="s">
        <v>3622</v>
      </c>
    </row>
    <row r="1167" spans="1:4" hidden="1" x14ac:dyDescent="0.35">
      <c r="A1167" s="6" t="s">
        <v>2351</v>
      </c>
      <c r="B1167" s="6" t="s">
        <v>3551</v>
      </c>
      <c r="C1167" s="6" t="s">
        <v>1244</v>
      </c>
      <c r="D1167" s="6" t="s">
        <v>3622</v>
      </c>
    </row>
    <row r="1168" spans="1:4" hidden="1" x14ac:dyDescent="0.35">
      <c r="A1168" s="6" t="s">
        <v>2352</v>
      </c>
      <c r="B1168" s="6" t="s">
        <v>2353</v>
      </c>
      <c r="C1168" s="6" t="s">
        <v>1244</v>
      </c>
      <c r="D1168" s="6" t="s">
        <v>3623</v>
      </c>
    </row>
    <row r="1169" spans="1:4" hidden="1" x14ac:dyDescent="0.35">
      <c r="A1169" s="6" t="s">
        <v>2354</v>
      </c>
      <c r="B1169" s="6" t="s">
        <v>2355</v>
      </c>
      <c r="C1169" s="6" t="s">
        <v>1244</v>
      </c>
      <c r="D1169" s="6" t="s">
        <v>3623</v>
      </c>
    </row>
    <row r="1170" spans="1:4" hidden="1" x14ac:dyDescent="0.35">
      <c r="A1170" s="6" t="s">
        <v>2356</v>
      </c>
      <c r="B1170" s="6" t="s">
        <v>1377</v>
      </c>
      <c r="C1170" s="6" t="s">
        <v>1244</v>
      </c>
      <c r="D1170" s="6" t="s">
        <v>3623</v>
      </c>
    </row>
    <row r="1171" spans="1:4" hidden="1" x14ac:dyDescent="0.35">
      <c r="A1171" s="6" t="s">
        <v>2357</v>
      </c>
      <c r="B1171" s="6" t="s">
        <v>2358</v>
      </c>
      <c r="C1171" s="6" t="s">
        <v>1244</v>
      </c>
      <c r="D1171" s="6" t="s">
        <v>3623</v>
      </c>
    </row>
    <row r="1172" spans="1:4" hidden="1" x14ac:dyDescent="0.35">
      <c r="A1172" s="6" t="s">
        <v>3177</v>
      </c>
      <c r="B1172" s="6" t="s">
        <v>3552</v>
      </c>
      <c r="C1172" s="6" t="s">
        <v>1242</v>
      </c>
      <c r="D1172" s="6" t="s">
        <v>1084</v>
      </c>
    </row>
    <row r="1173" spans="1:4" hidden="1" x14ac:dyDescent="0.35">
      <c r="A1173" s="6" t="s">
        <v>3178</v>
      </c>
      <c r="B1173" s="6" t="s">
        <v>3553</v>
      </c>
      <c r="C1173" s="6" t="s">
        <v>1242</v>
      </c>
      <c r="D1173" s="6" t="s">
        <v>1084</v>
      </c>
    </row>
    <row r="1174" spans="1:4" hidden="1" x14ac:dyDescent="0.35">
      <c r="A1174" s="6" t="s">
        <v>3179</v>
      </c>
      <c r="B1174" s="6" t="s">
        <v>3180</v>
      </c>
      <c r="C1174" s="6" t="s">
        <v>1242</v>
      </c>
      <c r="D1174" s="6" t="s">
        <v>1084</v>
      </c>
    </row>
    <row r="1175" spans="1:4" hidden="1" x14ac:dyDescent="0.35">
      <c r="A1175" s="6" t="s">
        <v>3181</v>
      </c>
      <c r="B1175" s="6" t="s">
        <v>3182</v>
      </c>
      <c r="C1175" s="6" t="s">
        <v>1244</v>
      </c>
      <c r="D1175" s="6" t="s">
        <v>1084</v>
      </c>
    </row>
    <row r="1176" spans="1:4" hidden="1" x14ac:dyDescent="0.35">
      <c r="A1176" s="6" t="s">
        <v>3183</v>
      </c>
      <c r="B1176" s="6" t="s">
        <v>3184</v>
      </c>
      <c r="C1176" s="6" t="s">
        <v>1244</v>
      </c>
      <c r="D1176" s="6" t="s">
        <v>3622</v>
      </c>
    </row>
    <row r="1177" spans="1:4" hidden="1" x14ac:dyDescent="0.35">
      <c r="A1177" s="6" t="s">
        <v>2359</v>
      </c>
      <c r="B1177" s="6" t="s">
        <v>2360</v>
      </c>
      <c r="C1177" s="6" t="s">
        <v>1244</v>
      </c>
      <c r="D1177" s="6" t="s">
        <v>3623</v>
      </c>
    </row>
    <row r="1178" spans="1:4" hidden="1" x14ac:dyDescent="0.35">
      <c r="A1178" s="6" t="s">
        <v>2361</v>
      </c>
      <c r="B1178" s="6" t="s">
        <v>1581</v>
      </c>
      <c r="C1178" s="6" t="s">
        <v>1244</v>
      </c>
      <c r="D1178" s="6" t="s">
        <v>3622</v>
      </c>
    </row>
    <row r="1179" spans="1:4" hidden="1" x14ac:dyDescent="0.35">
      <c r="A1179" s="6" t="s">
        <v>2362</v>
      </c>
      <c r="B1179" s="6" t="s">
        <v>1491</v>
      </c>
      <c r="C1179" s="6" t="s">
        <v>1244</v>
      </c>
      <c r="D1179" s="6" t="s">
        <v>3624</v>
      </c>
    </row>
    <row r="1180" spans="1:4" hidden="1" x14ac:dyDescent="0.35">
      <c r="A1180" s="6" t="s">
        <v>2363</v>
      </c>
      <c r="B1180" s="6" t="s">
        <v>1582</v>
      </c>
      <c r="C1180" s="6" t="s">
        <v>1244</v>
      </c>
      <c r="D1180" s="6" t="s">
        <v>3624</v>
      </c>
    </row>
    <row r="1181" spans="1:4" hidden="1" x14ac:dyDescent="0.35">
      <c r="A1181" s="6" t="s">
        <v>3185</v>
      </c>
      <c r="B1181" s="6" t="s">
        <v>3186</v>
      </c>
      <c r="C1181" s="6" t="s">
        <v>64</v>
      </c>
      <c r="D1181" s="6" t="s">
        <v>1084</v>
      </c>
    </row>
    <row r="1182" spans="1:4" hidden="1" x14ac:dyDescent="0.35">
      <c r="A1182" s="6" t="s">
        <v>3187</v>
      </c>
      <c r="B1182" s="6" t="s">
        <v>3188</v>
      </c>
      <c r="C1182" s="6" t="s">
        <v>64</v>
      </c>
      <c r="D1182" s="6" t="s">
        <v>1084</v>
      </c>
    </row>
    <row r="1183" spans="1:4" hidden="1" x14ac:dyDescent="0.35">
      <c r="A1183" s="6" t="s">
        <v>2364</v>
      </c>
      <c r="B1183" s="6" t="s">
        <v>1573</v>
      </c>
      <c r="C1183" s="6" t="s">
        <v>1244</v>
      </c>
      <c r="D1183" s="6" t="s">
        <v>3622</v>
      </c>
    </row>
    <row r="1184" spans="1:4" hidden="1" x14ac:dyDescent="0.35">
      <c r="A1184" s="6" t="s">
        <v>2365</v>
      </c>
      <c r="B1184" s="6" t="s">
        <v>1574</v>
      </c>
      <c r="C1184" s="6" t="s">
        <v>1244</v>
      </c>
      <c r="D1184" s="6" t="s">
        <v>3624</v>
      </c>
    </row>
    <row r="1185" spans="1:4" hidden="1" x14ac:dyDescent="0.35">
      <c r="A1185" s="6" t="s">
        <v>2366</v>
      </c>
      <c r="B1185" s="6" t="s">
        <v>3189</v>
      </c>
      <c r="C1185" s="6" t="s">
        <v>1244</v>
      </c>
      <c r="D1185" s="6" t="s">
        <v>3622</v>
      </c>
    </row>
    <row r="1186" spans="1:4" hidden="1" x14ac:dyDescent="0.35">
      <c r="A1186" s="6" t="s">
        <v>2367</v>
      </c>
      <c r="B1186" s="6" t="s">
        <v>3554</v>
      </c>
      <c r="C1186" s="6" t="s">
        <v>1244</v>
      </c>
      <c r="D1186" s="6" t="s">
        <v>3622</v>
      </c>
    </row>
    <row r="1187" spans="1:4" hidden="1" x14ac:dyDescent="0.35">
      <c r="A1187" s="6" t="s">
        <v>3555</v>
      </c>
      <c r="B1187" s="6" t="s">
        <v>3556</v>
      </c>
      <c r="C1187" s="6" t="s">
        <v>1244</v>
      </c>
      <c r="D1187" s="6" t="s">
        <v>3623</v>
      </c>
    </row>
    <row r="1188" spans="1:4" hidden="1" x14ac:dyDescent="0.35">
      <c r="A1188" s="6" t="s">
        <v>2368</v>
      </c>
      <c r="B1188" s="6" t="s">
        <v>2369</v>
      </c>
      <c r="C1188" s="6" t="s">
        <v>1244</v>
      </c>
      <c r="D1188" s="6" t="s">
        <v>3623</v>
      </c>
    </row>
    <row r="1189" spans="1:4" hidden="1" x14ac:dyDescent="0.35">
      <c r="A1189" s="6" t="s">
        <v>2370</v>
      </c>
      <c r="B1189" s="6" t="s">
        <v>1376</v>
      </c>
      <c r="C1189" s="6" t="s">
        <v>1244</v>
      </c>
      <c r="D1189" s="6" t="s">
        <v>3623</v>
      </c>
    </row>
    <row r="1190" spans="1:4" hidden="1" x14ac:dyDescent="0.35">
      <c r="A1190" s="6" t="s">
        <v>2371</v>
      </c>
      <c r="B1190" s="6" t="s">
        <v>1644</v>
      </c>
      <c r="C1190" s="6" t="s">
        <v>1244</v>
      </c>
      <c r="D1190" s="6" t="s">
        <v>3623</v>
      </c>
    </row>
    <row r="1191" spans="1:4" hidden="1" x14ac:dyDescent="0.35">
      <c r="A1191" s="6" t="s">
        <v>2372</v>
      </c>
      <c r="B1191" s="6" t="s">
        <v>2373</v>
      </c>
      <c r="C1191" s="6" t="s">
        <v>1244</v>
      </c>
      <c r="D1191" s="6" t="s">
        <v>3622</v>
      </c>
    </row>
    <row r="1192" spans="1:4" hidden="1" x14ac:dyDescent="0.35">
      <c r="A1192" s="6" t="s">
        <v>3190</v>
      </c>
      <c r="B1192" s="6" t="s">
        <v>3191</v>
      </c>
      <c r="C1192" s="6" t="s">
        <v>64</v>
      </c>
      <c r="D1192" s="6" t="s">
        <v>1084</v>
      </c>
    </row>
    <row r="1193" spans="1:4" hidden="1" x14ac:dyDescent="0.35">
      <c r="A1193" s="6" t="s">
        <v>3192</v>
      </c>
      <c r="B1193" s="6" t="s">
        <v>3193</v>
      </c>
      <c r="C1193" s="6" t="s">
        <v>64</v>
      </c>
      <c r="D1193" s="6" t="s">
        <v>1084</v>
      </c>
    </row>
    <row r="1194" spans="1:4" hidden="1" x14ac:dyDescent="0.35">
      <c r="A1194" s="6" t="s">
        <v>2374</v>
      </c>
      <c r="B1194" s="6" t="s">
        <v>2375</v>
      </c>
      <c r="C1194" s="6" t="s">
        <v>1244</v>
      </c>
      <c r="D1194" s="6" t="s">
        <v>3622</v>
      </c>
    </row>
    <row r="1195" spans="1:4" hidden="1" x14ac:dyDescent="0.35">
      <c r="A1195" s="6" t="s">
        <v>3194</v>
      </c>
      <c r="B1195" s="6" t="s">
        <v>3195</v>
      </c>
      <c r="C1195" s="6" t="s">
        <v>1244</v>
      </c>
      <c r="D1195" s="6" t="s">
        <v>3623</v>
      </c>
    </row>
    <row r="1196" spans="1:4" hidden="1" x14ac:dyDescent="0.35">
      <c r="A1196" s="6" t="s">
        <v>3196</v>
      </c>
      <c r="B1196" s="6" t="s">
        <v>3197</v>
      </c>
      <c r="C1196" s="6" t="s">
        <v>1244</v>
      </c>
      <c r="D1196" s="6" t="s">
        <v>3623</v>
      </c>
    </row>
    <row r="1197" spans="1:4" hidden="1" x14ac:dyDescent="0.35">
      <c r="A1197" s="6" t="s">
        <v>2376</v>
      </c>
      <c r="B1197" s="6" t="s">
        <v>2377</v>
      </c>
      <c r="C1197" s="6" t="s">
        <v>1244</v>
      </c>
      <c r="D1197" s="6" t="s">
        <v>3622</v>
      </c>
    </row>
    <row r="1198" spans="1:4" hidden="1" x14ac:dyDescent="0.35">
      <c r="A1198" s="6" t="s">
        <v>2378</v>
      </c>
      <c r="B1198" s="6" t="s">
        <v>1262</v>
      </c>
      <c r="C1198" s="6" t="s">
        <v>1244</v>
      </c>
      <c r="D1198" s="6" t="s">
        <v>3622</v>
      </c>
    </row>
    <row r="1199" spans="1:4" hidden="1" x14ac:dyDescent="0.35">
      <c r="A1199" s="6" t="s">
        <v>3198</v>
      </c>
      <c r="B1199" s="6" t="s">
        <v>3199</v>
      </c>
      <c r="C1199" s="6" t="s">
        <v>1244</v>
      </c>
      <c r="D1199" s="6" t="s">
        <v>1084</v>
      </c>
    </row>
    <row r="1200" spans="1:4" hidden="1" x14ac:dyDescent="0.35">
      <c r="A1200" s="6" t="s">
        <v>3200</v>
      </c>
      <c r="B1200" s="6" t="s">
        <v>3201</v>
      </c>
      <c r="C1200" s="6" t="s">
        <v>1244</v>
      </c>
      <c r="D1200" s="6" t="s">
        <v>1084</v>
      </c>
    </row>
    <row r="1201" spans="1:4" hidden="1" x14ac:dyDescent="0.35">
      <c r="A1201" s="6" t="s">
        <v>2379</v>
      </c>
      <c r="B1201" s="6" t="s">
        <v>1452</v>
      </c>
      <c r="C1201" s="6" t="s">
        <v>2714</v>
      </c>
      <c r="D1201" s="6" t="s">
        <v>3622</v>
      </c>
    </row>
    <row r="1202" spans="1:4" hidden="1" x14ac:dyDescent="0.35">
      <c r="A1202" s="6" t="s">
        <v>3557</v>
      </c>
      <c r="B1202" s="6" t="s">
        <v>3558</v>
      </c>
      <c r="C1202" s="6" t="s">
        <v>2714</v>
      </c>
      <c r="D1202" s="6" t="s">
        <v>3624</v>
      </c>
    </row>
    <row r="1203" spans="1:4" hidden="1" x14ac:dyDescent="0.35">
      <c r="A1203" s="6" t="s">
        <v>3559</v>
      </c>
      <c r="B1203" s="6" t="s">
        <v>3560</v>
      </c>
      <c r="C1203" s="6" t="s">
        <v>2714</v>
      </c>
      <c r="D1203" s="6" t="s">
        <v>3624</v>
      </c>
    </row>
    <row r="1204" spans="1:4" hidden="1" x14ac:dyDescent="0.35">
      <c r="A1204" s="6" t="s">
        <v>3561</v>
      </c>
      <c r="B1204" s="6" t="s">
        <v>3562</v>
      </c>
      <c r="C1204" s="6" t="s">
        <v>2714</v>
      </c>
      <c r="D1204" s="6" t="s">
        <v>3624</v>
      </c>
    </row>
    <row r="1205" spans="1:4" hidden="1" x14ac:dyDescent="0.35">
      <c r="A1205" s="6" t="s">
        <v>3563</v>
      </c>
      <c r="B1205" s="6" t="s">
        <v>3564</v>
      </c>
      <c r="C1205" s="6" t="s">
        <v>2714</v>
      </c>
      <c r="D1205" s="6" t="s">
        <v>3624</v>
      </c>
    </row>
    <row r="1206" spans="1:4" hidden="1" x14ac:dyDescent="0.35">
      <c r="A1206" s="6" t="s">
        <v>3202</v>
      </c>
      <c r="B1206" s="6" t="s">
        <v>3203</v>
      </c>
      <c r="C1206" s="6" t="s">
        <v>1244</v>
      </c>
      <c r="D1206" s="6" t="s">
        <v>1084</v>
      </c>
    </row>
    <row r="1207" spans="1:4" hidden="1" x14ac:dyDescent="0.35">
      <c r="A1207" s="6" t="s">
        <v>3204</v>
      </c>
      <c r="B1207" s="6" t="s">
        <v>3205</v>
      </c>
      <c r="C1207" s="6" t="s">
        <v>1244</v>
      </c>
      <c r="D1207" s="6" t="s">
        <v>3622</v>
      </c>
    </row>
    <row r="1208" spans="1:4" hidden="1" x14ac:dyDescent="0.35">
      <c r="A1208" s="6" t="s">
        <v>855</v>
      </c>
      <c r="B1208" s="6" t="s">
        <v>1496</v>
      </c>
      <c r="C1208" s="6" t="s">
        <v>1244</v>
      </c>
      <c r="D1208" s="6" t="s">
        <v>3624</v>
      </c>
    </row>
    <row r="1209" spans="1:4" hidden="1" x14ac:dyDescent="0.35">
      <c r="A1209" s="6" t="s">
        <v>2380</v>
      </c>
      <c r="B1209" s="6" t="s">
        <v>1381</v>
      </c>
      <c r="C1209" s="6" t="s">
        <v>2714</v>
      </c>
      <c r="D1209" s="6" t="s">
        <v>3622</v>
      </c>
    </row>
    <row r="1210" spans="1:4" hidden="1" x14ac:dyDescent="0.35">
      <c r="A1210" s="6" t="s">
        <v>2381</v>
      </c>
      <c r="B1210" s="6" t="s">
        <v>1378</v>
      </c>
      <c r="C1210" s="6" t="s">
        <v>1244</v>
      </c>
      <c r="D1210" s="6" t="s">
        <v>3623</v>
      </c>
    </row>
    <row r="1211" spans="1:4" hidden="1" x14ac:dyDescent="0.35">
      <c r="A1211" s="6" t="s">
        <v>2382</v>
      </c>
      <c r="B1211" s="6" t="s">
        <v>3206</v>
      </c>
      <c r="C1211" s="6" t="s">
        <v>1244</v>
      </c>
      <c r="D1211" s="6" t="s">
        <v>3623</v>
      </c>
    </row>
    <row r="1212" spans="1:4" hidden="1" x14ac:dyDescent="0.35">
      <c r="A1212" s="6" t="s">
        <v>3207</v>
      </c>
      <c r="B1212" s="6" t="s">
        <v>3565</v>
      </c>
      <c r="C1212" s="6" t="s">
        <v>2714</v>
      </c>
      <c r="D1212" s="6" t="s">
        <v>3624</v>
      </c>
    </row>
    <row r="1213" spans="1:4" hidden="1" x14ac:dyDescent="0.35">
      <c r="A1213" s="6" t="s">
        <v>3208</v>
      </c>
      <c r="B1213" s="6" t="s">
        <v>3209</v>
      </c>
      <c r="C1213" s="6" t="s">
        <v>94</v>
      </c>
      <c r="D1213" s="6" t="s">
        <v>3622</v>
      </c>
    </row>
    <row r="1214" spans="1:4" hidden="1" x14ac:dyDescent="0.35">
      <c r="A1214" s="6" t="s">
        <v>3210</v>
      </c>
      <c r="B1214" s="6" t="s">
        <v>3566</v>
      </c>
      <c r="C1214" s="6" t="s">
        <v>94</v>
      </c>
      <c r="D1214" s="6" t="s">
        <v>3624</v>
      </c>
    </row>
    <row r="1215" spans="1:4" hidden="1" x14ac:dyDescent="0.35">
      <c r="A1215" s="6" t="s">
        <v>3211</v>
      </c>
      <c r="B1215" s="6" t="s">
        <v>3211</v>
      </c>
      <c r="C1215" s="6" t="s">
        <v>94</v>
      </c>
      <c r="D1215" s="6" t="s">
        <v>1084</v>
      </c>
    </row>
    <row r="1216" spans="1:4" hidden="1" x14ac:dyDescent="0.35">
      <c r="A1216" s="6" t="s">
        <v>3212</v>
      </c>
      <c r="B1216" s="6" t="s">
        <v>3213</v>
      </c>
      <c r="C1216" s="6" t="s">
        <v>1244</v>
      </c>
      <c r="D1216" s="6" t="s">
        <v>3622</v>
      </c>
    </row>
    <row r="1217" spans="1:4" hidden="1" x14ac:dyDescent="0.35">
      <c r="A1217" s="6" t="s">
        <v>3214</v>
      </c>
      <c r="B1217" s="6" t="s">
        <v>3215</v>
      </c>
      <c r="C1217" s="6" t="s">
        <v>1242</v>
      </c>
      <c r="D1217" s="6" t="s">
        <v>3624</v>
      </c>
    </row>
    <row r="1218" spans="1:4" hidden="1" x14ac:dyDescent="0.35">
      <c r="A1218" s="6" t="s">
        <v>2383</v>
      </c>
      <c r="B1218" s="6" t="s">
        <v>1495</v>
      </c>
      <c r="C1218" s="6" t="s">
        <v>1244</v>
      </c>
      <c r="D1218" s="6" t="s">
        <v>3622</v>
      </c>
    </row>
    <row r="1219" spans="1:4" hidden="1" x14ac:dyDescent="0.35">
      <c r="A1219" s="6" t="s">
        <v>2384</v>
      </c>
      <c r="B1219" s="6" t="s">
        <v>2385</v>
      </c>
      <c r="C1219" s="6" t="s">
        <v>1244</v>
      </c>
      <c r="D1219" s="6" t="s">
        <v>3623</v>
      </c>
    </row>
    <row r="1220" spans="1:4" hidden="1" x14ac:dyDescent="0.35">
      <c r="A1220" s="6" t="s">
        <v>3216</v>
      </c>
      <c r="B1220" s="6" t="s">
        <v>3217</v>
      </c>
      <c r="C1220" s="6" t="s">
        <v>1242</v>
      </c>
      <c r="D1220" s="6" t="s">
        <v>3622</v>
      </c>
    </row>
    <row r="1221" spans="1:4" hidden="1" x14ac:dyDescent="0.35">
      <c r="A1221" s="6" t="s">
        <v>3218</v>
      </c>
      <c r="B1221" s="6" t="s">
        <v>3219</v>
      </c>
      <c r="C1221" s="6" t="s">
        <v>1242</v>
      </c>
      <c r="D1221" s="6" t="s">
        <v>1084</v>
      </c>
    </row>
    <row r="1222" spans="1:4" hidden="1" x14ac:dyDescent="0.35">
      <c r="A1222" s="6" t="s">
        <v>3220</v>
      </c>
      <c r="B1222" s="6" t="s">
        <v>3567</v>
      </c>
      <c r="C1222" s="6" t="s">
        <v>45</v>
      </c>
      <c r="D1222" s="6" t="s">
        <v>3623</v>
      </c>
    </row>
    <row r="1223" spans="1:4" hidden="1" x14ac:dyDescent="0.35">
      <c r="A1223" s="6" t="s">
        <v>3221</v>
      </c>
      <c r="B1223" s="6" t="s">
        <v>3568</v>
      </c>
      <c r="C1223" s="6" t="s">
        <v>45</v>
      </c>
      <c r="D1223" s="6" t="s">
        <v>3623</v>
      </c>
    </row>
    <row r="1224" spans="1:4" hidden="1" x14ac:dyDescent="0.35">
      <c r="A1224" s="6" t="s">
        <v>3222</v>
      </c>
      <c r="B1224" s="6" t="s">
        <v>3223</v>
      </c>
      <c r="C1224" s="6" t="s">
        <v>1244</v>
      </c>
      <c r="D1224" s="6" t="s">
        <v>3622</v>
      </c>
    </row>
    <row r="1225" spans="1:4" hidden="1" x14ac:dyDescent="0.35">
      <c r="A1225" s="6" t="s">
        <v>3224</v>
      </c>
      <c r="B1225" s="6" t="s">
        <v>3225</v>
      </c>
      <c r="C1225" s="6" t="s">
        <v>1244</v>
      </c>
      <c r="D1225" s="6" t="s">
        <v>3624</v>
      </c>
    </row>
    <row r="1226" spans="1:4" hidden="1" x14ac:dyDescent="0.35">
      <c r="A1226" s="6" t="s">
        <v>2386</v>
      </c>
      <c r="B1226" s="6" t="s">
        <v>2387</v>
      </c>
      <c r="C1226" s="6" t="s">
        <v>1244</v>
      </c>
      <c r="D1226" s="6" t="s">
        <v>3623</v>
      </c>
    </row>
    <row r="1227" spans="1:4" hidden="1" x14ac:dyDescent="0.35">
      <c r="A1227" s="6" t="s">
        <v>3226</v>
      </c>
      <c r="B1227" s="6" t="s">
        <v>3227</v>
      </c>
      <c r="C1227" s="6" t="s">
        <v>1244</v>
      </c>
      <c r="D1227" s="6" t="s">
        <v>3623</v>
      </c>
    </row>
    <row r="1228" spans="1:4" hidden="1" x14ac:dyDescent="0.35">
      <c r="A1228" s="6" t="s">
        <v>2388</v>
      </c>
      <c r="B1228" s="6" t="s">
        <v>2389</v>
      </c>
      <c r="C1228" s="6" t="s">
        <v>1244</v>
      </c>
      <c r="D1228" s="6" t="s">
        <v>3622</v>
      </c>
    </row>
    <row r="1229" spans="1:4" hidden="1" x14ac:dyDescent="0.35">
      <c r="A1229" s="6" t="s">
        <v>3228</v>
      </c>
      <c r="B1229" s="6" t="s">
        <v>3569</v>
      </c>
      <c r="C1229" s="6" t="s">
        <v>64</v>
      </c>
      <c r="D1229" s="6" t="s">
        <v>1084</v>
      </c>
    </row>
    <row r="1230" spans="1:4" hidden="1" x14ac:dyDescent="0.35">
      <c r="A1230" s="6" t="s">
        <v>3229</v>
      </c>
      <c r="B1230" s="6" t="s">
        <v>3230</v>
      </c>
      <c r="C1230" s="6" t="s">
        <v>1244</v>
      </c>
      <c r="D1230" s="6" t="s">
        <v>1084</v>
      </c>
    </row>
    <row r="1231" spans="1:4" hidden="1" x14ac:dyDescent="0.35">
      <c r="A1231" s="6" t="s">
        <v>38</v>
      </c>
      <c r="B1231" s="6" t="s">
        <v>2390</v>
      </c>
      <c r="C1231" s="6" t="s">
        <v>1244</v>
      </c>
      <c r="D1231" s="6" t="s">
        <v>3622</v>
      </c>
    </row>
    <row r="1232" spans="1:4" hidden="1" x14ac:dyDescent="0.35">
      <c r="A1232" s="6" t="s">
        <v>2391</v>
      </c>
      <c r="B1232" s="6" t="s">
        <v>2392</v>
      </c>
      <c r="C1232" s="6" t="s">
        <v>1244</v>
      </c>
      <c r="D1232" s="6" t="s">
        <v>3622</v>
      </c>
    </row>
    <row r="1233" spans="1:4" hidden="1" x14ac:dyDescent="0.35">
      <c r="A1233" s="6" t="s">
        <v>3231</v>
      </c>
      <c r="B1233" s="6" t="s">
        <v>3232</v>
      </c>
      <c r="C1233" s="6" t="s">
        <v>1249</v>
      </c>
      <c r="D1233" s="6" t="s">
        <v>1084</v>
      </c>
    </row>
    <row r="1234" spans="1:4" hidden="1" x14ac:dyDescent="0.35">
      <c r="A1234" s="6" t="s">
        <v>2393</v>
      </c>
      <c r="B1234" s="6" t="s">
        <v>2394</v>
      </c>
      <c r="C1234" s="6" t="s">
        <v>1244</v>
      </c>
      <c r="D1234" s="6" t="s">
        <v>3624</v>
      </c>
    </row>
    <row r="1235" spans="1:4" hidden="1" x14ac:dyDescent="0.35">
      <c r="A1235" s="6" t="s">
        <v>3233</v>
      </c>
      <c r="B1235" s="6" t="s">
        <v>3234</v>
      </c>
      <c r="C1235" s="6" t="s">
        <v>1244</v>
      </c>
      <c r="D1235" s="6" t="s">
        <v>1084</v>
      </c>
    </row>
    <row r="1236" spans="1:4" hidden="1" x14ac:dyDescent="0.35">
      <c r="A1236" s="6" t="s">
        <v>2395</v>
      </c>
      <c r="B1236" s="6" t="s">
        <v>1390</v>
      </c>
      <c r="C1236" s="6" t="s">
        <v>1244</v>
      </c>
      <c r="D1236" s="6" t="s">
        <v>3622</v>
      </c>
    </row>
    <row r="1237" spans="1:4" hidden="1" x14ac:dyDescent="0.35">
      <c r="A1237" s="6" t="s">
        <v>2396</v>
      </c>
      <c r="B1237" s="6" t="s">
        <v>1391</v>
      </c>
      <c r="C1237" s="6" t="s">
        <v>1244</v>
      </c>
      <c r="D1237" s="6" t="s">
        <v>3624</v>
      </c>
    </row>
    <row r="1238" spans="1:4" hidden="1" x14ac:dyDescent="0.35">
      <c r="A1238" s="6" t="s">
        <v>3235</v>
      </c>
      <c r="B1238" s="6" t="s">
        <v>3236</v>
      </c>
      <c r="C1238" s="6" t="s">
        <v>1249</v>
      </c>
      <c r="D1238" s="6" t="s">
        <v>3622</v>
      </c>
    </row>
    <row r="1239" spans="1:4" hidden="1" x14ac:dyDescent="0.35">
      <c r="A1239" s="6" t="s">
        <v>3237</v>
      </c>
      <c r="B1239" s="6" t="s">
        <v>3238</v>
      </c>
      <c r="C1239" s="6" t="s">
        <v>1249</v>
      </c>
      <c r="D1239" s="6" t="s">
        <v>3624</v>
      </c>
    </row>
    <row r="1240" spans="1:4" hidden="1" x14ac:dyDescent="0.35">
      <c r="A1240" s="6" t="s">
        <v>2397</v>
      </c>
      <c r="B1240" s="6" t="s">
        <v>1671</v>
      </c>
      <c r="C1240" s="6" t="s">
        <v>1244</v>
      </c>
      <c r="D1240" s="6" t="s">
        <v>3622</v>
      </c>
    </row>
    <row r="1241" spans="1:4" hidden="1" x14ac:dyDescent="0.35">
      <c r="A1241" s="6" t="s">
        <v>3239</v>
      </c>
      <c r="B1241" s="6" t="s">
        <v>3240</v>
      </c>
      <c r="C1241" s="6" t="s">
        <v>1242</v>
      </c>
      <c r="D1241" s="6" t="s">
        <v>3623</v>
      </c>
    </row>
    <row r="1242" spans="1:4" hidden="1" x14ac:dyDescent="0.35">
      <c r="A1242" s="6" t="s">
        <v>2398</v>
      </c>
      <c r="B1242" s="6" t="s">
        <v>1672</v>
      </c>
      <c r="C1242" s="6" t="s">
        <v>1244</v>
      </c>
      <c r="D1242" s="6" t="s">
        <v>3624</v>
      </c>
    </row>
    <row r="1243" spans="1:4" hidden="1" x14ac:dyDescent="0.35">
      <c r="A1243" s="6" t="s">
        <v>3241</v>
      </c>
      <c r="B1243" s="6" t="s">
        <v>3242</v>
      </c>
      <c r="C1243" s="6" t="s">
        <v>1242</v>
      </c>
      <c r="D1243" s="6" t="s">
        <v>1084</v>
      </c>
    </row>
    <row r="1244" spans="1:4" hidden="1" x14ac:dyDescent="0.35">
      <c r="A1244" s="6" t="s">
        <v>2399</v>
      </c>
      <c r="B1244" s="6" t="s">
        <v>1571</v>
      </c>
      <c r="C1244" s="6" t="s">
        <v>1244</v>
      </c>
      <c r="D1244" s="6" t="s">
        <v>3622</v>
      </c>
    </row>
    <row r="1245" spans="1:4" hidden="1" x14ac:dyDescent="0.35">
      <c r="A1245" s="6" t="s">
        <v>2400</v>
      </c>
      <c r="B1245" s="6" t="s">
        <v>1572</v>
      </c>
      <c r="C1245" s="6" t="s">
        <v>1244</v>
      </c>
      <c r="D1245" s="6" t="s">
        <v>3624</v>
      </c>
    </row>
    <row r="1246" spans="1:4" hidden="1" x14ac:dyDescent="0.35">
      <c r="A1246" s="6" t="s">
        <v>2401</v>
      </c>
      <c r="B1246" s="6" t="s">
        <v>2402</v>
      </c>
      <c r="C1246" s="6" t="s">
        <v>1244</v>
      </c>
      <c r="D1246" s="6" t="s">
        <v>3623</v>
      </c>
    </row>
    <row r="1247" spans="1:4" hidden="1" x14ac:dyDescent="0.35">
      <c r="A1247" s="6" t="s">
        <v>2403</v>
      </c>
      <c r="B1247" s="6" t="s">
        <v>2404</v>
      </c>
      <c r="C1247" s="6" t="s">
        <v>1244</v>
      </c>
      <c r="D1247" s="6" t="s">
        <v>3623</v>
      </c>
    </row>
    <row r="1248" spans="1:4" hidden="1" x14ac:dyDescent="0.35">
      <c r="A1248" s="6" t="s">
        <v>2405</v>
      </c>
      <c r="B1248" s="6" t="s">
        <v>1536</v>
      </c>
      <c r="C1248" s="6" t="s">
        <v>1244</v>
      </c>
      <c r="D1248" s="6" t="s">
        <v>3622</v>
      </c>
    </row>
    <row r="1249" spans="1:4" hidden="1" x14ac:dyDescent="0.35">
      <c r="A1249" s="6" t="s">
        <v>2406</v>
      </c>
      <c r="B1249" s="6" t="s">
        <v>2407</v>
      </c>
      <c r="C1249" s="6" t="s">
        <v>1244</v>
      </c>
      <c r="D1249" s="6" t="s">
        <v>3622</v>
      </c>
    </row>
    <row r="1250" spans="1:4" hidden="1" x14ac:dyDescent="0.35">
      <c r="A1250" s="6" t="s">
        <v>2408</v>
      </c>
      <c r="B1250" s="6" t="s">
        <v>1371</v>
      </c>
      <c r="C1250" s="6" t="s">
        <v>1244</v>
      </c>
      <c r="D1250" s="6" t="s">
        <v>3624</v>
      </c>
    </row>
    <row r="1251" spans="1:4" hidden="1" x14ac:dyDescent="0.35">
      <c r="A1251" s="6" t="s">
        <v>2409</v>
      </c>
      <c r="B1251" s="6" t="s">
        <v>2410</v>
      </c>
      <c r="C1251" s="6" t="s">
        <v>1244</v>
      </c>
      <c r="D1251" s="6" t="s">
        <v>3622</v>
      </c>
    </row>
    <row r="1252" spans="1:4" hidden="1" x14ac:dyDescent="0.35">
      <c r="A1252" s="6" t="s">
        <v>2411</v>
      </c>
      <c r="B1252" s="6" t="s">
        <v>1392</v>
      </c>
      <c r="C1252" s="6" t="s">
        <v>1244</v>
      </c>
      <c r="D1252" s="6" t="s">
        <v>3623</v>
      </c>
    </row>
    <row r="1253" spans="1:4" hidden="1" x14ac:dyDescent="0.35">
      <c r="A1253" s="6" t="s">
        <v>3243</v>
      </c>
      <c r="B1253" s="6" t="s">
        <v>3244</v>
      </c>
      <c r="C1253" s="6" t="s">
        <v>1249</v>
      </c>
      <c r="D1253" s="6" t="s">
        <v>3622</v>
      </c>
    </row>
    <row r="1254" spans="1:4" hidden="1" x14ac:dyDescent="0.35">
      <c r="A1254" s="6" t="s">
        <v>3245</v>
      </c>
      <c r="B1254" s="6" t="s">
        <v>3246</v>
      </c>
      <c r="C1254" s="6" t="s">
        <v>1249</v>
      </c>
      <c r="D1254" s="6" t="s">
        <v>3624</v>
      </c>
    </row>
    <row r="1255" spans="1:4" hidden="1" x14ac:dyDescent="0.35">
      <c r="A1255" s="6" t="s">
        <v>901</v>
      </c>
      <c r="B1255" s="6" t="s">
        <v>1393</v>
      </c>
      <c r="C1255" s="6" t="s">
        <v>1244</v>
      </c>
      <c r="D1255" s="6" t="s">
        <v>3622</v>
      </c>
    </row>
    <row r="1256" spans="1:4" hidden="1" x14ac:dyDescent="0.35">
      <c r="A1256" s="6" t="s">
        <v>2412</v>
      </c>
      <c r="B1256" s="6" t="s">
        <v>1394</v>
      </c>
      <c r="C1256" s="6" t="s">
        <v>1244</v>
      </c>
      <c r="D1256" s="6" t="s">
        <v>3624</v>
      </c>
    </row>
    <row r="1257" spans="1:4" hidden="1" x14ac:dyDescent="0.35">
      <c r="A1257" s="6" t="s">
        <v>3247</v>
      </c>
      <c r="B1257" s="6" t="s">
        <v>3248</v>
      </c>
      <c r="C1257" s="6" t="s">
        <v>1249</v>
      </c>
      <c r="D1257" s="6" t="s">
        <v>1084</v>
      </c>
    </row>
    <row r="1258" spans="1:4" hidden="1" x14ac:dyDescent="0.35">
      <c r="A1258" s="6" t="s">
        <v>3249</v>
      </c>
      <c r="B1258" s="6" t="s">
        <v>3250</v>
      </c>
      <c r="C1258" s="6" t="s">
        <v>64</v>
      </c>
      <c r="D1258" s="6" t="s">
        <v>1084</v>
      </c>
    </row>
    <row r="1259" spans="1:4" hidden="1" x14ac:dyDescent="0.35">
      <c r="A1259" s="6" t="s">
        <v>3251</v>
      </c>
      <c r="B1259" s="6" t="s">
        <v>3252</v>
      </c>
      <c r="C1259" s="6" t="s">
        <v>1249</v>
      </c>
      <c r="D1259" s="6" t="s">
        <v>1084</v>
      </c>
    </row>
    <row r="1260" spans="1:4" hidden="1" x14ac:dyDescent="0.35">
      <c r="A1260" s="6" t="s">
        <v>2413</v>
      </c>
      <c r="B1260" s="6" t="s">
        <v>1332</v>
      </c>
      <c r="C1260" s="6" t="s">
        <v>1244</v>
      </c>
      <c r="D1260" s="6" t="s">
        <v>3622</v>
      </c>
    </row>
    <row r="1261" spans="1:4" hidden="1" x14ac:dyDescent="0.35">
      <c r="A1261" s="6" t="s">
        <v>2414</v>
      </c>
      <c r="B1261" s="6" t="s">
        <v>1333</v>
      </c>
      <c r="C1261" s="6" t="s">
        <v>1244</v>
      </c>
      <c r="D1261" s="6" t="s">
        <v>3624</v>
      </c>
    </row>
    <row r="1262" spans="1:4" hidden="1" x14ac:dyDescent="0.35">
      <c r="A1262" s="6" t="s">
        <v>3253</v>
      </c>
      <c r="B1262" s="6" t="s">
        <v>3570</v>
      </c>
      <c r="C1262" s="6" t="s">
        <v>64</v>
      </c>
      <c r="D1262" s="6" t="s">
        <v>3622</v>
      </c>
    </row>
    <row r="1263" spans="1:4" hidden="1" x14ac:dyDescent="0.35">
      <c r="A1263" s="6" t="s">
        <v>2415</v>
      </c>
      <c r="B1263" s="6" t="s">
        <v>2416</v>
      </c>
      <c r="C1263" s="6" t="s">
        <v>64</v>
      </c>
      <c r="D1263" s="6" t="s">
        <v>3622</v>
      </c>
    </row>
    <row r="1264" spans="1:4" hidden="1" x14ac:dyDescent="0.35">
      <c r="A1264" s="6" t="s">
        <v>2417</v>
      </c>
      <c r="B1264" s="6" t="s">
        <v>2418</v>
      </c>
      <c r="C1264" s="6" t="s">
        <v>64</v>
      </c>
      <c r="D1264" s="6" t="s">
        <v>3622</v>
      </c>
    </row>
    <row r="1265" spans="1:4" hidden="1" x14ac:dyDescent="0.35">
      <c r="A1265" s="6" t="s">
        <v>3254</v>
      </c>
      <c r="B1265" s="6" t="s">
        <v>3255</v>
      </c>
      <c r="C1265" s="6" t="s">
        <v>45</v>
      </c>
      <c r="D1265" s="6" t="s">
        <v>3623</v>
      </c>
    </row>
    <row r="1266" spans="1:4" hidden="1" x14ac:dyDescent="0.35">
      <c r="A1266" s="6" t="s">
        <v>2419</v>
      </c>
      <c r="B1266" s="6" t="s">
        <v>1508</v>
      </c>
      <c r="C1266" s="6" t="s">
        <v>1244</v>
      </c>
      <c r="D1266" s="6" t="s">
        <v>3622</v>
      </c>
    </row>
    <row r="1267" spans="1:4" hidden="1" x14ac:dyDescent="0.35">
      <c r="A1267" s="6" t="s">
        <v>2420</v>
      </c>
      <c r="B1267" s="6" t="s">
        <v>1509</v>
      </c>
      <c r="C1267" s="6" t="s">
        <v>1244</v>
      </c>
      <c r="D1267" s="6" t="s">
        <v>3624</v>
      </c>
    </row>
    <row r="1268" spans="1:4" hidden="1" x14ac:dyDescent="0.35">
      <c r="A1268" s="6" t="s">
        <v>2421</v>
      </c>
      <c r="B1268" s="6" t="s">
        <v>1528</v>
      </c>
      <c r="C1268" s="6" t="s">
        <v>1244</v>
      </c>
      <c r="D1268" s="6" t="s">
        <v>3622</v>
      </c>
    </row>
    <row r="1269" spans="1:4" hidden="1" x14ac:dyDescent="0.35">
      <c r="A1269" s="6" t="s">
        <v>3256</v>
      </c>
      <c r="B1269" s="6" t="s">
        <v>3571</v>
      </c>
      <c r="C1269" s="6" t="s">
        <v>1242</v>
      </c>
      <c r="D1269" s="6" t="s">
        <v>1084</v>
      </c>
    </row>
    <row r="1270" spans="1:4" hidden="1" x14ac:dyDescent="0.35">
      <c r="A1270" s="6" t="s">
        <v>3257</v>
      </c>
      <c r="B1270" s="6" t="s">
        <v>3572</v>
      </c>
      <c r="C1270" s="6" t="s">
        <v>1242</v>
      </c>
      <c r="D1270" s="6" t="s">
        <v>1084</v>
      </c>
    </row>
    <row r="1271" spans="1:4" hidden="1" x14ac:dyDescent="0.35">
      <c r="A1271" s="6" t="s">
        <v>2422</v>
      </c>
      <c r="B1271" s="6" t="s">
        <v>1589</v>
      </c>
      <c r="C1271" s="6" t="s">
        <v>1244</v>
      </c>
      <c r="D1271" s="6" t="s">
        <v>3622</v>
      </c>
    </row>
    <row r="1272" spans="1:4" hidden="1" x14ac:dyDescent="0.35">
      <c r="A1272" s="6" t="s">
        <v>2423</v>
      </c>
      <c r="B1272" s="6" t="s">
        <v>1590</v>
      </c>
      <c r="C1272" s="6" t="s">
        <v>1244</v>
      </c>
      <c r="D1272" s="6" t="s">
        <v>3624</v>
      </c>
    </row>
    <row r="1273" spans="1:4" hidden="1" x14ac:dyDescent="0.35">
      <c r="A1273" s="6" t="s">
        <v>2424</v>
      </c>
      <c r="B1273" s="6" t="s">
        <v>1395</v>
      </c>
      <c r="C1273" s="6" t="s">
        <v>1244</v>
      </c>
      <c r="D1273" s="6" t="s">
        <v>3622</v>
      </c>
    </row>
    <row r="1274" spans="1:4" hidden="1" x14ac:dyDescent="0.35">
      <c r="A1274" s="6" t="s">
        <v>2425</v>
      </c>
      <c r="B1274" s="6" t="s">
        <v>1396</v>
      </c>
      <c r="C1274" s="6" t="s">
        <v>1244</v>
      </c>
      <c r="D1274" s="6" t="s">
        <v>3624</v>
      </c>
    </row>
    <row r="1275" spans="1:4" hidden="1" x14ac:dyDescent="0.35">
      <c r="A1275" s="6" t="s">
        <v>2426</v>
      </c>
      <c r="B1275" s="6" t="s">
        <v>1563</v>
      </c>
      <c r="C1275" s="6" t="s">
        <v>1244</v>
      </c>
      <c r="D1275" s="6" t="s">
        <v>3624</v>
      </c>
    </row>
    <row r="1276" spans="1:4" hidden="1" x14ac:dyDescent="0.35">
      <c r="A1276" s="6" t="s">
        <v>2427</v>
      </c>
      <c r="B1276" s="6" t="s">
        <v>1383</v>
      </c>
      <c r="C1276" s="6" t="s">
        <v>1244</v>
      </c>
      <c r="D1276" s="6" t="s">
        <v>3622</v>
      </c>
    </row>
    <row r="1277" spans="1:4" hidden="1" x14ac:dyDescent="0.35">
      <c r="A1277" s="6" t="s">
        <v>2428</v>
      </c>
      <c r="B1277" s="6" t="s">
        <v>1334</v>
      </c>
      <c r="C1277" s="6" t="s">
        <v>1244</v>
      </c>
      <c r="D1277" s="6" t="s">
        <v>3622</v>
      </c>
    </row>
    <row r="1278" spans="1:4" hidden="1" x14ac:dyDescent="0.35">
      <c r="A1278" s="6" t="s">
        <v>2429</v>
      </c>
      <c r="B1278" s="6" t="s">
        <v>2430</v>
      </c>
      <c r="C1278" s="6" t="s">
        <v>1244</v>
      </c>
      <c r="D1278" s="6" t="s">
        <v>3622</v>
      </c>
    </row>
    <row r="1279" spans="1:4" hidden="1" x14ac:dyDescent="0.35">
      <c r="A1279" s="6" t="s">
        <v>2431</v>
      </c>
      <c r="B1279" s="6" t="s">
        <v>1335</v>
      </c>
      <c r="C1279" s="6" t="s">
        <v>1244</v>
      </c>
      <c r="D1279" s="6" t="s">
        <v>3624</v>
      </c>
    </row>
    <row r="1280" spans="1:4" hidden="1" x14ac:dyDescent="0.35">
      <c r="A1280" s="6" t="s">
        <v>2432</v>
      </c>
      <c r="B1280" s="6" t="s">
        <v>2433</v>
      </c>
      <c r="C1280" s="6" t="s">
        <v>1244</v>
      </c>
      <c r="D1280" s="6" t="s">
        <v>3623</v>
      </c>
    </row>
    <row r="1281" spans="1:4" hidden="1" x14ac:dyDescent="0.35">
      <c r="A1281" s="6" t="s">
        <v>3573</v>
      </c>
      <c r="B1281" s="6" t="s">
        <v>3574</v>
      </c>
      <c r="C1281" s="6" t="s">
        <v>1244</v>
      </c>
      <c r="D1281" s="6" t="s">
        <v>3623</v>
      </c>
    </row>
    <row r="1282" spans="1:4" hidden="1" x14ac:dyDescent="0.35">
      <c r="A1282" s="6" t="s">
        <v>3575</v>
      </c>
      <c r="B1282" s="6" t="s">
        <v>3576</v>
      </c>
      <c r="C1282" s="6" t="s">
        <v>1244</v>
      </c>
      <c r="D1282" s="6" t="s">
        <v>3623</v>
      </c>
    </row>
    <row r="1283" spans="1:4" hidden="1" x14ac:dyDescent="0.35">
      <c r="A1283" s="6" t="s">
        <v>2434</v>
      </c>
      <c r="B1283" s="6" t="s">
        <v>1315</v>
      </c>
      <c r="C1283" s="6" t="s">
        <v>1244</v>
      </c>
      <c r="D1283" s="6" t="s">
        <v>3622</v>
      </c>
    </row>
    <row r="1284" spans="1:4" hidden="1" x14ac:dyDescent="0.35">
      <c r="A1284" s="6" t="s">
        <v>2435</v>
      </c>
      <c r="B1284" s="6" t="s">
        <v>2436</v>
      </c>
      <c r="C1284" s="6" t="s">
        <v>1244</v>
      </c>
      <c r="D1284" s="6" t="s">
        <v>3623</v>
      </c>
    </row>
    <row r="1285" spans="1:4" hidden="1" x14ac:dyDescent="0.35">
      <c r="A1285" s="6" t="s">
        <v>3258</v>
      </c>
      <c r="B1285" s="6" t="s">
        <v>3577</v>
      </c>
      <c r="C1285" s="6" t="s">
        <v>1242</v>
      </c>
      <c r="D1285" s="6" t="s">
        <v>1084</v>
      </c>
    </row>
    <row r="1286" spans="1:4" hidden="1" x14ac:dyDescent="0.35">
      <c r="A1286" s="6" t="s">
        <v>3259</v>
      </c>
      <c r="B1286" s="6" t="s">
        <v>3260</v>
      </c>
      <c r="C1286" s="6" t="s">
        <v>1242</v>
      </c>
      <c r="D1286" s="6" t="s">
        <v>1084</v>
      </c>
    </row>
    <row r="1287" spans="1:4" hidden="1" x14ac:dyDescent="0.35">
      <c r="A1287" s="6" t="s">
        <v>3261</v>
      </c>
      <c r="B1287" s="6" t="s">
        <v>3262</v>
      </c>
      <c r="C1287" s="6" t="s">
        <v>1242</v>
      </c>
      <c r="D1287" s="6" t="s">
        <v>1084</v>
      </c>
    </row>
    <row r="1288" spans="1:4" hidden="1" x14ac:dyDescent="0.35">
      <c r="A1288" s="6" t="s">
        <v>3263</v>
      </c>
      <c r="B1288" s="6" t="s">
        <v>3264</v>
      </c>
      <c r="C1288" s="6" t="s">
        <v>1242</v>
      </c>
      <c r="D1288" s="6" t="s">
        <v>1084</v>
      </c>
    </row>
    <row r="1289" spans="1:4" hidden="1" x14ac:dyDescent="0.35">
      <c r="A1289" s="6" t="s">
        <v>2437</v>
      </c>
      <c r="B1289" s="6" t="s">
        <v>2438</v>
      </c>
      <c r="C1289" s="6" t="s">
        <v>1242</v>
      </c>
      <c r="D1289" s="6" t="s">
        <v>3622</v>
      </c>
    </row>
    <row r="1290" spans="1:4" hidden="1" x14ac:dyDescent="0.35">
      <c r="A1290" s="6" t="s">
        <v>2439</v>
      </c>
      <c r="B1290" s="6" t="s">
        <v>1388</v>
      </c>
      <c r="C1290" s="6" t="s">
        <v>64</v>
      </c>
      <c r="D1290" s="6" t="s">
        <v>3622</v>
      </c>
    </row>
    <row r="1291" spans="1:4" hidden="1" x14ac:dyDescent="0.35">
      <c r="A1291" s="6" t="s">
        <v>3265</v>
      </c>
      <c r="B1291" s="6" t="s">
        <v>3578</v>
      </c>
      <c r="C1291" s="6" t="s">
        <v>1242</v>
      </c>
      <c r="D1291" s="6" t="s">
        <v>3622</v>
      </c>
    </row>
    <row r="1292" spans="1:4" hidden="1" x14ac:dyDescent="0.35">
      <c r="A1292" s="6" t="s">
        <v>3266</v>
      </c>
      <c r="B1292" s="6" t="s">
        <v>3267</v>
      </c>
      <c r="C1292" s="6" t="s">
        <v>1244</v>
      </c>
      <c r="D1292" s="6" t="s">
        <v>1084</v>
      </c>
    </row>
    <row r="1293" spans="1:4" hidden="1" x14ac:dyDescent="0.35">
      <c r="A1293" s="6" t="s">
        <v>3268</v>
      </c>
      <c r="B1293" s="6" t="s">
        <v>3269</v>
      </c>
      <c r="C1293" s="6" t="s">
        <v>1242</v>
      </c>
      <c r="D1293" s="6" t="s">
        <v>1084</v>
      </c>
    </row>
    <row r="1294" spans="1:4" hidden="1" x14ac:dyDescent="0.35">
      <c r="A1294" s="6" t="s">
        <v>2440</v>
      </c>
      <c r="B1294" s="6" t="s">
        <v>1460</v>
      </c>
      <c r="C1294" s="6" t="s">
        <v>1244</v>
      </c>
      <c r="D1294" s="6" t="s">
        <v>3623</v>
      </c>
    </row>
    <row r="1295" spans="1:4" hidden="1" x14ac:dyDescent="0.35">
      <c r="A1295" s="6" t="s">
        <v>3579</v>
      </c>
      <c r="B1295" s="6" t="s">
        <v>3580</v>
      </c>
      <c r="C1295" s="6" t="s">
        <v>1244</v>
      </c>
      <c r="D1295" s="6" t="s">
        <v>3623</v>
      </c>
    </row>
    <row r="1296" spans="1:4" hidden="1" x14ac:dyDescent="0.35">
      <c r="A1296" s="6" t="s">
        <v>3581</v>
      </c>
      <c r="B1296" s="6" t="s">
        <v>3582</v>
      </c>
      <c r="C1296" s="6" t="s">
        <v>1244</v>
      </c>
      <c r="D1296" s="6" t="s">
        <v>3623</v>
      </c>
    </row>
    <row r="1297" spans="1:4" hidden="1" x14ac:dyDescent="0.35">
      <c r="A1297" s="6" t="s">
        <v>2441</v>
      </c>
      <c r="B1297" s="6" t="s">
        <v>1461</v>
      </c>
      <c r="C1297" s="6" t="s">
        <v>1244</v>
      </c>
      <c r="D1297" s="6" t="s">
        <v>3623</v>
      </c>
    </row>
    <row r="1298" spans="1:4" hidden="1" x14ac:dyDescent="0.35">
      <c r="A1298" s="6" t="s">
        <v>2442</v>
      </c>
      <c r="B1298" s="6" t="s">
        <v>1462</v>
      </c>
      <c r="C1298" s="6" t="s">
        <v>1244</v>
      </c>
      <c r="D1298" s="6" t="s">
        <v>3623</v>
      </c>
    </row>
    <row r="1299" spans="1:4" hidden="1" x14ac:dyDescent="0.35">
      <c r="A1299" s="6" t="s">
        <v>2443</v>
      </c>
      <c r="B1299" s="6" t="s">
        <v>1463</v>
      </c>
      <c r="C1299" s="6" t="s">
        <v>1244</v>
      </c>
      <c r="D1299" s="6" t="s">
        <v>3623</v>
      </c>
    </row>
    <row r="1300" spans="1:4" hidden="1" x14ac:dyDescent="0.35">
      <c r="A1300" s="6" t="s">
        <v>2444</v>
      </c>
      <c r="B1300" s="6" t="s">
        <v>1468</v>
      </c>
      <c r="C1300" s="6" t="s">
        <v>1244</v>
      </c>
      <c r="D1300" s="6" t="s">
        <v>3623</v>
      </c>
    </row>
    <row r="1301" spans="1:4" hidden="1" x14ac:dyDescent="0.35">
      <c r="A1301" s="6" t="s">
        <v>2445</v>
      </c>
      <c r="B1301" s="6" t="s">
        <v>1470</v>
      </c>
      <c r="C1301" s="6" t="s">
        <v>1244</v>
      </c>
      <c r="D1301" s="6" t="s">
        <v>3623</v>
      </c>
    </row>
    <row r="1302" spans="1:4" hidden="1" x14ac:dyDescent="0.35">
      <c r="A1302" s="6" t="s">
        <v>2446</v>
      </c>
      <c r="B1302" s="6" t="s">
        <v>1484</v>
      </c>
      <c r="C1302" s="6" t="s">
        <v>1244</v>
      </c>
      <c r="D1302" s="6" t="s">
        <v>3623</v>
      </c>
    </row>
    <row r="1303" spans="1:4" hidden="1" x14ac:dyDescent="0.35">
      <c r="A1303" s="6" t="s">
        <v>2447</v>
      </c>
      <c r="B1303" s="6" t="s">
        <v>1485</v>
      </c>
      <c r="C1303" s="6" t="s">
        <v>1244</v>
      </c>
      <c r="D1303" s="6" t="s">
        <v>3623</v>
      </c>
    </row>
    <row r="1304" spans="1:4" hidden="1" x14ac:dyDescent="0.35">
      <c r="A1304" s="6" t="s">
        <v>3583</v>
      </c>
      <c r="B1304" s="6" t="s">
        <v>3584</v>
      </c>
      <c r="C1304" s="6" t="s">
        <v>1244</v>
      </c>
      <c r="D1304" s="6" t="s">
        <v>3623</v>
      </c>
    </row>
    <row r="1305" spans="1:4" hidden="1" x14ac:dyDescent="0.35">
      <c r="A1305" s="6" t="s">
        <v>2448</v>
      </c>
      <c r="B1305" s="6" t="s">
        <v>1545</v>
      </c>
      <c r="C1305" s="6" t="s">
        <v>1244</v>
      </c>
      <c r="D1305" s="6" t="s">
        <v>3622</v>
      </c>
    </row>
    <row r="1306" spans="1:4" hidden="1" x14ac:dyDescent="0.35">
      <c r="A1306" s="6" t="s">
        <v>2449</v>
      </c>
      <c r="B1306" s="6" t="s">
        <v>1546</v>
      </c>
      <c r="C1306" s="6" t="s">
        <v>1244</v>
      </c>
      <c r="D1306" s="6" t="s">
        <v>3624</v>
      </c>
    </row>
    <row r="1307" spans="1:4" hidden="1" x14ac:dyDescent="0.35">
      <c r="A1307" s="6" t="s">
        <v>2450</v>
      </c>
      <c r="B1307" s="6" t="s">
        <v>1410</v>
      </c>
      <c r="C1307" s="6" t="s">
        <v>1244</v>
      </c>
      <c r="D1307" s="6" t="s">
        <v>3622</v>
      </c>
    </row>
    <row r="1308" spans="1:4" hidden="1" x14ac:dyDescent="0.35">
      <c r="A1308" s="6" t="s">
        <v>3270</v>
      </c>
      <c r="B1308" s="6" t="s">
        <v>3271</v>
      </c>
      <c r="C1308" s="6" t="s">
        <v>64</v>
      </c>
      <c r="D1308" s="6" t="s">
        <v>1084</v>
      </c>
    </row>
    <row r="1309" spans="1:4" hidden="1" x14ac:dyDescent="0.35">
      <c r="A1309" s="6" t="s">
        <v>3272</v>
      </c>
      <c r="B1309" s="6" t="s">
        <v>3585</v>
      </c>
      <c r="C1309" s="6" t="s">
        <v>1244</v>
      </c>
      <c r="D1309" s="6" t="s">
        <v>3623</v>
      </c>
    </row>
    <row r="1310" spans="1:4" hidden="1" x14ac:dyDescent="0.35">
      <c r="A1310" s="6" t="s">
        <v>3273</v>
      </c>
      <c r="B1310" s="6" t="s">
        <v>3274</v>
      </c>
      <c r="C1310" s="6" t="s">
        <v>1244</v>
      </c>
      <c r="D1310" s="6" t="s">
        <v>1084</v>
      </c>
    </row>
    <row r="1311" spans="1:4" hidden="1" x14ac:dyDescent="0.35">
      <c r="A1311" s="6" t="s">
        <v>3275</v>
      </c>
      <c r="B1311" s="6" t="s">
        <v>3276</v>
      </c>
      <c r="C1311" s="6" t="s">
        <v>64</v>
      </c>
      <c r="D1311" s="6" t="s">
        <v>1084</v>
      </c>
    </row>
    <row r="1312" spans="1:4" hidden="1" x14ac:dyDescent="0.35">
      <c r="A1312" s="6" t="s">
        <v>3277</v>
      </c>
      <c r="B1312" s="6" t="s">
        <v>3278</v>
      </c>
      <c r="C1312" s="6" t="s">
        <v>64</v>
      </c>
      <c r="D1312" s="6" t="s">
        <v>3622</v>
      </c>
    </row>
    <row r="1313" spans="1:4" hidden="1" x14ac:dyDescent="0.35">
      <c r="A1313" s="6" t="s">
        <v>2451</v>
      </c>
      <c r="B1313" s="6" t="s">
        <v>2452</v>
      </c>
      <c r="C1313" s="6" t="s">
        <v>1244</v>
      </c>
      <c r="D1313" s="6" t="s">
        <v>3622</v>
      </c>
    </row>
    <row r="1314" spans="1:4" hidden="1" x14ac:dyDescent="0.35">
      <c r="A1314" s="6" t="s">
        <v>2453</v>
      </c>
      <c r="B1314" s="6" t="s">
        <v>2454</v>
      </c>
      <c r="C1314" s="6" t="s">
        <v>1244</v>
      </c>
      <c r="D1314" s="6" t="s">
        <v>3622</v>
      </c>
    </row>
    <row r="1315" spans="1:4" hidden="1" x14ac:dyDescent="0.35">
      <c r="A1315" s="6" t="s">
        <v>3279</v>
      </c>
      <c r="B1315" s="6" t="s">
        <v>3279</v>
      </c>
      <c r="C1315" s="6" t="s">
        <v>1242</v>
      </c>
      <c r="D1315" s="6" t="s">
        <v>1084</v>
      </c>
    </row>
    <row r="1316" spans="1:4" hidden="1" x14ac:dyDescent="0.35">
      <c r="A1316" s="6" t="s">
        <v>3280</v>
      </c>
      <c r="B1316" s="6" t="s">
        <v>3281</v>
      </c>
      <c r="C1316" s="6" t="s">
        <v>1244</v>
      </c>
      <c r="D1316" s="6" t="s">
        <v>3622</v>
      </c>
    </row>
    <row r="1317" spans="1:4" hidden="1" x14ac:dyDescent="0.35">
      <c r="A1317" s="6" t="s">
        <v>2455</v>
      </c>
      <c r="B1317" s="6" t="s">
        <v>1265</v>
      </c>
      <c r="C1317" s="6" t="s">
        <v>1244</v>
      </c>
      <c r="D1317" s="6" t="s">
        <v>3623</v>
      </c>
    </row>
    <row r="1318" spans="1:4" hidden="1" x14ac:dyDescent="0.35">
      <c r="A1318" s="6" t="s">
        <v>2456</v>
      </c>
      <c r="B1318" s="6" t="s">
        <v>1438</v>
      </c>
      <c r="C1318" s="6" t="s">
        <v>64</v>
      </c>
      <c r="D1318" s="6" t="s">
        <v>3622</v>
      </c>
    </row>
    <row r="1319" spans="1:4" hidden="1" x14ac:dyDescent="0.35">
      <c r="A1319" s="6" t="s">
        <v>3282</v>
      </c>
      <c r="B1319" s="6" t="s">
        <v>3283</v>
      </c>
      <c r="C1319" s="6" t="s">
        <v>1249</v>
      </c>
      <c r="D1319" s="6" t="s">
        <v>3622</v>
      </c>
    </row>
    <row r="1320" spans="1:4" hidden="1" x14ac:dyDescent="0.35">
      <c r="A1320" s="6" t="s">
        <v>3284</v>
      </c>
      <c r="B1320" s="6" t="s">
        <v>3285</v>
      </c>
      <c r="C1320" s="6" t="s">
        <v>1249</v>
      </c>
      <c r="D1320" s="6" t="s">
        <v>3624</v>
      </c>
    </row>
    <row r="1321" spans="1:4" hidden="1" x14ac:dyDescent="0.35">
      <c r="A1321" s="6" t="s">
        <v>2457</v>
      </c>
      <c r="B1321" s="6" t="s">
        <v>1439</v>
      </c>
      <c r="C1321" s="6" t="s">
        <v>64</v>
      </c>
      <c r="D1321" s="6" t="s">
        <v>3624</v>
      </c>
    </row>
    <row r="1322" spans="1:4" hidden="1" x14ac:dyDescent="0.35">
      <c r="A1322" s="6" t="s">
        <v>3286</v>
      </c>
      <c r="B1322" s="6" t="s">
        <v>3287</v>
      </c>
      <c r="C1322" s="6" t="s">
        <v>1244</v>
      </c>
      <c r="D1322" s="6" t="s">
        <v>3623</v>
      </c>
    </row>
    <row r="1323" spans="1:4" hidden="1" x14ac:dyDescent="0.35">
      <c r="A1323" s="6" t="s">
        <v>3288</v>
      </c>
      <c r="B1323" s="6" t="s">
        <v>3289</v>
      </c>
      <c r="C1323" s="6" t="s">
        <v>1249</v>
      </c>
      <c r="D1323" s="6" t="s">
        <v>1084</v>
      </c>
    </row>
    <row r="1324" spans="1:4" hidden="1" x14ac:dyDescent="0.35">
      <c r="A1324" s="6" t="s">
        <v>3290</v>
      </c>
      <c r="B1324" s="6" t="s">
        <v>3291</v>
      </c>
      <c r="C1324" s="6" t="s">
        <v>64</v>
      </c>
      <c r="D1324" s="6" t="s">
        <v>1084</v>
      </c>
    </row>
    <row r="1325" spans="1:4" hidden="1" x14ac:dyDescent="0.35">
      <c r="A1325" s="6" t="s">
        <v>2458</v>
      </c>
      <c r="B1325" s="6" t="s">
        <v>3586</v>
      </c>
      <c r="C1325" s="6" t="s">
        <v>1244</v>
      </c>
      <c r="D1325" s="6" t="s">
        <v>3623</v>
      </c>
    </row>
    <row r="1326" spans="1:4" hidden="1" x14ac:dyDescent="0.35">
      <c r="A1326" s="6" t="s">
        <v>2459</v>
      </c>
      <c r="B1326" s="6" t="s">
        <v>2460</v>
      </c>
      <c r="C1326" s="6" t="s">
        <v>1244</v>
      </c>
      <c r="D1326" s="6" t="s">
        <v>3623</v>
      </c>
    </row>
    <row r="1327" spans="1:4" hidden="1" x14ac:dyDescent="0.35">
      <c r="A1327" s="6" t="s">
        <v>2461</v>
      </c>
      <c r="B1327" s="6" t="s">
        <v>3292</v>
      </c>
      <c r="C1327" s="6" t="s">
        <v>1244</v>
      </c>
      <c r="D1327" s="6" t="s">
        <v>3622</v>
      </c>
    </row>
    <row r="1328" spans="1:4" hidden="1" x14ac:dyDescent="0.35">
      <c r="A1328" s="6" t="s">
        <v>2462</v>
      </c>
      <c r="B1328" s="6" t="s">
        <v>1411</v>
      </c>
      <c r="C1328" s="6" t="s">
        <v>1244</v>
      </c>
      <c r="D1328" s="6" t="s">
        <v>3623</v>
      </c>
    </row>
    <row r="1329" spans="1:4" hidden="1" x14ac:dyDescent="0.35">
      <c r="A1329" s="6" t="s">
        <v>2463</v>
      </c>
      <c r="B1329" s="6" t="s">
        <v>1412</v>
      </c>
      <c r="C1329" s="6" t="s">
        <v>1244</v>
      </c>
      <c r="D1329" s="6" t="s">
        <v>3623</v>
      </c>
    </row>
    <row r="1330" spans="1:4" hidden="1" x14ac:dyDescent="0.35">
      <c r="A1330" s="6" t="s">
        <v>3293</v>
      </c>
      <c r="B1330" s="6" t="s">
        <v>3587</v>
      </c>
      <c r="C1330" s="6" t="s">
        <v>64</v>
      </c>
      <c r="D1330" s="6" t="s">
        <v>3622</v>
      </c>
    </row>
    <row r="1331" spans="1:4" hidden="1" x14ac:dyDescent="0.35">
      <c r="A1331" s="6" t="s">
        <v>2464</v>
      </c>
      <c r="B1331" s="6" t="s">
        <v>1337</v>
      </c>
      <c r="C1331" s="6" t="s">
        <v>64</v>
      </c>
      <c r="D1331" s="6" t="s">
        <v>3624</v>
      </c>
    </row>
    <row r="1332" spans="1:4" hidden="1" x14ac:dyDescent="0.35">
      <c r="A1332" s="6" t="s">
        <v>2465</v>
      </c>
      <c r="B1332" s="6" t="s">
        <v>2466</v>
      </c>
      <c r="C1332" s="6" t="s">
        <v>64</v>
      </c>
      <c r="D1332" s="6" t="s">
        <v>3622</v>
      </c>
    </row>
    <row r="1333" spans="1:4" hidden="1" x14ac:dyDescent="0.35">
      <c r="A1333" s="6" t="s">
        <v>2467</v>
      </c>
      <c r="B1333" s="6" t="s">
        <v>1336</v>
      </c>
      <c r="C1333" s="6" t="s">
        <v>64</v>
      </c>
      <c r="D1333" s="6" t="s">
        <v>3622</v>
      </c>
    </row>
    <row r="1334" spans="1:4" hidden="1" x14ac:dyDescent="0.35">
      <c r="A1334" s="6" t="s">
        <v>2468</v>
      </c>
      <c r="B1334" s="6" t="s">
        <v>1517</v>
      </c>
      <c r="C1334" s="6" t="s">
        <v>1244</v>
      </c>
      <c r="D1334" s="6" t="s">
        <v>3622</v>
      </c>
    </row>
    <row r="1335" spans="1:4" hidden="1" x14ac:dyDescent="0.35">
      <c r="A1335" s="6" t="s">
        <v>2469</v>
      </c>
      <c r="B1335" s="6" t="s">
        <v>1421</v>
      </c>
      <c r="C1335" s="6" t="s">
        <v>1244</v>
      </c>
      <c r="D1335" s="6" t="s">
        <v>3623</v>
      </c>
    </row>
    <row r="1336" spans="1:4" hidden="1" x14ac:dyDescent="0.35">
      <c r="A1336" s="6" t="s">
        <v>2470</v>
      </c>
      <c r="B1336" s="6" t="s">
        <v>1518</v>
      </c>
      <c r="C1336" s="6" t="s">
        <v>1244</v>
      </c>
      <c r="D1336" s="6" t="s">
        <v>3622</v>
      </c>
    </row>
    <row r="1337" spans="1:4" hidden="1" x14ac:dyDescent="0.35">
      <c r="A1337" s="6">
        <v>111185</v>
      </c>
      <c r="B1337" s="6" t="s">
        <v>3592</v>
      </c>
      <c r="C1337" s="6" t="s">
        <v>2475</v>
      </c>
      <c r="D1337" s="6" t="s">
        <v>3623</v>
      </c>
    </row>
    <row r="1338" spans="1:4" hidden="1" x14ac:dyDescent="0.35">
      <c r="A1338" s="6" t="s">
        <v>3625</v>
      </c>
      <c r="B1338" s="6" t="s">
        <v>3804</v>
      </c>
      <c r="C1338" s="6" t="s">
        <v>1244</v>
      </c>
      <c r="D1338" s="6" t="s">
        <v>3622</v>
      </c>
    </row>
    <row r="1339" spans="1:4" hidden="1" x14ac:dyDescent="0.35">
      <c r="A1339" s="6" t="s">
        <v>3626</v>
      </c>
      <c r="B1339" s="6" t="s">
        <v>3593</v>
      </c>
      <c r="C1339" s="6" t="s">
        <v>1244</v>
      </c>
      <c r="D1339" s="6" t="s">
        <v>3622</v>
      </c>
    </row>
    <row r="1340" spans="1:4" hidden="1" x14ac:dyDescent="0.35">
      <c r="A1340" s="6" t="s">
        <v>3627</v>
      </c>
      <c r="B1340" s="6" t="s">
        <v>3594</v>
      </c>
      <c r="C1340" s="6" t="s">
        <v>1244</v>
      </c>
      <c r="D1340" s="6" t="s">
        <v>3624</v>
      </c>
    </row>
    <row r="1341" spans="1:4" hidden="1" x14ac:dyDescent="0.35">
      <c r="A1341" s="6" t="s">
        <v>3628</v>
      </c>
      <c r="B1341" s="6" t="s">
        <v>3595</v>
      </c>
      <c r="C1341" s="6" t="s">
        <v>1244</v>
      </c>
      <c r="D1341" s="6" t="s">
        <v>3624</v>
      </c>
    </row>
    <row r="1342" spans="1:4" hidden="1" x14ac:dyDescent="0.35">
      <c r="A1342" s="6" t="s">
        <v>3629</v>
      </c>
      <c r="B1342" s="6" t="s">
        <v>3596</v>
      </c>
      <c r="C1342" s="6" t="s">
        <v>1244</v>
      </c>
      <c r="D1342" s="6" t="s">
        <v>3624</v>
      </c>
    </row>
    <row r="1343" spans="1:4" hidden="1" x14ac:dyDescent="0.35">
      <c r="A1343" s="6" t="s">
        <v>3630</v>
      </c>
      <c r="B1343" s="6" t="s">
        <v>3597</v>
      </c>
      <c r="C1343" s="6" t="s">
        <v>1244</v>
      </c>
      <c r="D1343" s="6" t="s">
        <v>3622</v>
      </c>
    </row>
    <row r="1344" spans="1:4" hidden="1" x14ac:dyDescent="0.35">
      <c r="A1344" s="6" t="s">
        <v>3631</v>
      </c>
      <c r="B1344" s="6" t="s">
        <v>3598</v>
      </c>
      <c r="C1344" s="6" t="s">
        <v>1244</v>
      </c>
      <c r="D1344" s="6" t="s">
        <v>3623</v>
      </c>
    </row>
    <row r="1345" spans="1:4" hidden="1" x14ac:dyDescent="0.35">
      <c r="A1345" s="6" t="s">
        <v>3632</v>
      </c>
      <c r="B1345" s="6" t="s">
        <v>3599</v>
      </c>
      <c r="C1345" s="6" t="s">
        <v>1244</v>
      </c>
      <c r="D1345" s="6" t="s">
        <v>3623</v>
      </c>
    </row>
    <row r="1346" spans="1:4" hidden="1" x14ac:dyDescent="0.35">
      <c r="A1346" s="6" t="s">
        <v>3633</v>
      </c>
      <c r="B1346" s="6" t="s">
        <v>3600</v>
      </c>
      <c r="C1346" s="6" t="s">
        <v>64</v>
      </c>
      <c r="D1346" s="6" t="s">
        <v>3622</v>
      </c>
    </row>
    <row r="1347" spans="1:4" hidden="1" x14ac:dyDescent="0.35">
      <c r="A1347" s="6" t="s">
        <v>3634</v>
      </c>
      <c r="B1347" s="6" t="s">
        <v>3601</v>
      </c>
      <c r="C1347" s="6" t="s">
        <v>64</v>
      </c>
      <c r="D1347" s="6" t="s">
        <v>3622</v>
      </c>
    </row>
    <row r="1348" spans="1:4" hidden="1" x14ac:dyDescent="0.35">
      <c r="A1348" s="6" t="s">
        <v>3635</v>
      </c>
      <c r="B1348" s="6" t="s">
        <v>3602</v>
      </c>
      <c r="C1348" s="6" t="s">
        <v>64</v>
      </c>
      <c r="D1348" s="6" t="s">
        <v>3624</v>
      </c>
    </row>
    <row r="1349" spans="1:4" hidden="1" x14ac:dyDescent="0.35">
      <c r="A1349" s="6" t="s">
        <v>3636</v>
      </c>
      <c r="B1349" s="6" t="s">
        <v>3603</v>
      </c>
      <c r="C1349" s="6" t="s">
        <v>1244</v>
      </c>
      <c r="D1349" s="6" t="s">
        <v>3623</v>
      </c>
    </row>
    <row r="1350" spans="1:4" hidden="1" x14ac:dyDescent="0.35">
      <c r="A1350" s="6" t="s">
        <v>3637</v>
      </c>
      <c r="B1350" s="6" t="s">
        <v>3604</v>
      </c>
      <c r="C1350" s="6" t="s">
        <v>3605</v>
      </c>
      <c r="D1350" s="6" t="s">
        <v>3622</v>
      </c>
    </row>
    <row r="1351" spans="1:4" hidden="1" x14ac:dyDescent="0.35">
      <c r="A1351" s="6" t="s">
        <v>3638</v>
      </c>
      <c r="B1351" s="6" t="s">
        <v>3606</v>
      </c>
      <c r="C1351" s="6" t="s">
        <v>3607</v>
      </c>
      <c r="D1351" s="6" t="s">
        <v>3622</v>
      </c>
    </row>
    <row r="1352" spans="1:4" hidden="1" x14ac:dyDescent="0.35">
      <c r="A1352" s="6" t="s">
        <v>3639</v>
      </c>
      <c r="B1352" s="6" t="s">
        <v>3608</v>
      </c>
      <c r="C1352" s="6" t="s">
        <v>3609</v>
      </c>
      <c r="D1352" s="6" t="s">
        <v>3622</v>
      </c>
    </row>
    <row r="1353" spans="1:4" hidden="1" x14ac:dyDescent="0.35">
      <c r="A1353" s="6" t="s">
        <v>3640</v>
      </c>
      <c r="B1353" s="6" t="s">
        <v>3610</v>
      </c>
      <c r="C1353" s="6" t="s">
        <v>3611</v>
      </c>
      <c r="D1353" s="6" t="s">
        <v>3622</v>
      </c>
    </row>
    <row r="1354" spans="1:4" hidden="1" x14ac:dyDescent="0.35">
      <c r="A1354" s="6" t="s">
        <v>3641</v>
      </c>
      <c r="B1354" s="6" t="s">
        <v>3612</v>
      </c>
      <c r="C1354" s="6" t="s">
        <v>3613</v>
      </c>
      <c r="D1354" s="6" t="s">
        <v>3622</v>
      </c>
    </row>
    <row r="1355" spans="1:4" hidden="1" x14ac:dyDescent="0.35">
      <c r="A1355" s="6" t="s">
        <v>3642</v>
      </c>
      <c r="B1355" s="6" t="s">
        <v>3614</v>
      </c>
      <c r="C1355" s="6" t="s">
        <v>3615</v>
      </c>
      <c r="D1355" s="6" t="s">
        <v>3622</v>
      </c>
    </row>
    <row r="1356" spans="1:4" hidden="1" x14ac:dyDescent="0.35">
      <c r="A1356" s="6" t="s">
        <v>3643</v>
      </c>
      <c r="B1356" s="6" t="s">
        <v>3616</v>
      </c>
      <c r="C1356" s="6" t="s">
        <v>1098</v>
      </c>
      <c r="D1356" s="6" t="s">
        <v>3622</v>
      </c>
    </row>
    <row r="1357" spans="1:4" hidden="1" x14ac:dyDescent="0.35">
      <c r="A1357" s="6" t="s">
        <v>3644</v>
      </c>
      <c r="B1357" s="6" t="s">
        <v>3617</v>
      </c>
      <c r="C1357" s="6" t="s">
        <v>64</v>
      </c>
      <c r="D1357" s="6" t="s">
        <v>3624</v>
      </c>
    </row>
    <row r="1358" spans="1:4" hidden="1" x14ac:dyDescent="0.35">
      <c r="A1358" s="6" t="s">
        <v>3645</v>
      </c>
      <c r="B1358" s="6" t="s">
        <v>3806</v>
      </c>
      <c r="C1358" s="6" t="s">
        <v>3618</v>
      </c>
      <c r="D1358" s="6" t="s">
        <v>3622</v>
      </c>
    </row>
    <row r="1359" spans="1:4" hidden="1" x14ac:dyDescent="0.35">
      <c r="A1359" s="6" t="s">
        <v>3646</v>
      </c>
      <c r="B1359" s="6" t="s">
        <v>3619</v>
      </c>
      <c r="C1359" s="6" t="s">
        <v>3620</v>
      </c>
      <c r="D1359" s="6" t="s">
        <v>3622</v>
      </c>
    </row>
    <row r="1360" spans="1:4" hidden="1" x14ac:dyDescent="0.35">
      <c r="A1360" s="6" t="s">
        <v>3647</v>
      </c>
      <c r="B1360" s="6" t="s">
        <v>3621</v>
      </c>
      <c r="C1360" s="6" t="s">
        <v>1244</v>
      </c>
      <c r="D1360" s="6" t="s">
        <v>3623</v>
      </c>
    </row>
    <row r="1361" spans="1:4" hidden="1" x14ac:dyDescent="0.35">
      <c r="A1361" s="6">
        <v>101715</v>
      </c>
      <c r="B1361" s="6" t="s">
        <v>3705</v>
      </c>
      <c r="C1361" s="6" t="s">
        <v>1541</v>
      </c>
      <c r="D1361" s="6" t="s">
        <v>3623</v>
      </c>
    </row>
    <row r="1362" spans="1:4" hidden="1" x14ac:dyDescent="0.35">
      <c r="A1362" s="6">
        <v>101780</v>
      </c>
      <c r="B1362" s="6" t="s">
        <v>3706</v>
      </c>
      <c r="C1362" s="6" t="s">
        <v>1244</v>
      </c>
      <c r="D1362" s="6" t="s">
        <v>3623</v>
      </c>
    </row>
    <row r="1363" spans="1:4" hidden="1" x14ac:dyDescent="0.35">
      <c r="A1363" s="6">
        <v>101790</v>
      </c>
      <c r="B1363" s="6" t="s">
        <v>3707</v>
      </c>
      <c r="C1363" s="6" t="s">
        <v>1244</v>
      </c>
      <c r="D1363" s="6" t="s">
        <v>3622</v>
      </c>
    </row>
    <row r="1364" spans="1:4" hidden="1" x14ac:dyDescent="0.35">
      <c r="A1364" s="6">
        <v>101796</v>
      </c>
      <c r="B1364" s="6" t="s">
        <v>3708</v>
      </c>
      <c r="C1364" s="6" t="s">
        <v>2472</v>
      </c>
      <c r="D1364" s="6" t="s">
        <v>3623</v>
      </c>
    </row>
    <row r="1365" spans="1:4" hidden="1" x14ac:dyDescent="0.35">
      <c r="A1365" s="6">
        <v>101821</v>
      </c>
      <c r="B1365" s="6" t="s">
        <v>3709</v>
      </c>
      <c r="C1365" s="6" t="s">
        <v>2475</v>
      </c>
      <c r="D1365" s="6" t="s">
        <v>3623</v>
      </c>
    </row>
    <row r="1366" spans="1:4" hidden="1" x14ac:dyDescent="0.35">
      <c r="A1366" s="6">
        <v>101822</v>
      </c>
      <c r="B1366" s="6" t="s">
        <v>3710</v>
      </c>
      <c r="C1366" s="6" t="s">
        <v>2478</v>
      </c>
      <c r="D1366" s="6" t="s">
        <v>3623</v>
      </c>
    </row>
    <row r="1367" spans="1:4" hidden="1" x14ac:dyDescent="0.35">
      <c r="A1367" s="6">
        <v>101830</v>
      </c>
      <c r="B1367" s="6" t="s">
        <v>3711</v>
      </c>
      <c r="C1367" s="6" t="s">
        <v>3802</v>
      </c>
      <c r="D1367" s="6" t="s">
        <v>3623</v>
      </c>
    </row>
    <row r="1368" spans="1:4" hidden="1" x14ac:dyDescent="0.35">
      <c r="A1368" s="6">
        <v>104496</v>
      </c>
      <c r="B1368" s="6" t="s">
        <v>3712</v>
      </c>
      <c r="C1368" s="6" t="s">
        <v>1087</v>
      </c>
      <c r="D1368" s="6" t="s">
        <v>3623</v>
      </c>
    </row>
    <row r="1369" spans="1:4" hidden="1" x14ac:dyDescent="0.35">
      <c r="A1369" s="6">
        <v>111452</v>
      </c>
      <c r="B1369" s="6" t="s">
        <v>3713</v>
      </c>
      <c r="C1369" s="6" t="s">
        <v>1087</v>
      </c>
      <c r="D1369" s="6" t="s">
        <v>3623</v>
      </c>
    </row>
    <row r="1370" spans="1:4" hidden="1" x14ac:dyDescent="0.35">
      <c r="A1370" s="6">
        <v>111722</v>
      </c>
      <c r="B1370" s="6" t="s">
        <v>3714</v>
      </c>
      <c r="C1370" s="6" t="s">
        <v>1087</v>
      </c>
      <c r="D1370" s="6" t="s">
        <v>3623</v>
      </c>
    </row>
    <row r="1371" spans="1:4" hidden="1" x14ac:dyDescent="0.35">
      <c r="A1371" s="6">
        <v>111723</v>
      </c>
      <c r="B1371" s="6" t="s">
        <v>3715</v>
      </c>
      <c r="C1371" s="6" t="s">
        <v>1087</v>
      </c>
      <c r="D1371" s="6" t="s">
        <v>3623</v>
      </c>
    </row>
    <row r="1372" spans="1:4" hidden="1" x14ac:dyDescent="0.35">
      <c r="A1372" s="6">
        <v>203531</v>
      </c>
      <c r="B1372" s="6" t="s">
        <v>3716</v>
      </c>
      <c r="C1372" s="6" t="s">
        <v>1087</v>
      </c>
      <c r="D1372" s="6" t="s">
        <v>3623</v>
      </c>
    </row>
    <row r="1373" spans="1:4" hidden="1" x14ac:dyDescent="0.35">
      <c r="A1373" s="6" t="s">
        <v>3760</v>
      </c>
      <c r="B1373" s="6" t="s">
        <v>3717</v>
      </c>
      <c r="C1373" s="6" t="s">
        <v>64</v>
      </c>
      <c r="D1373" s="6" t="s">
        <v>3622</v>
      </c>
    </row>
    <row r="1374" spans="1:4" hidden="1" x14ac:dyDescent="0.35">
      <c r="A1374" s="6" t="s">
        <v>3761</v>
      </c>
      <c r="B1374" s="6" t="s">
        <v>3718</v>
      </c>
      <c r="C1374" s="6" t="s">
        <v>64</v>
      </c>
      <c r="D1374" s="6" t="s">
        <v>3624</v>
      </c>
    </row>
    <row r="1375" spans="1:4" hidden="1" x14ac:dyDescent="0.35">
      <c r="A1375" s="6" t="s">
        <v>3762</v>
      </c>
      <c r="B1375" s="6" t="s">
        <v>3719</v>
      </c>
      <c r="C1375" s="6" t="s">
        <v>64</v>
      </c>
      <c r="D1375" s="6" t="s">
        <v>3622</v>
      </c>
    </row>
    <row r="1376" spans="1:4" hidden="1" x14ac:dyDescent="0.35">
      <c r="A1376" s="6" t="s">
        <v>3763</v>
      </c>
      <c r="B1376" s="6" t="s">
        <v>3720</v>
      </c>
      <c r="C1376" s="6" t="s">
        <v>1244</v>
      </c>
      <c r="D1376" s="6" t="s">
        <v>3622</v>
      </c>
    </row>
    <row r="1377" spans="1:4" hidden="1" x14ac:dyDescent="0.35">
      <c r="A1377" s="6" t="s">
        <v>3764</v>
      </c>
      <c r="B1377" s="6" t="s">
        <v>3721</v>
      </c>
      <c r="C1377" s="6" t="s">
        <v>1244</v>
      </c>
      <c r="D1377" s="6" t="s">
        <v>3622</v>
      </c>
    </row>
    <row r="1378" spans="1:4" hidden="1" x14ac:dyDescent="0.35">
      <c r="A1378" s="6" t="s">
        <v>3765</v>
      </c>
      <c r="B1378" s="6" t="s">
        <v>3722</v>
      </c>
      <c r="C1378" s="6" t="s">
        <v>1244</v>
      </c>
      <c r="D1378" s="6" t="s">
        <v>3622</v>
      </c>
    </row>
    <row r="1379" spans="1:4" hidden="1" x14ac:dyDescent="0.35">
      <c r="A1379" s="6" t="s">
        <v>3766</v>
      </c>
      <c r="B1379" s="6" t="s">
        <v>3723</v>
      </c>
      <c r="C1379" s="6" t="s">
        <v>1244</v>
      </c>
      <c r="D1379" s="6" t="s">
        <v>3622</v>
      </c>
    </row>
    <row r="1380" spans="1:4" hidden="1" x14ac:dyDescent="0.35">
      <c r="A1380" s="6" t="s">
        <v>3767</v>
      </c>
      <c r="B1380" s="6" t="s">
        <v>3724</v>
      </c>
      <c r="C1380" s="6" t="s">
        <v>1244</v>
      </c>
      <c r="D1380" s="6" t="s">
        <v>3622</v>
      </c>
    </row>
    <row r="1381" spans="1:4" hidden="1" x14ac:dyDescent="0.35">
      <c r="A1381" s="6" t="s">
        <v>3768</v>
      </c>
      <c r="B1381" s="6" t="s">
        <v>3725</v>
      </c>
      <c r="C1381" s="6" t="s">
        <v>1244</v>
      </c>
      <c r="D1381" s="6" t="s">
        <v>3622</v>
      </c>
    </row>
    <row r="1382" spans="1:4" hidden="1" x14ac:dyDescent="0.35">
      <c r="A1382" s="6" t="s">
        <v>3769</v>
      </c>
      <c r="B1382" s="6" t="s">
        <v>3726</v>
      </c>
      <c r="C1382" s="6" t="s">
        <v>1244</v>
      </c>
      <c r="D1382" s="6" t="s">
        <v>3624</v>
      </c>
    </row>
    <row r="1383" spans="1:4" hidden="1" x14ac:dyDescent="0.35">
      <c r="A1383" s="6" t="s">
        <v>3770</v>
      </c>
      <c r="B1383" s="6" t="s">
        <v>3727</v>
      </c>
      <c r="C1383" s="6" t="s">
        <v>1244</v>
      </c>
      <c r="D1383" s="6" t="s">
        <v>3622</v>
      </c>
    </row>
    <row r="1384" spans="1:4" hidden="1" x14ac:dyDescent="0.35">
      <c r="A1384" s="6" t="s">
        <v>3771</v>
      </c>
      <c r="B1384" s="6" t="s">
        <v>3728</v>
      </c>
      <c r="C1384" s="6" t="s">
        <v>1244</v>
      </c>
      <c r="D1384" s="6" t="s">
        <v>3622</v>
      </c>
    </row>
    <row r="1385" spans="1:4" hidden="1" x14ac:dyDescent="0.35">
      <c r="A1385" s="6" t="s">
        <v>3772</v>
      </c>
      <c r="B1385" s="6" t="s">
        <v>3729</v>
      </c>
      <c r="C1385" s="6" t="s">
        <v>1244</v>
      </c>
      <c r="D1385" s="6" t="s">
        <v>3622</v>
      </c>
    </row>
    <row r="1386" spans="1:4" hidden="1" x14ac:dyDescent="0.35">
      <c r="A1386" s="6" t="s">
        <v>3773</v>
      </c>
      <c r="B1386" s="6" t="s">
        <v>3730</v>
      </c>
      <c r="C1386" s="6" t="s">
        <v>1244</v>
      </c>
      <c r="D1386" s="6" t="s">
        <v>3624</v>
      </c>
    </row>
    <row r="1387" spans="1:4" hidden="1" x14ac:dyDescent="0.35">
      <c r="A1387" s="6" t="s">
        <v>3774</v>
      </c>
      <c r="B1387" s="6" t="s">
        <v>3731</v>
      </c>
      <c r="C1387" s="6" t="s">
        <v>1244</v>
      </c>
      <c r="D1387" s="6" t="s">
        <v>3622</v>
      </c>
    </row>
    <row r="1388" spans="1:4" hidden="1" x14ac:dyDescent="0.35">
      <c r="A1388" s="6" t="s">
        <v>3775</v>
      </c>
      <c r="B1388" s="6" t="s">
        <v>3732</v>
      </c>
      <c r="C1388" s="6" t="s">
        <v>1244</v>
      </c>
      <c r="D1388" s="6" t="s">
        <v>3622</v>
      </c>
    </row>
    <row r="1389" spans="1:4" hidden="1" x14ac:dyDescent="0.35">
      <c r="A1389" s="6" t="s">
        <v>3776</v>
      </c>
      <c r="B1389" s="6" t="s">
        <v>3733</v>
      </c>
      <c r="C1389" s="6" t="s">
        <v>1244</v>
      </c>
      <c r="D1389" s="6" t="s">
        <v>3624</v>
      </c>
    </row>
    <row r="1390" spans="1:4" hidden="1" x14ac:dyDescent="0.35">
      <c r="A1390" s="6" t="s">
        <v>3777</v>
      </c>
      <c r="B1390" s="6" t="s">
        <v>3734</v>
      </c>
      <c r="C1390" s="6" t="s">
        <v>1244</v>
      </c>
      <c r="D1390" s="6" t="s">
        <v>3622</v>
      </c>
    </row>
    <row r="1391" spans="1:4" hidden="1" x14ac:dyDescent="0.35">
      <c r="A1391" s="6" t="s">
        <v>3778</v>
      </c>
      <c r="B1391" s="6" t="s">
        <v>3735</v>
      </c>
      <c r="C1391" s="6" t="s">
        <v>64</v>
      </c>
      <c r="D1391" s="6" t="s">
        <v>3624</v>
      </c>
    </row>
    <row r="1392" spans="1:4" hidden="1" x14ac:dyDescent="0.35">
      <c r="A1392" s="6" t="s">
        <v>3779</v>
      </c>
      <c r="B1392" s="6" t="s">
        <v>3736</v>
      </c>
      <c r="C1392" s="6" t="s">
        <v>1244</v>
      </c>
      <c r="D1392" s="6" t="s">
        <v>3624</v>
      </c>
    </row>
    <row r="1393" spans="1:4" hidden="1" x14ac:dyDescent="0.35">
      <c r="A1393" s="6" t="s">
        <v>3780</v>
      </c>
      <c r="B1393" s="6" t="s">
        <v>3737</v>
      </c>
      <c r="C1393" s="6" t="s">
        <v>1244</v>
      </c>
      <c r="D1393" s="6" t="s">
        <v>3622</v>
      </c>
    </row>
    <row r="1394" spans="1:4" hidden="1" x14ac:dyDescent="0.35">
      <c r="A1394" s="6" t="s">
        <v>3781</v>
      </c>
      <c r="B1394" s="6" t="s">
        <v>3738</v>
      </c>
      <c r="C1394" s="6" t="s">
        <v>1244</v>
      </c>
      <c r="D1394" s="6" t="s">
        <v>3622</v>
      </c>
    </row>
    <row r="1395" spans="1:4" hidden="1" x14ac:dyDescent="0.35">
      <c r="A1395" s="6" t="s">
        <v>3782</v>
      </c>
      <c r="B1395" s="6" t="s">
        <v>3739</v>
      </c>
      <c r="C1395" s="6" t="s">
        <v>64</v>
      </c>
      <c r="D1395" s="6" t="s">
        <v>3622</v>
      </c>
    </row>
    <row r="1396" spans="1:4" hidden="1" x14ac:dyDescent="0.35">
      <c r="A1396" s="6" t="s">
        <v>3783</v>
      </c>
      <c r="B1396" s="6" t="s">
        <v>3740</v>
      </c>
      <c r="C1396" s="6" t="s">
        <v>1244</v>
      </c>
      <c r="D1396" s="6" t="s">
        <v>3622</v>
      </c>
    </row>
    <row r="1397" spans="1:4" hidden="1" x14ac:dyDescent="0.35">
      <c r="A1397" s="6" t="s">
        <v>494</v>
      </c>
      <c r="B1397" s="6" t="s">
        <v>3741</v>
      </c>
      <c r="C1397" s="6" t="s">
        <v>1244</v>
      </c>
      <c r="D1397" s="6" t="s">
        <v>3624</v>
      </c>
    </row>
    <row r="1398" spans="1:4" hidden="1" x14ac:dyDescent="0.35">
      <c r="A1398" s="6" t="s">
        <v>3784</v>
      </c>
      <c r="B1398" s="6" t="s">
        <v>3742</v>
      </c>
      <c r="C1398" s="6" t="s">
        <v>1244</v>
      </c>
      <c r="D1398" s="6" t="s">
        <v>3622</v>
      </c>
    </row>
    <row r="1399" spans="1:4" hidden="1" x14ac:dyDescent="0.35">
      <c r="A1399" s="6" t="s">
        <v>3785</v>
      </c>
      <c r="B1399" s="6" t="s">
        <v>3743</v>
      </c>
      <c r="C1399" s="6" t="s">
        <v>64</v>
      </c>
      <c r="D1399" s="6" t="s">
        <v>3624</v>
      </c>
    </row>
    <row r="1400" spans="1:4" hidden="1" x14ac:dyDescent="0.35">
      <c r="A1400" s="6" t="s">
        <v>3786</v>
      </c>
      <c r="B1400" s="6" t="s">
        <v>3744</v>
      </c>
      <c r="C1400" s="6" t="s">
        <v>1244</v>
      </c>
      <c r="D1400" s="6" t="s">
        <v>3622</v>
      </c>
    </row>
    <row r="1401" spans="1:4" hidden="1" x14ac:dyDescent="0.35">
      <c r="A1401" s="6" t="s">
        <v>3787</v>
      </c>
      <c r="B1401" s="6" t="s">
        <v>3745</v>
      </c>
      <c r="C1401" s="6" t="s">
        <v>1244</v>
      </c>
      <c r="D1401" s="6" t="s">
        <v>3623</v>
      </c>
    </row>
    <row r="1402" spans="1:4" hidden="1" x14ac:dyDescent="0.35">
      <c r="A1402" s="6" t="s">
        <v>3788</v>
      </c>
      <c r="B1402" s="6" t="s">
        <v>3746</v>
      </c>
      <c r="C1402" s="6" t="s">
        <v>64</v>
      </c>
      <c r="D1402" s="6" t="s">
        <v>3622</v>
      </c>
    </row>
    <row r="1403" spans="1:4" hidden="1" x14ac:dyDescent="0.35">
      <c r="A1403" s="6" t="s">
        <v>3789</v>
      </c>
      <c r="B1403" s="6" t="s">
        <v>3747</v>
      </c>
      <c r="C1403" s="6" t="s">
        <v>1244</v>
      </c>
      <c r="D1403" s="6" t="s">
        <v>3622</v>
      </c>
    </row>
    <row r="1404" spans="1:4" hidden="1" x14ac:dyDescent="0.35">
      <c r="A1404" s="6" t="s">
        <v>3790</v>
      </c>
      <c r="B1404" s="6" t="s">
        <v>3748</v>
      </c>
      <c r="C1404" s="6" t="s">
        <v>1244</v>
      </c>
      <c r="D1404" s="6" t="s">
        <v>3624</v>
      </c>
    </row>
    <row r="1405" spans="1:4" hidden="1" x14ac:dyDescent="0.35">
      <c r="A1405" s="6" t="s">
        <v>3791</v>
      </c>
      <c r="B1405" s="6" t="s">
        <v>3749</v>
      </c>
      <c r="C1405" s="6" t="s">
        <v>1244</v>
      </c>
      <c r="D1405" s="6" t="s">
        <v>3624</v>
      </c>
    </row>
    <row r="1406" spans="1:4" hidden="1" x14ac:dyDescent="0.35">
      <c r="A1406" s="6" t="s">
        <v>3792</v>
      </c>
      <c r="B1406" s="6" t="s">
        <v>3750</v>
      </c>
      <c r="C1406" s="6" t="s">
        <v>1244</v>
      </c>
      <c r="D1406" s="6" t="s">
        <v>3624</v>
      </c>
    </row>
    <row r="1407" spans="1:4" hidden="1" x14ac:dyDescent="0.35">
      <c r="A1407" s="6" t="s">
        <v>3793</v>
      </c>
      <c r="B1407" s="6" t="s">
        <v>3751</v>
      </c>
      <c r="C1407" s="6" t="s">
        <v>1244</v>
      </c>
      <c r="D1407" s="6" t="s">
        <v>3624</v>
      </c>
    </row>
    <row r="1408" spans="1:4" hidden="1" x14ac:dyDescent="0.35">
      <c r="A1408" s="6" t="s">
        <v>3794</v>
      </c>
      <c r="B1408" s="6" t="s">
        <v>3752</v>
      </c>
      <c r="C1408" s="6" t="s">
        <v>1244</v>
      </c>
      <c r="D1408" s="6" t="s">
        <v>3622</v>
      </c>
    </row>
    <row r="1409" spans="1:4" hidden="1" x14ac:dyDescent="0.35">
      <c r="A1409" s="6" t="s">
        <v>3795</v>
      </c>
      <c r="B1409" s="6" t="s">
        <v>3753</v>
      </c>
      <c r="C1409" s="6" t="s">
        <v>2475</v>
      </c>
      <c r="D1409" s="6" t="s">
        <v>3623</v>
      </c>
    </row>
    <row r="1410" spans="1:4" hidden="1" x14ac:dyDescent="0.35">
      <c r="A1410" s="6" t="s">
        <v>3796</v>
      </c>
      <c r="B1410" s="6" t="s">
        <v>3754</v>
      </c>
      <c r="C1410" s="6" t="s">
        <v>2478</v>
      </c>
      <c r="D1410" s="6" t="s">
        <v>3623</v>
      </c>
    </row>
    <row r="1411" spans="1:4" hidden="1" x14ac:dyDescent="0.35">
      <c r="A1411" s="6" t="s">
        <v>3797</v>
      </c>
      <c r="B1411" s="6" t="s">
        <v>3755</v>
      </c>
      <c r="C1411" s="6" t="s">
        <v>1244</v>
      </c>
      <c r="D1411" s="6" t="s">
        <v>3624</v>
      </c>
    </row>
    <row r="1412" spans="1:4" hidden="1" x14ac:dyDescent="0.35">
      <c r="A1412" s="6" t="s">
        <v>3798</v>
      </c>
      <c r="B1412" s="6" t="s">
        <v>3756</v>
      </c>
      <c r="C1412" s="6" t="s">
        <v>1244</v>
      </c>
      <c r="D1412" s="6" t="s">
        <v>3622</v>
      </c>
    </row>
    <row r="1413" spans="1:4" hidden="1" x14ac:dyDescent="0.35">
      <c r="A1413" s="6" t="s">
        <v>3799</v>
      </c>
      <c r="B1413" s="6" t="s">
        <v>3757</v>
      </c>
      <c r="C1413" s="6" t="s">
        <v>3802</v>
      </c>
      <c r="D1413" s="6" t="s">
        <v>3623</v>
      </c>
    </row>
    <row r="1414" spans="1:4" hidden="1" x14ac:dyDescent="0.35">
      <c r="A1414" s="6" t="s">
        <v>3800</v>
      </c>
      <c r="B1414" s="6" t="s">
        <v>3758</v>
      </c>
      <c r="C1414" s="6" t="s">
        <v>1244</v>
      </c>
      <c r="D1414" s="6" t="s">
        <v>3624</v>
      </c>
    </row>
    <row r="1415" spans="1:4" hidden="1" x14ac:dyDescent="0.35">
      <c r="A1415" s="6" t="s">
        <v>3801</v>
      </c>
      <c r="B1415" s="6" t="s">
        <v>3759</v>
      </c>
      <c r="C1415" s="6" t="s">
        <v>1244</v>
      </c>
      <c r="D1415" s="6" t="s">
        <v>3622</v>
      </c>
    </row>
  </sheetData>
  <autoFilter ref="A1:D1415" xr:uid="{93B6281C-9B0F-4B1F-94A6-0CB21C87950B}">
    <filterColumn colId="1">
      <filters>
        <filter val="Inland Haulage Import"/>
      </filters>
    </filterColumn>
  </autoFilter>
  <conditionalFormatting sqref="B2:B133 B135:B1336">
    <cfRule type="duplicateValues" dxfId="5" priority="3"/>
  </conditionalFormatting>
  <conditionalFormatting sqref="B1361:B1415">
    <cfRule type="duplicateValues" dxfId="4" priority="2"/>
  </conditionalFormatting>
  <conditionalFormatting sqref="B1361:B1415">
    <cfRule type="duplicateValues" dxfId="3" priority="1"/>
  </conditionalFormatting>
  <pageMargins left="0.7" right="0.7" top="0.75" bottom="0.75" header="0.3" footer="0.3"/>
  <pageSetup paperSize="9" orientation="portrait" r:id="rId1"/>
  <headerFooter>
    <oddFooter>&amp;L&amp;1#&amp;"Calibri"&amp;10&amp;K000000Classification: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07620-D40A-4F7B-8911-0354B0E0ED86}">
  <sheetPr codeName="Sheet6"/>
  <dimension ref="A1:C849"/>
  <sheetViews>
    <sheetView workbookViewId="0">
      <selection activeCell="H13" sqref="H13"/>
    </sheetView>
  </sheetViews>
  <sheetFormatPr defaultRowHeight="14.5" x14ac:dyDescent="0.35"/>
  <cols>
    <col min="1" max="1" width="9.90625" bestFit="1" customWidth="1"/>
    <col min="2" max="2" width="15.08984375" customWidth="1"/>
    <col min="3" max="3" width="12.08984375" bestFit="1" customWidth="1"/>
  </cols>
  <sheetData>
    <row r="1" spans="1:3" ht="37.5" x14ac:dyDescent="0.35">
      <c r="A1" s="70" t="s">
        <v>3649</v>
      </c>
      <c r="B1" s="26" t="s">
        <v>301</v>
      </c>
      <c r="C1" s="26" t="s">
        <v>3650</v>
      </c>
    </row>
    <row r="2" spans="1:3" x14ac:dyDescent="0.35">
      <c r="A2" s="6">
        <v>80002</v>
      </c>
      <c r="B2" s="6" t="s">
        <v>3807</v>
      </c>
      <c r="C2" s="6">
        <v>1102</v>
      </c>
    </row>
    <row r="3" spans="1:3" x14ac:dyDescent="0.35">
      <c r="A3" s="6">
        <v>80007</v>
      </c>
      <c r="B3" s="6" t="s">
        <v>3808</v>
      </c>
      <c r="C3" s="6">
        <v>1383</v>
      </c>
    </row>
    <row r="4" spans="1:3" x14ac:dyDescent="0.35">
      <c r="A4" s="6">
        <v>80008</v>
      </c>
      <c r="B4" s="6" t="s">
        <v>3808</v>
      </c>
      <c r="C4" s="6">
        <v>2285</v>
      </c>
    </row>
    <row r="5" spans="1:3" x14ac:dyDescent="0.35">
      <c r="A5" s="6">
        <v>80011</v>
      </c>
      <c r="B5" s="6" t="s">
        <v>3809</v>
      </c>
      <c r="C5" s="6">
        <v>1835</v>
      </c>
    </row>
    <row r="6" spans="1:3" x14ac:dyDescent="0.35">
      <c r="A6" s="6">
        <v>80012</v>
      </c>
      <c r="B6" s="6" t="s">
        <v>3809</v>
      </c>
      <c r="C6" s="6">
        <v>1836</v>
      </c>
    </row>
    <row r="7" spans="1:3" x14ac:dyDescent="0.35">
      <c r="A7" s="6">
        <v>80013</v>
      </c>
      <c r="B7" s="6" t="s">
        <v>3809</v>
      </c>
      <c r="C7" s="6">
        <v>1837</v>
      </c>
    </row>
    <row r="8" spans="1:3" x14ac:dyDescent="0.35">
      <c r="A8" s="6">
        <v>80014</v>
      </c>
      <c r="B8" s="6" t="s">
        <v>3809</v>
      </c>
      <c r="C8" s="6">
        <v>1838</v>
      </c>
    </row>
    <row r="9" spans="1:3" x14ac:dyDescent="0.35">
      <c r="A9" s="6">
        <v>80015</v>
      </c>
      <c r="B9" s="6" t="s">
        <v>3809</v>
      </c>
      <c r="C9" s="6">
        <v>1841</v>
      </c>
    </row>
    <row r="10" spans="1:3" x14ac:dyDescent="0.35">
      <c r="A10" s="6">
        <v>80016</v>
      </c>
      <c r="B10" s="6" t="s">
        <v>3809</v>
      </c>
      <c r="C10" s="6">
        <v>1842</v>
      </c>
    </row>
    <row r="11" spans="1:3" x14ac:dyDescent="0.35">
      <c r="A11" s="6">
        <v>80017</v>
      </c>
      <c r="B11" s="6" t="s">
        <v>3810</v>
      </c>
      <c r="C11" s="6">
        <v>2687</v>
      </c>
    </row>
    <row r="12" spans="1:3" x14ac:dyDescent="0.35">
      <c r="A12" s="6">
        <v>80018</v>
      </c>
      <c r="B12" s="6" t="s">
        <v>3811</v>
      </c>
      <c r="C12" s="6">
        <v>2462</v>
      </c>
    </row>
    <row r="13" spans="1:3" x14ac:dyDescent="0.35">
      <c r="A13" s="6">
        <v>80019</v>
      </c>
      <c r="B13" s="6" t="s">
        <v>3812</v>
      </c>
      <c r="C13" s="6">
        <v>1825</v>
      </c>
    </row>
    <row r="14" spans="1:3" x14ac:dyDescent="0.35">
      <c r="A14" s="6">
        <v>80020</v>
      </c>
      <c r="B14" s="6" t="s">
        <v>3812</v>
      </c>
      <c r="C14" s="6">
        <v>1826</v>
      </c>
    </row>
    <row r="15" spans="1:3" x14ac:dyDescent="0.35">
      <c r="A15" s="6">
        <v>80021</v>
      </c>
      <c r="B15" s="6" t="s">
        <v>3812</v>
      </c>
      <c r="C15" s="6">
        <v>1827</v>
      </c>
    </row>
    <row r="16" spans="1:3" x14ac:dyDescent="0.35">
      <c r="A16" s="6">
        <v>80022</v>
      </c>
      <c r="B16" s="6" t="s">
        <v>3812</v>
      </c>
      <c r="C16" s="6">
        <v>1828</v>
      </c>
    </row>
    <row r="17" spans="1:3" x14ac:dyDescent="0.35">
      <c r="A17" s="6">
        <v>80023</v>
      </c>
      <c r="B17" s="6" t="s">
        <v>3813</v>
      </c>
      <c r="C17" s="6">
        <v>2465</v>
      </c>
    </row>
    <row r="18" spans="1:3" x14ac:dyDescent="0.35">
      <c r="A18" s="6">
        <v>80034</v>
      </c>
      <c r="B18" s="6" t="s">
        <v>3807</v>
      </c>
      <c r="C18" s="6">
        <v>2764</v>
      </c>
    </row>
    <row r="19" spans="1:3" x14ac:dyDescent="0.35">
      <c r="A19" s="6">
        <v>80035</v>
      </c>
      <c r="B19" s="6" t="s">
        <v>3807</v>
      </c>
      <c r="C19" s="6">
        <v>1731</v>
      </c>
    </row>
    <row r="20" spans="1:3" x14ac:dyDescent="0.35">
      <c r="A20" s="6">
        <v>80036</v>
      </c>
      <c r="B20" s="6" t="s">
        <v>3807</v>
      </c>
      <c r="C20" s="6">
        <v>1727</v>
      </c>
    </row>
    <row r="21" spans="1:3" x14ac:dyDescent="0.35">
      <c r="A21" s="6">
        <v>80037</v>
      </c>
      <c r="B21" s="6" t="s">
        <v>3807</v>
      </c>
      <c r="C21" s="6">
        <v>2602</v>
      </c>
    </row>
    <row r="22" spans="1:3" x14ac:dyDescent="0.35">
      <c r="A22" s="6">
        <v>80038</v>
      </c>
      <c r="B22" s="6" t="s">
        <v>3807</v>
      </c>
      <c r="C22" s="6">
        <v>2762</v>
      </c>
    </row>
    <row r="23" spans="1:3" x14ac:dyDescent="0.35">
      <c r="A23" s="6">
        <v>80039</v>
      </c>
      <c r="B23" s="6" t="s">
        <v>3807</v>
      </c>
      <c r="C23" s="6">
        <v>2763</v>
      </c>
    </row>
    <row r="24" spans="1:3" x14ac:dyDescent="0.35">
      <c r="A24" s="6">
        <v>80040</v>
      </c>
      <c r="B24" s="6" t="s">
        <v>3807</v>
      </c>
      <c r="C24" s="6">
        <v>1736</v>
      </c>
    </row>
    <row r="25" spans="1:3" x14ac:dyDescent="0.35">
      <c r="A25" s="6">
        <v>80041</v>
      </c>
      <c r="B25" s="6" t="s">
        <v>3807</v>
      </c>
      <c r="C25" s="6">
        <v>1737</v>
      </c>
    </row>
    <row r="26" spans="1:3" x14ac:dyDescent="0.35">
      <c r="A26" s="6">
        <v>80048</v>
      </c>
      <c r="B26" s="6" t="s">
        <v>3814</v>
      </c>
      <c r="C26" s="6">
        <v>2391</v>
      </c>
    </row>
    <row r="27" spans="1:3" x14ac:dyDescent="0.35">
      <c r="A27" s="6">
        <v>80049</v>
      </c>
      <c r="B27" s="6" t="s">
        <v>3814</v>
      </c>
      <c r="C27" s="6">
        <v>2392</v>
      </c>
    </row>
    <row r="28" spans="1:3" x14ac:dyDescent="0.35">
      <c r="A28" s="6">
        <v>80050</v>
      </c>
      <c r="B28" s="6" t="s">
        <v>3809</v>
      </c>
      <c r="C28" s="6">
        <v>2463</v>
      </c>
    </row>
    <row r="29" spans="1:3" x14ac:dyDescent="0.35">
      <c r="A29" s="6">
        <v>80051</v>
      </c>
      <c r="B29" s="6" t="s">
        <v>3809</v>
      </c>
      <c r="C29" s="6">
        <v>2983</v>
      </c>
    </row>
    <row r="30" spans="1:3" x14ac:dyDescent="0.35">
      <c r="A30" s="6">
        <v>80052</v>
      </c>
      <c r="B30" s="6" t="s">
        <v>3809</v>
      </c>
      <c r="C30" s="6">
        <v>1829</v>
      </c>
    </row>
    <row r="31" spans="1:3" x14ac:dyDescent="0.35">
      <c r="A31" s="6">
        <v>80053</v>
      </c>
      <c r="B31" s="6" t="s">
        <v>3809</v>
      </c>
      <c r="C31" s="6">
        <v>1830</v>
      </c>
    </row>
    <row r="32" spans="1:3" x14ac:dyDescent="0.35">
      <c r="A32" s="6">
        <v>80054</v>
      </c>
      <c r="B32" s="6" t="s">
        <v>3809</v>
      </c>
      <c r="C32" s="6">
        <v>1833</v>
      </c>
    </row>
    <row r="33" spans="1:3" x14ac:dyDescent="0.35">
      <c r="A33" s="6">
        <v>80055</v>
      </c>
      <c r="B33" s="6" t="s">
        <v>3809</v>
      </c>
      <c r="C33" s="6">
        <v>1834</v>
      </c>
    </row>
    <row r="34" spans="1:3" x14ac:dyDescent="0.35">
      <c r="A34" s="6">
        <v>80056</v>
      </c>
      <c r="B34" s="6" t="s">
        <v>3809</v>
      </c>
      <c r="C34" s="6">
        <v>1831</v>
      </c>
    </row>
    <row r="35" spans="1:3" x14ac:dyDescent="0.35">
      <c r="A35" s="6">
        <v>80057</v>
      </c>
      <c r="B35" s="6" t="s">
        <v>3809</v>
      </c>
      <c r="C35" s="6">
        <v>1832</v>
      </c>
    </row>
    <row r="36" spans="1:3" x14ac:dyDescent="0.35">
      <c r="A36" s="6">
        <v>80058</v>
      </c>
      <c r="B36" s="6" t="s">
        <v>3815</v>
      </c>
      <c r="C36" s="6">
        <v>2765</v>
      </c>
    </row>
    <row r="37" spans="1:3" x14ac:dyDescent="0.35">
      <c r="A37" s="6">
        <v>80059</v>
      </c>
      <c r="B37" s="6" t="s">
        <v>3815</v>
      </c>
      <c r="C37" s="6">
        <v>2766</v>
      </c>
    </row>
    <row r="38" spans="1:3" x14ac:dyDescent="0.35">
      <c r="A38" s="6">
        <v>80060</v>
      </c>
      <c r="B38" s="6" t="s">
        <v>3807</v>
      </c>
      <c r="C38" s="6">
        <v>1739</v>
      </c>
    </row>
    <row r="39" spans="1:3" x14ac:dyDescent="0.35">
      <c r="A39" s="6">
        <v>80061</v>
      </c>
      <c r="B39" s="6" t="s">
        <v>3807</v>
      </c>
      <c r="C39" s="6">
        <v>1740</v>
      </c>
    </row>
    <row r="40" spans="1:3" x14ac:dyDescent="0.35">
      <c r="A40" s="6">
        <v>80062</v>
      </c>
      <c r="B40" s="6" t="s">
        <v>3816</v>
      </c>
      <c r="C40" s="6">
        <v>1562</v>
      </c>
    </row>
    <row r="41" spans="1:3" x14ac:dyDescent="0.35">
      <c r="A41" s="6">
        <v>80067</v>
      </c>
      <c r="B41" s="6" t="s">
        <v>3817</v>
      </c>
      <c r="C41" s="6">
        <v>2708</v>
      </c>
    </row>
    <row r="42" spans="1:3" x14ac:dyDescent="0.35">
      <c r="A42" s="6">
        <v>80068</v>
      </c>
      <c r="B42" s="6" t="s">
        <v>3817</v>
      </c>
      <c r="C42" s="6">
        <v>2709</v>
      </c>
    </row>
    <row r="43" spans="1:3" x14ac:dyDescent="0.35">
      <c r="A43" s="6">
        <v>80069</v>
      </c>
      <c r="B43" s="6" t="s">
        <v>3818</v>
      </c>
      <c r="C43" s="6">
        <v>2432</v>
      </c>
    </row>
    <row r="44" spans="1:3" x14ac:dyDescent="0.35">
      <c r="A44" s="6">
        <v>80074</v>
      </c>
      <c r="B44" s="6" t="s">
        <v>3819</v>
      </c>
      <c r="C44" s="6">
        <v>2502</v>
      </c>
    </row>
    <row r="45" spans="1:3" x14ac:dyDescent="0.35">
      <c r="A45" s="6">
        <v>80075</v>
      </c>
      <c r="B45" s="6" t="s">
        <v>3819</v>
      </c>
      <c r="C45" s="6">
        <v>2724</v>
      </c>
    </row>
    <row r="46" spans="1:3" x14ac:dyDescent="0.35">
      <c r="A46" s="6">
        <v>80077</v>
      </c>
      <c r="B46" s="6" t="s">
        <v>3819</v>
      </c>
      <c r="C46" s="6">
        <v>1886</v>
      </c>
    </row>
    <row r="47" spans="1:3" x14ac:dyDescent="0.35">
      <c r="A47" s="6">
        <v>80080</v>
      </c>
      <c r="B47" s="6" t="s">
        <v>3807</v>
      </c>
      <c r="C47" s="6">
        <v>3418</v>
      </c>
    </row>
    <row r="48" spans="1:3" x14ac:dyDescent="0.35">
      <c r="A48" s="6">
        <v>80081</v>
      </c>
      <c r="B48" s="6" t="s">
        <v>3807</v>
      </c>
      <c r="C48" s="6">
        <v>3283</v>
      </c>
    </row>
    <row r="49" spans="1:3" x14ac:dyDescent="0.35">
      <c r="A49" s="6">
        <v>80082</v>
      </c>
      <c r="B49" s="6" t="s">
        <v>3820</v>
      </c>
      <c r="C49" s="6">
        <v>2546</v>
      </c>
    </row>
    <row r="50" spans="1:3" x14ac:dyDescent="0.35">
      <c r="A50" s="6">
        <v>80083</v>
      </c>
      <c r="B50" s="6" t="s">
        <v>3820</v>
      </c>
      <c r="C50" s="6">
        <v>1753</v>
      </c>
    </row>
    <row r="51" spans="1:3" x14ac:dyDescent="0.35">
      <c r="A51" s="6">
        <v>80084</v>
      </c>
      <c r="B51" s="6" t="s">
        <v>3819</v>
      </c>
      <c r="C51" s="6">
        <v>2723</v>
      </c>
    </row>
    <row r="52" spans="1:3" x14ac:dyDescent="0.35">
      <c r="A52" s="6">
        <v>80087</v>
      </c>
      <c r="B52" s="6" t="s">
        <v>3821</v>
      </c>
      <c r="C52" s="6">
        <v>1844</v>
      </c>
    </row>
    <row r="53" spans="1:3" x14ac:dyDescent="0.35">
      <c r="A53" s="6">
        <v>80088</v>
      </c>
      <c r="B53" s="6" t="s">
        <v>3821</v>
      </c>
      <c r="C53" s="6">
        <v>1843</v>
      </c>
    </row>
    <row r="54" spans="1:3" x14ac:dyDescent="0.35">
      <c r="A54" s="6">
        <v>80089</v>
      </c>
      <c r="B54" s="6" t="s">
        <v>3821</v>
      </c>
      <c r="C54" s="6">
        <v>1845</v>
      </c>
    </row>
    <row r="55" spans="1:3" x14ac:dyDescent="0.35">
      <c r="A55" s="6">
        <v>80090</v>
      </c>
      <c r="B55" s="6" t="s">
        <v>3821</v>
      </c>
      <c r="C55" s="6">
        <v>1846</v>
      </c>
    </row>
    <row r="56" spans="1:3" x14ac:dyDescent="0.35">
      <c r="A56" s="6">
        <v>80091</v>
      </c>
      <c r="B56" s="6" t="s">
        <v>3821</v>
      </c>
      <c r="C56" s="6">
        <v>3327</v>
      </c>
    </row>
    <row r="57" spans="1:3" x14ac:dyDescent="0.35">
      <c r="A57" s="6">
        <v>80092</v>
      </c>
      <c r="B57" s="6" t="s">
        <v>3822</v>
      </c>
      <c r="C57" s="6">
        <v>2783</v>
      </c>
    </row>
    <row r="58" spans="1:3" x14ac:dyDescent="0.35">
      <c r="A58" s="6">
        <v>80093</v>
      </c>
      <c r="B58" s="6" t="s">
        <v>3823</v>
      </c>
      <c r="C58" s="6">
        <v>2784</v>
      </c>
    </row>
    <row r="59" spans="1:3" x14ac:dyDescent="0.35">
      <c r="A59" s="6">
        <v>80095</v>
      </c>
      <c r="B59" s="6" t="s">
        <v>3822</v>
      </c>
      <c r="C59" s="6">
        <v>1771</v>
      </c>
    </row>
    <row r="60" spans="1:3" x14ac:dyDescent="0.35">
      <c r="A60" s="6">
        <v>80096</v>
      </c>
      <c r="B60" s="6" t="s">
        <v>3822</v>
      </c>
      <c r="C60" s="6">
        <v>1867</v>
      </c>
    </row>
    <row r="61" spans="1:3" x14ac:dyDescent="0.35">
      <c r="A61" s="6">
        <v>80097</v>
      </c>
      <c r="B61" s="6" t="s">
        <v>3824</v>
      </c>
      <c r="C61" s="6">
        <v>1897</v>
      </c>
    </row>
    <row r="62" spans="1:3" x14ac:dyDescent="0.35">
      <c r="A62" s="6">
        <v>80098</v>
      </c>
      <c r="B62" s="6" t="s">
        <v>3824</v>
      </c>
      <c r="C62" s="6">
        <v>1898</v>
      </c>
    </row>
    <row r="63" spans="1:3" x14ac:dyDescent="0.35">
      <c r="A63" s="6">
        <v>80099</v>
      </c>
      <c r="B63" s="6" t="s">
        <v>3824</v>
      </c>
      <c r="C63" s="6">
        <v>1899</v>
      </c>
    </row>
    <row r="64" spans="1:3" x14ac:dyDescent="0.35">
      <c r="A64" s="6">
        <v>80100</v>
      </c>
      <c r="B64" s="6" t="s">
        <v>3824</v>
      </c>
      <c r="C64" s="6">
        <v>1900</v>
      </c>
    </row>
    <row r="65" spans="1:3" x14ac:dyDescent="0.35">
      <c r="A65" s="6">
        <v>80101</v>
      </c>
      <c r="B65" s="6" t="s">
        <v>3825</v>
      </c>
      <c r="C65" s="6">
        <v>2745</v>
      </c>
    </row>
    <row r="66" spans="1:3" x14ac:dyDescent="0.35">
      <c r="A66" s="6">
        <v>80105</v>
      </c>
      <c r="B66" s="6" t="s">
        <v>3824</v>
      </c>
      <c r="C66" s="6">
        <v>1891</v>
      </c>
    </row>
    <row r="67" spans="1:3" x14ac:dyDescent="0.35">
      <c r="A67" s="6">
        <v>80106</v>
      </c>
      <c r="B67" s="6" t="s">
        <v>3824</v>
      </c>
      <c r="C67" s="6">
        <v>1892</v>
      </c>
    </row>
    <row r="68" spans="1:3" x14ac:dyDescent="0.35">
      <c r="A68" s="6">
        <v>80107</v>
      </c>
      <c r="B68" s="6" t="s">
        <v>3824</v>
      </c>
      <c r="C68" s="6">
        <v>1894</v>
      </c>
    </row>
    <row r="69" spans="1:3" x14ac:dyDescent="0.35">
      <c r="A69" s="6">
        <v>80108</v>
      </c>
      <c r="B69" s="6" t="s">
        <v>3824</v>
      </c>
      <c r="C69" s="6">
        <v>1895</v>
      </c>
    </row>
    <row r="70" spans="1:3" x14ac:dyDescent="0.35">
      <c r="A70" s="6">
        <v>80109</v>
      </c>
      <c r="B70" s="6" t="s">
        <v>3824</v>
      </c>
      <c r="C70" s="6">
        <v>1896</v>
      </c>
    </row>
    <row r="71" spans="1:3" x14ac:dyDescent="0.35">
      <c r="A71" s="6">
        <v>80121</v>
      </c>
      <c r="B71" s="6" t="s">
        <v>3826</v>
      </c>
      <c r="C71" s="6">
        <v>2381</v>
      </c>
    </row>
    <row r="72" spans="1:3" x14ac:dyDescent="0.35">
      <c r="A72" s="6">
        <v>80122</v>
      </c>
      <c r="B72" s="6" t="s">
        <v>3826</v>
      </c>
      <c r="C72" s="6">
        <v>2382</v>
      </c>
    </row>
    <row r="73" spans="1:3" x14ac:dyDescent="0.35">
      <c r="A73" s="6">
        <v>80136</v>
      </c>
      <c r="B73" s="6" t="s">
        <v>3822</v>
      </c>
      <c r="C73" s="6">
        <v>1763</v>
      </c>
    </row>
    <row r="74" spans="1:3" x14ac:dyDescent="0.35">
      <c r="A74" s="6">
        <v>80137</v>
      </c>
      <c r="B74" s="6" t="s">
        <v>3822</v>
      </c>
      <c r="C74" s="6">
        <v>1088</v>
      </c>
    </row>
    <row r="75" spans="1:3" x14ac:dyDescent="0.35">
      <c r="A75" s="6">
        <v>80138</v>
      </c>
      <c r="B75" s="6" t="s">
        <v>3822</v>
      </c>
      <c r="C75" s="6">
        <v>1769</v>
      </c>
    </row>
    <row r="76" spans="1:3" x14ac:dyDescent="0.35">
      <c r="A76" s="6">
        <v>80139</v>
      </c>
      <c r="B76" s="6" t="s">
        <v>3827</v>
      </c>
      <c r="C76" s="6">
        <v>2346</v>
      </c>
    </row>
    <row r="77" spans="1:3" x14ac:dyDescent="0.35">
      <c r="A77" s="6">
        <v>80140</v>
      </c>
      <c r="B77" s="6" t="s">
        <v>3827</v>
      </c>
      <c r="C77" s="6">
        <v>2347</v>
      </c>
    </row>
    <row r="78" spans="1:3" x14ac:dyDescent="0.35">
      <c r="A78" s="6">
        <v>80145</v>
      </c>
      <c r="B78" s="6" t="s">
        <v>3828</v>
      </c>
      <c r="C78" s="6">
        <v>2743</v>
      </c>
    </row>
    <row r="79" spans="1:3" x14ac:dyDescent="0.35">
      <c r="A79" s="6">
        <v>80149</v>
      </c>
      <c r="B79" s="6" t="s">
        <v>3829</v>
      </c>
      <c r="C79" s="6">
        <v>1545</v>
      </c>
    </row>
    <row r="80" spans="1:3" x14ac:dyDescent="0.35">
      <c r="A80" s="6">
        <v>80150</v>
      </c>
      <c r="B80" s="6" t="s">
        <v>3830</v>
      </c>
      <c r="C80" s="6">
        <v>1596</v>
      </c>
    </row>
    <row r="81" spans="1:3" x14ac:dyDescent="0.35">
      <c r="A81" s="6">
        <v>80151</v>
      </c>
      <c r="B81" s="6" t="s">
        <v>3830</v>
      </c>
      <c r="C81" s="6">
        <v>2450</v>
      </c>
    </row>
    <row r="82" spans="1:3" x14ac:dyDescent="0.35">
      <c r="A82" s="6">
        <v>80152</v>
      </c>
      <c r="B82" s="6" t="s">
        <v>3830</v>
      </c>
      <c r="C82" s="6">
        <v>2451</v>
      </c>
    </row>
    <row r="83" spans="1:3" x14ac:dyDescent="0.35">
      <c r="A83" s="6">
        <v>80153</v>
      </c>
      <c r="B83" s="6" t="s">
        <v>3831</v>
      </c>
      <c r="C83" s="6">
        <v>2675</v>
      </c>
    </row>
    <row r="84" spans="1:3" x14ac:dyDescent="0.35">
      <c r="A84" s="6">
        <v>80154</v>
      </c>
      <c r="B84" s="6" t="s">
        <v>3832</v>
      </c>
      <c r="C84" s="6">
        <v>1571</v>
      </c>
    </row>
    <row r="85" spans="1:3" x14ac:dyDescent="0.35">
      <c r="A85" s="6">
        <v>80155</v>
      </c>
      <c r="B85" s="6" t="s">
        <v>3832</v>
      </c>
      <c r="C85" s="6">
        <v>1572</v>
      </c>
    </row>
    <row r="86" spans="1:3" x14ac:dyDescent="0.35">
      <c r="A86" s="6">
        <v>80156</v>
      </c>
      <c r="B86" s="6" t="s">
        <v>3832</v>
      </c>
      <c r="C86" s="6">
        <v>1573</v>
      </c>
    </row>
    <row r="87" spans="1:3" x14ac:dyDescent="0.35">
      <c r="A87" s="6">
        <v>80157</v>
      </c>
      <c r="B87" s="6" t="s">
        <v>3832</v>
      </c>
      <c r="C87" s="6">
        <v>1574</v>
      </c>
    </row>
    <row r="88" spans="1:3" x14ac:dyDescent="0.35">
      <c r="A88" s="6">
        <v>80158</v>
      </c>
      <c r="B88" s="6" t="s">
        <v>3832</v>
      </c>
      <c r="C88" s="6">
        <v>1580</v>
      </c>
    </row>
    <row r="89" spans="1:3" x14ac:dyDescent="0.35">
      <c r="A89" s="6">
        <v>80159</v>
      </c>
      <c r="B89" s="6" t="s">
        <v>3832</v>
      </c>
      <c r="C89" s="6">
        <v>1584</v>
      </c>
    </row>
    <row r="90" spans="1:3" x14ac:dyDescent="0.35">
      <c r="A90" s="6">
        <v>80160</v>
      </c>
      <c r="B90" s="6" t="s">
        <v>3832</v>
      </c>
      <c r="C90" s="6">
        <v>1585</v>
      </c>
    </row>
    <row r="91" spans="1:3" x14ac:dyDescent="0.35">
      <c r="A91" s="6">
        <v>80161</v>
      </c>
      <c r="B91" s="6" t="s">
        <v>3833</v>
      </c>
      <c r="C91" s="6">
        <v>3286</v>
      </c>
    </row>
    <row r="92" spans="1:3" x14ac:dyDescent="0.35">
      <c r="A92" s="6">
        <v>80163</v>
      </c>
      <c r="B92" s="6" t="s">
        <v>3834</v>
      </c>
      <c r="C92" s="6">
        <v>2962</v>
      </c>
    </row>
    <row r="93" spans="1:3" x14ac:dyDescent="0.35">
      <c r="A93" s="6">
        <v>80164</v>
      </c>
      <c r="B93" s="6" t="s">
        <v>3834</v>
      </c>
      <c r="C93" s="6">
        <v>2963</v>
      </c>
    </row>
    <row r="94" spans="1:3" x14ac:dyDescent="0.35">
      <c r="A94" s="6">
        <v>80165</v>
      </c>
      <c r="B94" s="6" t="s">
        <v>3835</v>
      </c>
      <c r="C94" s="6">
        <v>3284</v>
      </c>
    </row>
    <row r="95" spans="1:3" x14ac:dyDescent="0.35">
      <c r="A95" s="6">
        <v>80166</v>
      </c>
      <c r="B95" s="6" t="s">
        <v>3836</v>
      </c>
      <c r="C95" s="6">
        <v>1062</v>
      </c>
    </row>
    <row r="96" spans="1:3" x14ac:dyDescent="0.35">
      <c r="A96" s="6">
        <v>80169</v>
      </c>
      <c r="B96" s="6" t="s">
        <v>3836</v>
      </c>
      <c r="C96" s="6">
        <v>3318</v>
      </c>
    </row>
    <row r="97" spans="1:3" x14ac:dyDescent="0.35">
      <c r="A97" s="6">
        <v>80172</v>
      </c>
      <c r="B97" s="6" t="s">
        <v>3811</v>
      </c>
      <c r="C97" s="6">
        <v>1815</v>
      </c>
    </row>
    <row r="98" spans="1:3" x14ac:dyDescent="0.35">
      <c r="A98" s="6">
        <v>80173</v>
      </c>
      <c r="B98" s="6" t="s">
        <v>3837</v>
      </c>
      <c r="C98" s="6">
        <v>1342</v>
      </c>
    </row>
    <row r="99" spans="1:3" x14ac:dyDescent="0.35">
      <c r="A99" s="6">
        <v>80174</v>
      </c>
      <c r="B99" s="6" t="s">
        <v>3837</v>
      </c>
      <c r="C99" s="6">
        <v>2669</v>
      </c>
    </row>
    <row r="100" spans="1:3" x14ac:dyDescent="0.35">
      <c r="A100" s="6">
        <v>80177</v>
      </c>
      <c r="B100" s="6" t="s">
        <v>3838</v>
      </c>
      <c r="C100" s="6">
        <v>2693</v>
      </c>
    </row>
    <row r="101" spans="1:3" x14ac:dyDescent="0.35">
      <c r="A101" s="6">
        <v>80178</v>
      </c>
      <c r="B101" s="6" t="s">
        <v>3838</v>
      </c>
      <c r="C101" s="6">
        <v>2694</v>
      </c>
    </row>
    <row r="102" spans="1:3" x14ac:dyDescent="0.35">
      <c r="A102" s="6">
        <v>80179</v>
      </c>
      <c r="B102" s="6" t="s">
        <v>3839</v>
      </c>
      <c r="C102" s="6">
        <v>1527</v>
      </c>
    </row>
    <row r="103" spans="1:3" x14ac:dyDescent="0.35">
      <c r="A103" s="6">
        <v>80182</v>
      </c>
      <c r="B103" s="6" t="s">
        <v>3840</v>
      </c>
      <c r="C103" s="6">
        <v>3022</v>
      </c>
    </row>
    <row r="104" spans="1:3" x14ac:dyDescent="0.35">
      <c r="A104" s="6">
        <v>80185</v>
      </c>
      <c r="B104" s="6" t="s">
        <v>3840</v>
      </c>
      <c r="C104" s="6">
        <v>2842</v>
      </c>
    </row>
    <row r="105" spans="1:3" x14ac:dyDescent="0.35">
      <c r="A105" s="6">
        <v>80186</v>
      </c>
      <c r="B105" s="6" t="s">
        <v>3840</v>
      </c>
      <c r="C105" s="6">
        <v>2002</v>
      </c>
    </row>
    <row r="106" spans="1:3" x14ac:dyDescent="0.35">
      <c r="A106" s="6">
        <v>80187</v>
      </c>
      <c r="B106" s="6" t="s">
        <v>3841</v>
      </c>
      <c r="C106" s="6">
        <v>4206</v>
      </c>
    </row>
    <row r="107" spans="1:3" x14ac:dyDescent="0.35">
      <c r="A107" s="6">
        <v>80188</v>
      </c>
      <c r="B107" s="6" t="s">
        <v>3842</v>
      </c>
      <c r="C107" s="6">
        <v>4326</v>
      </c>
    </row>
    <row r="108" spans="1:3" x14ac:dyDescent="0.35">
      <c r="A108" s="6">
        <v>80190</v>
      </c>
      <c r="B108" s="6" t="s">
        <v>3843</v>
      </c>
      <c r="C108" s="6">
        <v>1163</v>
      </c>
    </row>
    <row r="109" spans="1:3" x14ac:dyDescent="0.35">
      <c r="A109" s="6">
        <v>80191</v>
      </c>
      <c r="B109" s="6" t="s">
        <v>3843</v>
      </c>
      <c r="C109" s="6">
        <v>3590</v>
      </c>
    </row>
    <row r="110" spans="1:3" x14ac:dyDescent="0.35">
      <c r="A110" s="6">
        <v>80192</v>
      </c>
      <c r="B110" s="6" t="s">
        <v>3844</v>
      </c>
      <c r="C110" s="6">
        <v>3539</v>
      </c>
    </row>
    <row r="111" spans="1:3" x14ac:dyDescent="0.35">
      <c r="A111" s="6">
        <v>80193</v>
      </c>
      <c r="B111" s="6" t="s">
        <v>3822</v>
      </c>
      <c r="C111" s="6">
        <v>3583</v>
      </c>
    </row>
    <row r="112" spans="1:3" x14ac:dyDescent="0.35">
      <c r="A112" s="6">
        <v>80194</v>
      </c>
      <c r="B112" s="6" t="s">
        <v>3822</v>
      </c>
      <c r="C112" s="6">
        <v>3582</v>
      </c>
    </row>
    <row r="113" spans="1:3" x14ac:dyDescent="0.35">
      <c r="A113" s="6">
        <v>80195</v>
      </c>
      <c r="B113" s="6" t="s">
        <v>3845</v>
      </c>
      <c r="C113" s="6">
        <v>3538</v>
      </c>
    </row>
    <row r="114" spans="1:3" x14ac:dyDescent="0.35">
      <c r="A114" s="6">
        <v>80196</v>
      </c>
      <c r="B114" s="6" t="s">
        <v>3846</v>
      </c>
      <c r="C114" s="6">
        <v>4726</v>
      </c>
    </row>
    <row r="115" spans="1:3" x14ac:dyDescent="0.35">
      <c r="A115" s="6">
        <v>80197</v>
      </c>
      <c r="B115" s="6" t="s">
        <v>3822</v>
      </c>
      <c r="C115" s="6">
        <v>3986</v>
      </c>
    </row>
    <row r="116" spans="1:3" x14ac:dyDescent="0.35">
      <c r="A116" s="6">
        <v>80198</v>
      </c>
      <c r="B116" s="6" t="s">
        <v>3836</v>
      </c>
      <c r="C116" s="6">
        <v>4106</v>
      </c>
    </row>
    <row r="117" spans="1:3" x14ac:dyDescent="0.35">
      <c r="A117" s="6">
        <v>80200</v>
      </c>
      <c r="B117" s="6" t="s">
        <v>3847</v>
      </c>
      <c r="C117" s="6">
        <v>3766</v>
      </c>
    </row>
    <row r="118" spans="1:3" x14ac:dyDescent="0.35">
      <c r="A118" s="6">
        <v>80201</v>
      </c>
      <c r="B118" s="6" t="s">
        <v>3848</v>
      </c>
      <c r="C118" s="6">
        <v>3887</v>
      </c>
    </row>
    <row r="119" spans="1:3" x14ac:dyDescent="0.35">
      <c r="A119" s="6">
        <v>80203</v>
      </c>
      <c r="B119" s="6" t="s">
        <v>3849</v>
      </c>
      <c r="C119" s="6">
        <v>3521</v>
      </c>
    </row>
    <row r="120" spans="1:3" x14ac:dyDescent="0.35">
      <c r="A120" s="6">
        <v>80204</v>
      </c>
      <c r="B120" s="6" t="s">
        <v>3830</v>
      </c>
      <c r="C120" s="6">
        <v>3746</v>
      </c>
    </row>
    <row r="121" spans="1:3" x14ac:dyDescent="0.35">
      <c r="A121" s="6">
        <v>80205</v>
      </c>
      <c r="B121" s="6" t="s">
        <v>3850</v>
      </c>
      <c r="C121" s="6">
        <v>3543</v>
      </c>
    </row>
    <row r="122" spans="1:3" x14ac:dyDescent="0.35">
      <c r="A122" s="6">
        <v>80206</v>
      </c>
      <c r="B122" s="6" t="s">
        <v>3851</v>
      </c>
      <c r="C122" s="6">
        <v>4766</v>
      </c>
    </row>
    <row r="123" spans="1:3" x14ac:dyDescent="0.35">
      <c r="A123" s="6">
        <v>80208</v>
      </c>
      <c r="B123" s="6" t="s">
        <v>3838</v>
      </c>
      <c r="C123" s="6">
        <v>4486</v>
      </c>
    </row>
    <row r="124" spans="1:3" x14ac:dyDescent="0.35">
      <c r="A124" s="6">
        <v>80209</v>
      </c>
      <c r="B124" s="6" t="s">
        <v>3843</v>
      </c>
      <c r="C124" s="6">
        <v>1162</v>
      </c>
    </row>
    <row r="125" spans="1:3" x14ac:dyDescent="0.35">
      <c r="A125" s="6">
        <v>80210</v>
      </c>
      <c r="B125" s="6" t="s">
        <v>3835</v>
      </c>
      <c r="C125" s="6">
        <v>3806</v>
      </c>
    </row>
    <row r="126" spans="1:3" x14ac:dyDescent="0.35">
      <c r="A126" s="6">
        <v>80211</v>
      </c>
      <c r="B126" s="6" t="s">
        <v>3852</v>
      </c>
      <c r="C126" s="6">
        <v>3322</v>
      </c>
    </row>
    <row r="127" spans="1:3" x14ac:dyDescent="0.35">
      <c r="A127" s="6">
        <v>80213</v>
      </c>
      <c r="B127" s="6" t="s">
        <v>3853</v>
      </c>
      <c r="C127" s="6">
        <v>3528</v>
      </c>
    </row>
    <row r="128" spans="1:3" x14ac:dyDescent="0.35">
      <c r="A128" s="6">
        <v>80214</v>
      </c>
      <c r="B128" s="6" t="s">
        <v>3843</v>
      </c>
      <c r="C128" s="6">
        <v>2142</v>
      </c>
    </row>
    <row r="129" spans="1:3" x14ac:dyDescent="0.35">
      <c r="A129" s="6">
        <v>80215</v>
      </c>
      <c r="B129" s="6" t="s">
        <v>3809</v>
      </c>
      <c r="C129" s="6">
        <v>4875</v>
      </c>
    </row>
    <row r="130" spans="1:3" x14ac:dyDescent="0.35">
      <c r="A130" s="6">
        <v>80216</v>
      </c>
      <c r="B130" s="6" t="s">
        <v>3843</v>
      </c>
      <c r="C130" s="6">
        <v>3594</v>
      </c>
    </row>
    <row r="131" spans="1:3" x14ac:dyDescent="0.35">
      <c r="A131" s="6">
        <v>80217</v>
      </c>
      <c r="B131" s="6" t="s">
        <v>3854</v>
      </c>
      <c r="C131" s="6">
        <v>3589</v>
      </c>
    </row>
    <row r="132" spans="1:3" x14ac:dyDescent="0.35">
      <c r="A132" s="6">
        <v>80218</v>
      </c>
      <c r="B132" s="6" t="s">
        <v>3848</v>
      </c>
      <c r="C132" s="6">
        <v>3886</v>
      </c>
    </row>
    <row r="133" spans="1:3" x14ac:dyDescent="0.35">
      <c r="A133" s="6">
        <v>80220</v>
      </c>
      <c r="B133" s="6" t="s">
        <v>3835</v>
      </c>
      <c r="C133" s="6">
        <v>3646</v>
      </c>
    </row>
    <row r="134" spans="1:3" x14ac:dyDescent="0.35">
      <c r="A134" s="6">
        <v>80221</v>
      </c>
      <c r="B134" s="6" t="s">
        <v>3855</v>
      </c>
      <c r="C134" s="6">
        <v>4828</v>
      </c>
    </row>
    <row r="135" spans="1:3" x14ac:dyDescent="0.35">
      <c r="A135" s="6">
        <v>80222</v>
      </c>
      <c r="B135" s="6" t="s">
        <v>3856</v>
      </c>
      <c r="C135" s="6">
        <v>4066</v>
      </c>
    </row>
    <row r="136" spans="1:3" x14ac:dyDescent="0.35">
      <c r="A136" s="6">
        <v>80223</v>
      </c>
      <c r="B136" s="6" t="s">
        <v>3846</v>
      </c>
      <c r="C136" s="6">
        <v>4746</v>
      </c>
    </row>
    <row r="137" spans="1:3" x14ac:dyDescent="0.35">
      <c r="A137" s="6">
        <v>80224</v>
      </c>
      <c r="B137" s="6" t="s">
        <v>3857</v>
      </c>
      <c r="C137" s="6">
        <v>4546</v>
      </c>
    </row>
    <row r="138" spans="1:3" x14ac:dyDescent="0.35">
      <c r="A138" s="6">
        <v>80225</v>
      </c>
      <c r="B138" s="6" t="s">
        <v>3858</v>
      </c>
      <c r="C138" s="6">
        <v>3966</v>
      </c>
    </row>
    <row r="139" spans="1:3" x14ac:dyDescent="0.35">
      <c r="A139" s="6">
        <v>80226</v>
      </c>
      <c r="B139" s="6" t="s">
        <v>3843</v>
      </c>
      <c r="C139" s="6">
        <v>3593</v>
      </c>
    </row>
    <row r="140" spans="1:3" x14ac:dyDescent="0.35">
      <c r="A140" s="6">
        <v>80227</v>
      </c>
      <c r="B140" s="6" t="s">
        <v>3822</v>
      </c>
      <c r="C140" s="6">
        <v>2453</v>
      </c>
    </row>
    <row r="141" spans="1:3" x14ac:dyDescent="0.35">
      <c r="A141" s="6">
        <v>80229</v>
      </c>
      <c r="B141" s="6" t="s">
        <v>3852</v>
      </c>
      <c r="C141" s="6">
        <v>3321</v>
      </c>
    </row>
    <row r="142" spans="1:3" x14ac:dyDescent="0.35">
      <c r="A142" s="6">
        <v>80231</v>
      </c>
      <c r="B142" s="6" t="s">
        <v>3843</v>
      </c>
      <c r="C142" s="6">
        <v>3595</v>
      </c>
    </row>
    <row r="143" spans="1:3" x14ac:dyDescent="0.35">
      <c r="A143" s="6">
        <v>80232</v>
      </c>
      <c r="B143" s="6" t="s">
        <v>3849</v>
      </c>
      <c r="C143" s="6">
        <v>3527</v>
      </c>
    </row>
    <row r="144" spans="1:3" x14ac:dyDescent="0.35">
      <c r="A144" s="6">
        <v>80233</v>
      </c>
      <c r="B144" s="6" t="s">
        <v>3859</v>
      </c>
      <c r="C144" s="6">
        <v>3578</v>
      </c>
    </row>
    <row r="145" spans="1:3" x14ac:dyDescent="0.35">
      <c r="A145" s="6">
        <v>80234</v>
      </c>
      <c r="B145" s="6" t="s">
        <v>3809</v>
      </c>
      <c r="C145" s="6">
        <v>4874</v>
      </c>
    </row>
    <row r="146" spans="1:3" x14ac:dyDescent="0.35">
      <c r="A146" s="6">
        <v>80235</v>
      </c>
      <c r="B146" s="6" t="s">
        <v>3847</v>
      </c>
      <c r="C146" s="6">
        <v>3767</v>
      </c>
    </row>
    <row r="147" spans="1:3" x14ac:dyDescent="0.35">
      <c r="A147" s="6">
        <v>80236</v>
      </c>
      <c r="B147" s="6" t="s">
        <v>3809</v>
      </c>
      <c r="C147" s="6">
        <v>4871</v>
      </c>
    </row>
    <row r="148" spans="1:3" x14ac:dyDescent="0.35">
      <c r="A148" s="6">
        <v>80237</v>
      </c>
      <c r="B148" s="6" t="s">
        <v>3842</v>
      </c>
      <c r="C148" s="6">
        <v>4226</v>
      </c>
    </row>
    <row r="149" spans="1:3" x14ac:dyDescent="0.35">
      <c r="A149" s="6">
        <v>80238</v>
      </c>
      <c r="B149" s="6" t="s">
        <v>3838</v>
      </c>
      <c r="C149" s="6">
        <v>4506</v>
      </c>
    </row>
    <row r="150" spans="1:3" x14ac:dyDescent="0.35">
      <c r="A150" s="6">
        <v>80239</v>
      </c>
      <c r="B150" s="6" t="s">
        <v>3821</v>
      </c>
      <c r="C150" s="6">
        <v>3576</v>
      </c>
    </row>
    <row r="151" spans="1:3" x14ac:dyDescent="0.35">
      <c r="A151" s="6">
        <v>80241</v>
      </c>
      <c r="B151" s="6" t="s">
        <v>3844</v>
      </c>
      <c r="C151" s="6">
        <v>3537</v>
      </c>
    </row>
    <row r="152" spans="1:3" x14ac:dyDescent="0.35">
      <c r="A152" s="6">
        <v>80242</v>
      </c>
      <c r="B152" s="6" t="s">
        <v>3847</v>
      </c>
      <c r="C152" s="6">
        <v>4808</v>
      </c>
    </row>
    <row r="153" spans="1:3" x14ac:dyDescent="0.35">
      <c r="A153" s="6">
        <v>80243</v>
      </c>
      <c r="B153" s="6" t="s">
        <v>3831</v>
      </c>
      <c r="C153" s="6">
        <v>4026</v>
      </c>
    </row>
    <row r="154" spans="1:3" x14ac:dyDescent="0.35">
      <c r="A154" s="6">
        <v>80244</v>
      </c>
      <c r="B154" s="6" t="s">
        <v>3835</v>
      </c>
      <c r="C154" s="6">
        <v>3285</v>
      </c>
    </row>
    <row r="155" spans="1:3" x14ac:dyDescent="0.35">
      <c r="A155" s="6">
        <v>80245</v>
      </c>
      <c r="B155" s="6" t="s">
        <v>3815</v>
      </c>
      <c r="C155" s="6">
        <v>3162</v>
      </c>
    </row>
    <row r="156" spans="1:3" x14ac:dyDescent="0.35">
      <c r="A156" s="6">
        <v>80246</v>
      </c>
      <c r="B156" s="6" t="s">
        <v>3809</v>
      </c>
      <c r="C156" s="6">
        <v>4873</v>
      </c>
    </row>
    <row r="157" spans="1:3" x14ac:dyDescent="0.35">
      <c r="A157" s="6">
        <v>80247</v>
      </c>
      <c r="B157" s="6" t="s">
        <v>3860</v>
      </c>
      <c r="C157" s="6">
        <v>3526</v>
      </c>
    </row>
    <row r="158" spans="1:3" x14ac:dyDescent="0.35">
      <c r="A158" s="6">
        <v>80249</v>
      </c>
      <c r="B158" s="6" t="s">
        <v>3847</v>
      </c>
      <c r="C158" s="6">
        <v>4786</v>
      </c>
    </row>
    <row r="159" spans="1:3" x14ac:dyDescent="0.35">
      <c r="A159" s="6">
        <v>80252</v>
      </c>
      <c r="B159" s="6" t="s">
        <v>3822</v>
      </c>
      <c r="C159" s="6">
        <v>3226</v>
      </c>
    </row>
    <row r="160" spans="1:3" x14ac:dyDescent="0.35">
      <c r="A160" s="6">
        <v>80253</v>
      </c>
      <c r="B160" s="6" t="s">
        <v>3861</v>
      </c>
      <c r="C160" s="6">
        <v>3524</v>
      </c>
    </row>
    <row r="161" spans="1:3" x14ac:dyDescent="0.35">
      <c r="A161" s="6">
        <v>80254</v>
      </c>
      <c r="B161" s="6" t="s">
        <v>3862</v>
      </c>
      <c r="C161" s="6">
        <v>3300</v>
      </c>
    </row>
    <row r="162" spans="1:3" x14ac:dyDescent="0.35">
      <c r="A162" s="6">
        <v>80256</v>
      </c>
      <c r="B162" s="6" t="s">
        <v>3863</v>
      </c>
      <c r="C162" s="6">
        <v>4446</v>
      </c>
    </row>
    <row r="163" spans="1:3" x14ac:dyDescent="0.35">
      <c r="A163" s="6">
        <v>80257</v>
      </c>
      <c r="B163" s="6" t="s">
        <v>3864</v>
      </c>
      <c r="C163" s="6">
        <v>3295</v>
      </c>
    </row>
    <row r="164" spans="1:3" x14ac:dyDescent="0.35">
      <c r="A164" s="6">
        <v>80258</v>
      </c>
      <c r="B164" s="6" t="s">
        <v>3822</v>
      </c>
      <c r="C164" s="6">
        <v>4666</v>
      </c>
    </row>
    <row r="165" spans="1:3" x14ac:dyDescent="0.35">
      <c r="A165" s="6">
        <v>80262</v>
      </c>
      <c r="B165" s="6" t="s">
        <v>3843</v>
      </c>
      <c r="C165" s="6">
        <v>3592</v>
      </c>
    </row>
    <row r="166" spans="1:3" x14ac:dyDescent="0.35">
      <c r="A166" s="6">
        <v>80263</v>
      </c>
      <c r="B166" s="6" t="s">
        <v>3850</v>
      </c>
      <c r="C166" s="6">
        <v>3544</v>
      </c>
    </row>
    <row r="167" spans="1:3" x14ac:dyDescent="0.35">
      <c r="A167" s="6">
        <v>80264</v>
      </c>
      <c r="B167" s="6" t="s">
        <v>3865</v>
      </c>
      <c r="C167" s="6">
        <v>3587</v>
      </c>
    </row>
    <row r="168" spans="1:3" x14ac:dyDescent="0.35">
      <c r="A168" s="6">
        <v>80265</v>
      </c>
      <c r="B168" s="6" t="s">
        <v>3809</v>
      </c>
      <c r="C168" s="6">
        <v>4872</v>
      </c>
    </row>
    <row r="169" spans="1:3" x14ac:dyDescent="0.35">
      <c r="A169" s="6">
        <v>80266</v>
      </c>
      <c r="B169" s="6" t="s">
        <v>3853</v>
      </c>
      <c r="C169" s="6">
        <v>3523</v>
      </c>
    </row>
    <row r="170" spans="1:3" x14ac:dyDescent="0.35">
      <c r="A170" s="6">
        <v>80267</v>
      </c>
      <c r="B170" s="6" t="s">
        <v>3858</v>
      </c>
      <c r="C170" s="6">
        <v>3968</v>
      </c>
    </row>
    <row r="171" spans="1:3" x14ac:dyDescent="0.35">
      <c r="A171" s="6">
        <v>80268</v>
      </c>
      <c r="B171" s="6" t="s">
        <v>3841</v>
      </c>
      <c r="C171" s="6">
        <v>4186</v>
      </c>
    </row>
    <row r="172" spans="1:3" x14ac:dyDescent="0.35">
      <c r="A172" s="6">
        <v>80270</v>
      </c>
      <c r="B172" s="6" t="s">
        <v>3843</v>
      </c>
      <c r="C172" s="6">
        <v>3243</v>
      </c>
    </row>
    <row r="173" spans="1:3" x14ac:dyDescent="0.35">
      <c r="A173" s="6">
        <v>80271</v>
      </c>
      <c r="B173" s="6" t="s">
        <v>3843</v>
      </c>
      <c r="C173" s="6">
        <v>3591</v>
      </c>
    </row>
    <row r="174" spans="1:3" x14ac:dyDescent="0.35">
      <c r="A174" s="6">
        <v>80273</v>
      </c>
      <c r="B174" s="6" t="s">
        <v>3860</v>
      </c>
      <c r="C174" s="6">
        <v>3522</v>
      </c>
    </row>
    <row r="175" spans="1:3" x14ac:dyDescent="0.35">
      <c r="A175" s="6">
        <v>80274</v>
      </c>
      <c r="B175" s="6" t="s">
        <v>3866</v>
      </c>
      <c r="C175" s="6">
        <v>1889</v>
      </c>
    </row>
    <row r="176" spans="1:3" x14ac:dyDescent="0.35">
      <c r="A176" s="6">
        <v>80276</v>
      </c>
      <c r="B176" s="6" t="s">
        <v>3822</v>
      </c>
      <c r="C176" s="6">
        <v>3584</v>
      </c>
    </row>
    <row r="177" spans="1:3" x14ac:dyDescent="0.35">
      <c r="A177" s="6">
        <v>80277</v>
      </c>
      <c r="B177" s="6" t="s">
        <v>3807</v>
      </c>
      <c r="C177" s="6">
        <v>3532</v>
      </c>
    </row>
    <row r="178" spans="1:3" x14ac:dyDescent="0.35">
      <c r="A178" s="6">
        <v>80278</v>
      </c>
      <c r="B178" s="6" t="s">
        <v>3807</v>
      </c>
      <c r="C178" s="6">
        <v>3536</v>
      </c>
    </row>
    <row r="179" spans="1:3" x14ac:dyDescent="0.35">
      <c r="A179" s="6">
        <v>80279</v>
      </c>
      <c r="B179" s="6" t="s">
        <v>3807</v>
      </c>
      <c r="C179" s="6">
        <v>3686</v>
      </c>
    </row>
    <row r="180" spans="1:3" x14ac:dyDescent="0.35">
      <c r="A180" s="6">
        <v>80283</v>
      </c>
      <c r="B180" s="6" t="s">
        <v>3867</v>
      </c>
      <c r="C180" s="6">
        <v>3906</v>
      </c>
    </row>
    <row r="181" spans="1:3" x14ac:dyDescent="0.35">
      <c r="A181" s="6">
        <v>80284</v>
      </c>
      <c r="B181" s="6" t="s">
        <v>3867</v>
      </c>
      <c r="C181" s="6">
        <v>3907</v>
      </c>
    </row>
    <row r="182" spans="1:3" x14ac:dyDescent="0.35">
      <c r="A182" s="6">
        <v>80285</v>
      </c>
      <c r="B182" s="6" t="s">
        <v>3867</v>
      </c>
      <c r="C182" s="6">
        <v>3948</v>
      </c>
    </row>
    <row r="183" spans="1:3" x14ac:dyDescent="0.35">
      <c r="A183" s="6">
        <v>80286</v>
      </c>
      <c r="B183" s="6" t="s">
        <v>3867</v>
      </c>
      <c r="C183" s="6">
        <v>3949</v>
      </c>
    </row>
    <row r="184" spans="1:3" x14ac:dyDescent="0.35">
      <c r="A184" s="6">
        <v>80290</v>
      </c>
      <c r="B184" s="6" t="s">
        <v>3867</v>
      </c>
      <c r="C184" s="6">
        <v>3926</v>
      </c>
    </row>
    <row r="185" spans="1:3" x14ac:dyDescent="0.35">
      <c r="A185" s="6">
        <v>80291</v>
      </c>
      <c r="B185" s="6" t="s">
        <v>3867</v>
      </c>
      <c r="C185" s="6">
        <v>3946</v>
      </c>
    </row>
    <row r="186" spans="1:3" x14ac:dyDescent="0.35">
      <c r="A186" s="6">
        <v>80292</v>
      </c>
      <c r="B186" s="6" t="s">
        <v>3867</v>
      </c>
      <c r="C186" s="6">
        <v>3947</v>
      </c>
    </row>
    <row r="187" spans="1:3" x14ac:dyDescent="0.35">
      <c r="A187" s="6">
        <v>80304</v>
      </c>
      <c r="B187" s="6" t="s">
        <v>3809</v>
      </c>
      <c r="C187" s="6">
        <v>4896</v>
      </c>
    </row>
    <row r="188" spans="1:3" x14ac:dyDescent="0.35">
      <c r="A188" s="6">
        <v>80305</v>
      </c>
      <c r="B188" s="6" t="s">
        <v>3855</v>
      </c>
      <c r="C188" s="6">
        <v>4976</v>
      </c>
    </row>
    <row r="189" spans="1:3" x14ac:dyDescent="0.35">
      <c r="A189" s="6">
        <v>80308</v>
      </c>
      <c r="B189" s="6" t="s">
        <v>3824</v>
      </c>
      <c r="C189" s="6">
        <v>5096</v>
      </c>
    </row>
    <row r="190" spans="1:3" x14ac:dyDescent="0.35">
      <c r="A190" s="6">
        <v>80309</v>
      </c>
      <c r="B190" s="6" t="s">
        <v>3822</v>
      </c>
      <c r="C190" s="6">
        <v>5117</v>
      </c>
    </row>
    <row r="191" spans="1:3" x14ac:dyDescent="0.35">
      <c r="A191" s="6">
        <v>80310</v>
      </c>
      <c r="B191" s="6" t="s">
        <v>3822</v>
      </c>
      <c r="C191" s="6">
        <v>5118</v>
      </c>
    </row>
    <row r="192" spans="1:3" x14ac:dyDescent="0.35">
      <c r="A192" s="6">
        <v>80311</v>
      </c>
      <c r="B192" s="6" t="s">
        <v>3822</v>
      </c>
      <c r="C192" s="6">
        <v>5116</v>
      </c>
    </row>
    <row r="193" spans="1:3" x14ac:dyDescent="0.35">
      <c r="A193" s="6">
        <v>80340</v>
      </c>
      <c r="B193" s="6" t="s">
        <v>3868</v>
      </c>
      <c r="C193" s="6">
        <v>8301</v>
      </c>
    </row>
    <row r="194" spans="1:3" x14ac:dyDescent="0.35">
      <c r="A194" s="6">
        <v>80342</v>
      </c>
      <c r="B194" s="6" t="s">
        <v>3840</v>
      </c>
      <c r="C194" s="6">
        <v>8481</v>
      </c>
    </row>
    <row r="195" spans="1:3" x14ac:dyDescent="0.35">
      <c r="A195" s="6">
        <v>80344</v>
      </c>
      <c r="B195" s="6" t="s">
        <v>3828</v>
      </c>
      <c r="C195" s="6">
        <v>9033</v>
      </c>
    </row>
    <row r="196" spans="1:3" x14ac:dyDescent="0.35">
      <c r="A196" s="6">
        <v>80345</v>
      </c>
      <c r="B196" s="6" t="s">
        <v>3869</v>
      </c>
      <c r="C196" s="6">
        <v>9038</v>
      </c>
    </row>
    <row r="197" spans="1:3" x14ac:dyDescent="0.35">
      <c r="A197" s="6">
        <v>80347</v>
      </c>
      <c r="B197" s="6" t="s">
        <v>3864</v>
      </c>
      <c r="C197" s="6">
        <v>9040</v>
      </c>
    </row>
    <row r="198" spans="1:3" x14ac:dyDescent="0.35">
      <c r="A198" s="6">
        <v>80348</v>
      </c>
      <c r="B198" s="6" t="s">
        <v>3823</v>
      </c>
      <c r="C198" s="6">
        <v>9047</v>
      </c>
    </row>
    <row r="199" spans="1:3" x14ac:dyDescent="0.35">
      <c r="A199" s="6">
        <v>80349</v>
      </c>
      <c r="B199" s="6" t="s">
        <v>3807</v>
      </c>
      <c r="C199" s="6">
        <v>9060</v>
      </c>
    </row>
    <row r="200" spans="1:3" x14ac:dyDescent="0.35">
      <c r="A200" s="6">
        <v>80355</v>
      </c>
      <c r="B200" s="6" t="s">
        <v>3830</v>
      </c>
      <c r="C200" s="6">
        <v>9093</v>
      </c>
    </row>
    <row r="201" spans="1:3" x14ac:dyDescent="0.35">
      <c r="A201" s="6">
        <v>80356</v>
      </c>
      <c r="B201" s="6" t="s">
        <v>3843</v>
      </c>
      <c r="C201" s="6">
        <v>9058</v>
      </c>
    </row>
    <row r="202" spans="1:3" x14ac:dyDescent="0.35">
      <c r="A202" s="6">
        <v>80358</v>
      </c>
      <c r="B202" s="6" t="s">
        <v>3870</v>
      </c>
      <c r="C202" s="6">
        <v>8721</v>
      </c>
    </row>
    <row r="203" spans="1:3" x14ac:dyDescent="0.35">
      <c r="A203" s="6">
        <v>80359</v>
      </c>
      <c r="B203" s="6" t="s">
        <v>3870</v>
      </c>
      <c r="C203" s="6">
        <v>8722</v>
      </c>
    </row>
    <row r="204" spans="1:3" x14ac:dyDescent="0.35">
      <c r="A204" s="6">
        <v>80393</v>
      </c>
      <c r="B204" s="6" t="s">
        <v>3871</v>
      </c>
      <c r="C204" s="6">
        <v>9269</v>
      </c>
    </row>
    <row r="205" spans="1:3" x14ac:dyDescent="0.35">
      <c r="A205" s="6">
        <v>80394</v>
      </c>
      <c r="B205" s="6" t="s">
        <v>3871</v>
      </c>
      <c r="C205" s="6">
        <v>9289</v>
      </c>
    </row>
    <row r="206" spans="1:3" x14ac:dyDescent="0.35">
      <c r="A206" s="6">
        <v>80401</v>
      </c>
      <c r="B206" s="6" t="s">
        <v>3872</v>
      </c>
      <c r="C206" s="6">
        <v>8062</v>
      </c>
    </row>
    <row r="207" spans="1:3" x14ac:dyDescent="0.35">
      <c r="A207" s="6">
        <v>80402</v>
      </c>
      <c r="B207" s="6" t="s">
        <v>3839</v>
      </c>
      <c r="C207" s="6">
        <v>8061</v>
      </c>
    </row>
    <row r="208" spans="1:3" x14ac:dyDescent="0.35">
      <c r="A208" s="6">
        <v>80403</v>
      </c>
      <c r="B208" s="6" t="s">
        <v>3832</v>
      </c>
      <c r="C208" s="6">
        <v>8060</v>
      </c>
    </row>
    <row r="209" spans="1:3" x14ac:dyDescent="0.35">
      <c r="A209" s="6">
        <v>80404</v>
      </c>
      <c r="B209" s="6" t="s">
        <v>3832</v>
      </c>
      <c r="C209" s="6">
        <v>8059</v>
      </c>
    </row>
    <row r="210" spans="1:3" x14ac:dyDescent="0.35">
      <c r="A210" s="6">
        <v>80405</v>
      </c>
      <c r="B210" s="6" t="s">
        <v>3832</v>
      </c>
      <c r="C210" s="6">
        <v>8058</v>
      </c>
    </row>
    <row r="211" spans="1:3" x14ac:dyDescent="0.35">
      <c r="A211" s="6">
        <v>80406</v>
      </c>
      <c r="B211" s="6" t="s">
        <v>3832</v>
      </c>
      <c r="C211" s="6">
        <v>8057</v>
      </c>
    </row>
    <row r="212" spans="1:3" x14ac:dyDescent="0.35">
      <c r="A212" s="6">
        <v>80407</v>
      </c>
      <c r="B212" s="6" t="s">
        <v>3832</v>
      </c>
      <c r="C212" s="6">
        <v>8056</v>
      </c>
    </row>
    <row r="213" spans="1:3" x14ac:dyDescent="0.35">
      <c r="A213" s="6">
        <v>80408</v>
      </c>
      <c r="B213" s="6" t="s">
        <v>3832</v>
      </c>
      <c r="C213" s="6">
        <v>8055</v>
      </c>
    </row>
    <row r="214" spans="1:3" x14ac:dyDescent="0.35">
      <c r="A214" s="6">
        <v>80409</v>
      </c>
      <c r="B214" s="6" t="s">
        <v>3873</v>
      </c>
      <c r="C214" s="6">
        <v>8054</v>
      </c>
    </row>
    <row r="215" spans="1:3" x14ac:dyDescent="0.35">
      <c r="A215" s="6">
        <v>80410</v>
      </c>
      <c r="B215" s="6" t="s">
        <v>3874</v>
      </c>
      <c r="C215" s="6">
        <v>8053</v>
      </c>
    </row>
    <row r="216" spans="1:3" x14ac:dyDescent="0.35">
      <c r="A216" s="6">
        <v>80411</v>
      </c>
      <c r="B216" s="6" t="s">
        <v>3846</v>
      </c>
      <c r="C216" s="6">
        <v>8050</v>
      </c>
    </row>
    <row r="217" spans="1:3" x14ac:dyDescent="0.35">
      <c r="A217" s="6">
        <v>80412</v>
      </c>
      <c r="B217" s="6" t="s">
        <v>3875</v>
      </c>
      <c r="C217" s="6">
        <v>8049</v>
      </c>
    </row>
    <row r="218" spans="1:3" x14ac:dyDescent="0.35">
      <c r="A218" s="6">
        <v>80413</v>
      </c>
      <c r="B218" s="6" t="s">
        <v>3875</v>
      </c>
      <c r="C218" s="6">
        <v>8048</v>
      </c>
    </row>
    <row r="219" spans="1:3" x14ac:dyDescent="0.35">
      <c r="A219" s="6">
        <v>80414</v>
      </c>
      <c r="B219" s="6" t="s">
        <v>3875</v>
      </c>
      <c r="C219" s="6">
        <v>8047</v>
      </c>
    </row>
    <row r="220" spans="1:3" x14ac:dyDescent="0.35">
      <c r="A220" s="6">
        <v>80415</v>
      </c>
      <c r="B220" s="6" t="s">
        <v>3875</v>
      </c>
      <c r="C220" s="6">
        <v>8046</v>
      </c>
    </row>
    <row r="221" spans="1:3" x14ac:dyDescent="0.35">
      <c r="A221" s="6">
        <v>80416</v>
      </c>
      <c r="B221" s="6" t="s">
        <v>3875</v>
      </c>
      <c r="C221" s="6">
        <v>8045</v>
      </c>
    </row>
    <row r="222" spans="1:3" x14ac:dyDescent="0.35">
      <c r="A222" s="6">
        <v>80417</v>
      </c>
      <c r="B222" s="6" t="s">
        <v>3817</v>
      </c>
      <c r="C222" s="6">
        <v>8044</v>
      </c>
    </row>
    <row r="223" spans="1:3" x14ac:dyDescent="0.35">
      <c r="A223" s="6">
        <v>80418</v>
      </c>
      <c r="B223" s="6" t="s">
        <v>3817</v>
      </c>
      <c r="C223" s="6">
        <v>8043</v>
      </c>
    </row>
    <row r="224" spans="1:3" x14ac:dyDescent="0.35">
      <c r="A224" s="6">
        <v>80419</v>
      </c>
      <c r="B224" s="6" t="s">
        <v>3845</v>
      </c>
      <c r="C224" s="6">
        <v>8042</v>
      </c>
    </row>
    <row r="225" spans="1:3" x14ac:dyDescent="0.35">
      <c r="A225" s="6">
        <v>80420</v>
      </c>
      <c r="B225" s="6" t="s">
        <v>3845</v>
      </c>
      <c r="C225" s="6">
        <v>8041</v>
      </c>
    </row>
    <row r="226" spans="1:3" x14ac:dyDescent="0.35">
      <c r="A226" s="6">
        <v>80421</v>
      </c>
      <c r="B226" s="6" t="s">
        <v>3876</v>
      </c>
      <c r="C226" s="6">
        <v>8082</v>
      </c>
    </row>
    <row r="227" spans="1:3" x14ac:dyDescent="0.35">
      <c r="A227" s="6">
        <v>80422</v>
      </c>
      <c r="B227" s="6" t="s">
        <v>3816</v>
      </c>
      <c r="C227" s="6">
        <v>8081</v>
      </c>
    </row>
    <row r="228" spans="1:3" x14ac:dyDescent="0.35">
      <c r="A228" s="6">
        <v>80423</v>
      </c>
      <c r="B228" s="6" t="s">
        <v>3836</v>
      </c>
      <c r="C228" s="6">
        <v>8080</v>
      </c>
    </row>
    <row r="229" spans="1:3" x14ac:dyDescent="0.35">
      <c r="A229" s="6">
        <v>80424</v>
      </c>
      <c r="B229" s="6" t="s">
        <v>3836</v>
      </c>
      <c r="C229" s="6">
        <v>8079</v>
      </c>
    </row>
    <row r="230" spans="1:3" x14ac:dyDescent="0.35">
      <c r="A230" s="6">
        <v>80425</v>
      </c>
      <c r="B230" s="6" t="s">
        <v>3829</v>
      </c>
      <c r="C230" s="6">
        <v>8078</v>
      </c>
    </row>
    <row r="231" spans="1:3" x14ac:dyDescent="0.35">
      <c r="A231" s="6">
        <v>80426</v>
      </c>
      <c r="B231" s="6" t="s">
        <v>3829</v>
      </c>
      <c r="C231" s="6">
        <v>8077</v>
      </c>
    </row>
    <row r="232" spans="1:3" x14ac:dyDescent="0.35">
      <c r="A232" s="6">
        <v>80427</v>
      </c>
      <c r="B232" s="6" t="s">
        <v>3829</v>
      </c>
      <c r="C232" s="6">
        <v>8076</v>
      </c>
    </row>
    <row r="233" spans="1:3" x14ac:dyDescent="0.35">
      <c r="A233" s="6">
        <v>80428</v>
      </c>
      <c r="B233" s="6" t="s">
        <v>3830</v>
      </c>
      <c r="C233" s="6">
        <v>8075</v>
      </c>
    </row>
    <row r="234" spans="1:3" x14ac:dyDescent="0.35">
      <c r="A234" s="6">
        <v>80429</v>
      </c>
      <c r="B234" s="6" t="s">
        <v>3830</v>
      </c>
      <c r="C234" s="6">
        <v>8074</v>
      </c>
    </row>
    <row r="235" spans="1:3" x14ac:dyDescent="0.35">
      <c r="A235" s="6">
        <v>80430</v>
      </c>
      <c r="B235" s="6" t="s">
        <v>3830</v>
      </c>
      <c r="C235" s="6">
        <v>8073</v>
      </c>
    </row>
    <row r="236" spans="1:3" x14ac:dyDescent="0.35">
      <c r="A236" s="6">
        <v>80431</v>
      </c>
      <c r="B236" s="6" t="s">
        <v>3830</v>
      </c>
      <c r="C236" s="6">
        <v>8072</v>
      </c>
    </row>
    <row r="237" spans="1:3" x14ac:dyDescent="0.35">
      <c r="A237" s="6">
        <v>80432</v>
      </c>
      <c r="B237" s="6" t="s">
        <v>3830</v>
      </c>
      <c r="C237" s="6">
        <v>8071</v>
      </c>
    </row>
    <row r="238" spans="1:3" x14ac:dyDescent="0.35">
      <c r="A238" s="6">
        <v>80433</v>
      </c>
      <c r="B238" s="6" t="s">
        <v>3830</v>
      </c>
      <c r="C238" s="6">
        <v>8070</v>
      </c>
    </row>
    <row r="239" spans="1:3" x14ac:dyDescent="0.35">
      <c r="A239" s="6">
        <v>80434</v>
      </c>
      <c r="B239" s="6" t="s">
        <v>3877</v>
      </c>
      <c r="C239" s="6">
        <v>8069</v>
      </c>
    </row>
    <row r="240" spans="1:3" x14ac:dyDescent="0.35">
      <c r="A240" s="6">
        <v>80435</v>
      </c>
      <c r="B240" s="6" t="s">
        <v>3878</v>
      </c>
      <c r="C240" s="6">
        <v>8068</v>
      </c>
    </row>
    <row r="241" spans="1:3" x14ac:dyDescent="0.35">
      <c r="A241" s="6">
        <v>80436</v>
      </c>
      <c r="B241" s="6" t="s">
        <v>3878</v>
      </c>
      <c r="C241" s="6">
        <v>8067</v>
      </c>
    </row>
    <row r="242" spans="1:3" x14ac:dyDescent="0.35">
      <c r="A242" s="6">
        <v>80437</v>
      </c>
      <c r="B242" s="6" t="s">
        <v>3878</v>
      </c>
      <c r="C242" s="6">
        <v>8066</v>
      </c>
    </row>
    <row r="243" spans="1:3" x14ac:dyDescent="0.35">
      <c r="A243" s="6">
        <v>80438</v>
      </c>
      <c r="B243" s="6" t="s">
        <v>3878</v>
      </c>
      <c r="C243" s="6">
        <v>8065</v>
      </c>
    </row>
    <row r="244" spans="1:3" x14ac:dyDescent="0.35">
      <c r="A244" s="6">
        <v>80439</v>
      </c>
      <c r="B244" s="6" t="s">
        <v>3879</v>
      </c>
      <c r="C244" s="6">
        <v>8064</v>
      </c>
    </row>
    <row r="245" spans="1:3" x14ac:dyDescent="0.35">
      <c r="A245" s="6">
        <v>80440</v>
      </c>
      <c r="B245" s="6" t="s">
        <v>3879</v>
      </c>
      <c r="C245" s="6">
        <v>8063</v>
      </c>
    </row>
    <row r="246" spans="1:3" x14ac:dyDescent="0.35">
      <c r="A246" s="6">
        <v>80441</v>
      </c>
      <c r="B246" s="6" t="s">
        <v>3831</v>
      </c>
      <c r="C246" s="6">
        <v>8020</v>
      </c>
    </row>
    <row r="247" spans="1:3" x14ac:dyDescent="0.35">
      <c r="A247" s="6">
        <v>80442</v>
      </c>
      <c r="B247" s="6" t="s">
        <v>3880</v>
      </c>
      <c r="C247" s="6">
        <v>8019</v>
      </c>
    </row>
    <row r="248" spans="1:3" x14ac:dyDescent="0.35">
      <c r="A248" s="6">
        <v>80443</v>
      </c>
      <c r="B248" s="6" t="s">
        <v>3881</v>
      </c>
      <c r="C248" s="6">
        <v>8018</v>
      </c>
    </row>
    <row r="249" spans="1:3" x14ac:dyDescent="0.35">
      <c r="A249" s="6">
        <v>80444</v>
      </c>
      <c r="B249" s="6" t="s">
        <v>3882</v>
      </c>
      <c r="C249" s="6">
        <v>8017</v>
      </c>
    </row>
    <row r="250" spans="1:3" x14ac:dyDescent="0.35">
      <c r="A250" s="6">
        <v>80445</v>
      </c>
      <c r="B250" s="6" t="s">
        <v>3840</v>
      </c>
      <c r="C250" s="6">
        <v>8016</v>
      </c>
    </row>
    <row r="251" spans="1:3" x14ac:dyDescent="0.35">
      <c r="A251" s="6">
        <v>80446</v>
      </c>
      <c r="B251" s="6" t="s">
        <v>3840</v>
      </c>
      <c r="C251" s="6">
        <v>8015</v>
      </c>
    </row>
    <row r="252" spans="1:3" x14ac:dyDescent="0.35">
      <c r="A252" s="6">
        <v>80447</v>
      </c>
      <c r="B252" s="6" t="s">
        <v>3840</v>
      </c>
      <c r="C252" s="6">
        <v>8014</v>
      </c>
    </row>
    <row r="253" spans="1:3" x14ac:dyDescent="0.35">
      <c r="A253" s="6">
        <v>80448</v>
      </c>
      <c r="B253" s="6" t="s">
        <v>3883</v>
      </c>
      <c r="C253" s="6">
        <v>8013</v>
      </c>
    </row>
    <row r="254" spans="1:3" x14ac:dyDescent="0.35">
      <c r="A254" s="6">
        <v>80449</v>
      </c>
      <c r="B254" s="6" t="s">
        <v>3884</v>
      </c>
      <c r="C254" s="6">
        <v>8012</v>
      </c>
    </row>
    <row r="255" spans="1:3" x14ac:dyDescent="0.35">
      <c r="A255" s="6">
        <v>80450</v>
      </c>
      <c r="B255" s="6" t="s">
        <v>3885</v>
      </c>
      <c r="C255" s="6">
        <v>8011</v>
      </c>
    </row>
    <row r="256" spans="1:3" x14ac:dyDescent="0.35">
      <c r="A256" s="6">
        <v>80451</v>
      </c>
      <c r="B256" s="6" t="s">
        <v>3842</v>
      </c>
      <c r="C256" s="6">
        <v>8010</v>
      </c>
    </row>
    <row r="257" spans="1:3" x14ac:dyDescent="0.35">
      <c r="A257" s="6">
        <v>80452</v>
      </c>
      <c r="B257" s="6" t="s">
        <v>3842</v>
      </c>
      <c r="C257" s="6">
        <v>8009</v>
      </c>
    </row>
    <row r="258" spans="1:3" x14ac:dyDescent="0.35">
      <c r="A258" s="6">
        <v>80453</v>
      </c>
      <c r="B258" s="6" t="s">
        <v>3886</v>
      </c>
      <c r="C258" s="6">
        <v>8008</v>
      </c>
    </row>
    <row r="259" spans="1:3" x14ac:dyDescent="0.35">
      <c r="A259" s="6">
        <v>80454</v>
      </c>
      <c r="B259" s="6" t="s">
        <v>3886</v>
      </c>
      <c r="C259" s="6">
        <v>8007</v>
      </c>
    </row>
    <row r="260" spans="1:3" x14ac:dyDescent="0.35">
      <c r="A260" s="6">
        <v>80455</v>
      </c>
      <c r="B260" s="6" t="s">
        <v>3887</v>
      </c>
      <c r="C260" s="6">
        <v>8005</v>
      </c>
    </row>
    <row r="261" spans="1:3" x14ac:dyDescent="0.35">
      <c r="A261" s="6">
        <v>80456</v>
      </c>
      <c r="B261" s="6" t="s">
        <v>3888</v>
      </c>
      <c r="C261" s="6">
        <v>8004</v>
      </c>
    </row>
    <row r="262" spans="1:3" x14ac:dyDescent="0.35">
      <c r="A262" s="6">
        <v>80457</v>
      </c>
      <c r="B262" s="6" t="s">
        <v>3888</v>
      </c>
      <c r="C262" s="6">
        <v>8003</v>
      </c>
    </row>
    <row r="263" spans="1:3" x14ac:dyDescent="0.35">
      <c r="A263" s="6">
        <v>80458</v>
      </c>
      <c r="B263" s="6" t="s">
        <v>3888</v>
      </c>
      <c r="C263" s="6">
        <v>8002</v>
      </c>
    </row>
    <row r="264" spans="1:3" x14ac:dyDescent="0.35">
      <c r="A264" s="6">
        <v>80459</v>
      </c>
      <c r="B264" s="6" t="s">
        <v>3888</v>
      </c>
      <c r="C264" s="6">
        <v>8001</v>
      </c>
    </row>
    <row r="265" spans="1:3" x14ac:dyDescent="0.35">
      <c r="A265" s="6">
        <v>80460</v>
      </c>
      <c r="B265" s="6" t="s">
        <v>3888</v>
      </c>
      <c r="C265" s="6">
        <v>8000</v>
      </c>
    </row>
    <row r="266" spans="1:3" x14ac:dyDescent="0.35">
      <c r="A266" s="6">
        <v>80461</v>
      </c>
      <c r="B266" s="6" t="s">
        <v>3818</v>
      </c>
      <c r="C266" s="6">
        <v>8040</v>
      </c>
    </row>
    <row r="267" spans="1:3" x14ac:dyDescent="0.35">
      <c r="A267" s="6">
        <v>80462</v>
      </c>
      <c r="B267" s="6" t="s">
        <v>3818</v>
      </c>
      <c r="C267" s="6">
        <v>8039</v>
      </c>
    </row>
    <row r="268" spans="1:3" x14ac:dyDescent="0.35">
      <c r="A268" s="6">
        <v>80463</v>
      </c>
      <c r="B268" s="6" t="s">
        <v>3889</v>
      </c>
      <c r="C268" s="6">
        <v>8038</v>
      </c>
    </row>
    <row r="269" spans="1:3" x14ac:dyDescent="0.35">
      <c r="A269" s="6">
        <v>80464</v>
      </c>
      <c r="B269" s="6" t="s">
        <v>3844</v>
      </c>
      <c r="C269" s="6">
        <v>8037</v>
      </c>
    </row>
    <row r="270" spans="1:3" x14ac:dyDescent="0.35">
      <c r="A270" s="6">
        <v>80465</v>
      </c>
      <c r="B270" s="6" t="s">
        <v>3844</v>
      </c>
      <c r="C270" s="6">
        <v>8036</v>
      </c>
    </row>
    <row r="271" spans="1:3" x14ac:dyDescent="0.35">
      <c r="A271" s="6">
        <v>80466</v>
      </c>
      <c r="B271" s="6" t="s">
        <v>3890</v>
      </c>
      <c r="C271" s="6">
        <v>8035</v>
      </c>
    </row>
    <row r="272" spans="1:3" x14ac:dyDescent="0.35">
      <c r="A272" s="6">
        <v>80467</v>
      </c>
      <c r="B272" s="6" t="s">
        <v>3891</v>
      </c>
      <c r="C272" s="6">
        <v>8034</v>
      </c>
    </row>
    <row r="273" spans="1:3" x14ac:dyDescent="0.35">
      <c r="A273" s="6">
        <v>80468</v>
      </c>
      <c r="B273" s="6" t="s">
        <v>3892</v>
      </c>
      <c r="C273" s="6">
        <v>8033</v>
      </c>
    </row>
    <row r="274" spans="1:3" x14ac:dyDescent="0.35">
      <c r="A274" s="6">
        <v>80469</v>
      </c>
      <c r="B274" s="6" t="s">
        <v>3893</v>
      </c>
      <c r="C274" s="6">
        <v>8032</v>
      </c>
    </row>
    <row r="275" spans="1:3" x14ac:dyDescent="0.35">
      <c r="A275" s="6">
        <v>80470</v>
      </c>
      <c r="B275" s="6" t="s">
        <v>3894</v>
      </c>
      <c r="C275" s="6">
        <v>8031</v>
      </c>
    </row>
    <row r="276" spans="1:3" x14ac:dyDescent="0.35">
      <c r="A276" s="6">
        <v>80471</v>
      </c>
      <c r="B276" s="6" t="s">
        <v>3895</v>
      </c>
      <c r="C276" s="6">
        <v>8030</v>
      </c>
    </row>
    <row r="277" spans="1:3" x14ac:dyDescent="0.35">
      <c r="A277" s="6">
        <v>80472</v>
      </c>
      <c r="B277" s="6" t="s">
        <v>3812</v>
      </c>
      <c r="C277" s="6">
        <v>8029</v>
      </c>
    </row>
    <row r="278" spans="1:3" x14ac:dyDescent="0.35">
      <c r="A278" s="6">
        <v>80473</v>
      </c>
      <c r="B278" s="6" t="s">
        <v>3812</v>
      </c>
      <c r="C278" s="6">
        <v>8028</v>
      </c>
    </row>
    <row r="279" spans="1:3" x14ac:dyDescent="0.35">
      <c r="A279" s="6">
        <v>80474</v>
      </c>
      <c r="B279" s="6" t="s">
        <v>3812</v>
      </c>
      <c r="C279" s="6">
        <v>8027</v>
      </c>
    </row>
    <row r="280" spans="1:3" x14ac:dyDescent="0.35">
      <c r="A280" s="6">
        <v>80475</v>
      </c>
      <c r="B280" s="6" t="s">
        <v>3896</v>
      </c>
      <c r="C280" s="6">
        <v>8026</v>
      </c>
    </row>
    <row r="281" spans="1:3" x14ac:dyDescent="0.35">
      <c r="A281" s="6">
        <v>80476</v>
      </c>
      <c r="B281" s="6" t="s">
        <v>3897</v>
      </c>
      <c r="C281" s="6">
        <v>8025</v>
      </c>
    </row>
    <row r="282" spans="1:3" x14ac:dyDescent="0.35">
      <c r="A282" s="6">
        <v>80477</v>
      </c>
      <c r="B282" s="6" t="s">
        <v>3898</v>
      </c>
      <c r="C282" s="6">
        <v>8024</v>
      </c>
    </row>
    <row r="283" spans="1:3" x14ac:dyDescent="0.35">
      <c r="A283" s="6">
        <v>80478</v>
      </c>
      <c r="B283" s="6" t="s">
        <v>3898</v>
      </c>
      <c r="C283" s="6">
        <v>8023</v>
      </c>
    </row>
    <row r="284" spans="1:3" x14ac:dyDescent="0.35">
      <c r="A284" s="6">
        <v>80479</v>
      </c>
      <c r="B284" s="6" t="s">
        <v>3898</v>
      </c>
      <c r="C284" s="6">
        <v>8022</v>
      </c>
    </row>
    <row r="285" spans="1:3" x14ac:dyDescent="0.35">
      <c r="A285" s="6">
        <v>80480</v>
      </c>
      <c r="B285" s="6" t="s">
        <v>3831</v>
      </c>
      <c r="C285" s="6">
        <v>8021</v>
      </c>
    </row>
    <row r="286" spans="1:3" x14ac:dyDescent="0.35">
      <c r="A286" s="6">
        <v>80481</v>
      </c>
      <c r="B286" s="6" t="s">
        <v>3809</v>
      </c>
      <c r="C286" s="6">
        <v>8120</v>
      </c>
    </row>
    <row r="287" spans="1:3" x14ac:dyDescent="0.35">
      <c r="A287" s="6">
        <v>80482</v>
      </c>
      <c r="B287" s="6" t="s">
        <v>3847</v>
      </c>
      <c r="C287" s="6">
        <v>8321</v>
      </c>
    </row>
    <row r="288" spans="1:3" x14ac:dyDescent="0.35">
      <c r="A288" s="6">
        <v>80483</v>
      </c>
      <c r="B288" s="6" t="s">
        <v>3821</v>
      </c>
      <c r="C288" s="6">
        <v>8761</v>
      </c>
    </row>
    <row r="289" spans="1:3" x14ac:dyDescent="0.35">
      <c r="A289" s="6">
        <v>80491</v>
      </c>
      <c r="B289" s="6" t="s">
        <v>3840</v>
      </c>
      <c r="C289" s="6" t="s">
        <v>3651</v>
      </c>
    </row>
    <row r="290" spans="1:3" x14ac:dyDescent="0.35">
      <c r="A290" s="6">
        <v>80492</v>
      </c>
      <c r="B290" s="6" t="s">
        <v>3840</v>
      </c>
      <c r="C290" s="6" t="s">
        <v>3652</v>
      </c>
    </row>
    <row r="291" spans="1:3" x14ac:dyDescent="0.35">
      <c r="A291" s="6">
        <v>80501</v>
      </c>
      <c r="B291" s="6" t="s">
        <v>3882</v>
      </c>
      <c r="C291" s="6">
        <v>9250</v>
      </c>
    </row>
    <row r="292" spans="1:3" x14ac:dyDescent="0.35">
      <c r="A292" s="6">
        <v>80578</v>
      </c>
      <c r="B292" s="6" t="s">
        <v>3899</v>
      </c>
      <c r="C292" s="6">
        <v>1868</v>
      </c>
    </row>
    <row r="293" spans="1:3" x14ac:dyDescent="0.35">
      <c r="A293" s="6">
        <v>81161</v>
      </c>
      <c r="B293" s="6" t="s">
        <v>3843</v>
      </c>
      <c r="C293" s="6">
        <v>1809</v>
      </c>
    </row>
    <row r="294" spans="1:3" x14ac:dyDescent="0.35">
      <c r="A294" s="6">
        <v>81162</v>
      </c>
      <c r="B294" s="6" t="s">
        <v>3843</v>
      </c>
      <c r="C294" s="6">
        <v>1811</v>
      </c>
    </row>
    <row r="295" spans="1:3" x14ac:dyDescent="0.35">
      <c r="A295" s="6">
        <v>81163</v>
      </c>
      <c r="B295" s="6" t="s">
        <v>3900</v>
      </c>
      <c r="C295" s="6">
        <v>1712</v>
      </c>
    </row>
    <row r="296" spans="1:3" x14ac:dyDescent="0.35">
      <c r="A296" s="6">
        <v>81164</v>
      </c>
      <c r="B296" s="6" t="s">
        <v>3843</v>
      </c>
      <c r="C296" s="6">
        <v>1813</v>
      </c>
    </row>
    <row r="297" spans="1:3" x14ac:dyDescent="0.35">
      <c r="A297" s="6">
        <v>81165</v>
      </c>
      <c r="B297" s="6" t="s">
        <v>3843</v>
      </c>
      <c r="C297" s="6">
        <v>2414</v>
      </c>
    </row>
    <row r="298" spans="1:3" x14ac:dyDescent="0.35">
      <c r="A298" s="6">
        <v>81166</v>
      </c>
      <c r="B298" s="6" t="s">
        <v>3895</v>
      </c>
      <c r="C298" s="6">
        <v>1558</v>
      </c>
    </row>
    <row r="299" spans="1:3" x14ac:dyDescent="0.35">
      <c r="A299" s="6">
        <v>81167</v>
      </c>
      <c r="B299" s="6" t="s">
        <v>3901</v>
      </c>
      <c r="C299" s="6">
        <v>2696</v>
      </c>
    </row>
    <row r="300" spans="1:3" x14ac:dyDescent="0.35">
      <c r="A300" s="6">
        <v>81168</v>
      </c>
      <c r="B300" s="6" t="s">
        <v>3899</v>
      </c>
      <c r="C300" s="6">
        <v>2503</v>
      </c>
    </row>
    <row r="301" spans="1:3" x14ac:dyDescent="0.35">
      <c r="A301" s="6">
        <v>81169</v>
      </c>
      <c r="B301" s="6" t="s">
        <v>3829</v>
      </c>
      <c r="C301" s="6">
        <v>2390</v>
      </c>
    </row>
    <row r="302" spans="1:3" x14ac:dyDescent="0.35">
      <c r="A302" s="6">
        <v>81170</v>
      </c>
      <c r="B302" s="6" t="s">
        <v>3808</v>
      </c>
      <c r="C302" s="6">
        <v>1644</v>
      </c>
    </row>
    <row r="303" spans="1:3" x14ac:dyDescent="0.35">
      <c r="A303" s="6">
        <v>81171</v>
      </c>
      <c r="B303" s="6" t="s">
        <v>3890</v>
      </c>
      <c r="C303" s="6">
        <v>1560</v>
      </c>
    </row>
    <row r="304" spans="1:3" x14ac:dyDescent="0.35">
      <c r="A304" s="6">
        <v>81172</v>
      </c>
      <c r="B304" s="6" t="s">
        <v>3902</v>
      </c>
      <c r="C304" s="6">
        <v>1646</v>
      </c>
    </row>
    <row r="305" spans="1:3" x14ac:dyDescent="0.35">
      <c r="A305" s="6">
        <v>81173</v>
      </c>
      <c r="B305" s="6" t="s">
        <v>3903</v>
      </c>
      <c r="C305" s="6">
        <v>2697</v>
      </c>
    </row>
    <row r="306" spans="1:3" x14ac:dyDescent="0.35">
      <c r="A306" s="6">
        <v>81174</v>
      </c>
      <c r="B306" s="6" t="s">
        <v>3903</v>
      </c>
      <c r="C306" s="6">
        <v>2699</v>
      </c>
    </row>
    <row r="307" spans="1:3" x14ac:dyDescent="0.35">
      <c r="A307" s="6">
        <v>81175</v>
      </c>
      <c r="B307" s="6" t="s">
        <v>3812</v>
      </c>
      <c r="C307" s="6">
        <v>2408</v>
      </c>
    </row>
    <row r="308" spans="1:3" x14ac:dyDescent="0.35">
      <c r="A308" s="6">
        <v>81176</v>
      </c>
      <c r="B308" s="6" t="s">
        <v>3843</v>
      </c>
      <c r="C308" s="6">
        <v>2410</v>
      </c>
    </row>
    <row r="309" spans="1:3" x14ac:dyDescent="0.35">
      <c r="A309" s="6">
        <v>81177</v>
      </c>
      <c r="B309" s="6" t="s">
        <v>3809</v>
      </c>
      <c r="C309" s="6">
        <v>1942</v>
      </c>
    </row>
    <row r="310" spans="1:3" x14ac:dyDescent="0.35">
      <c r="A310" s="6">
        <v>81178</v>
      </c>
      <c r="B310" s="6" t="s">
        <v>3904</v>
      </c>
      <c r="C310" s="6">
        <v>1640</v>
      </c>
    </row>
    <row r="311" spans="1:3" x14ac:dyDescent="0.35">
      <c r="A311" s="6">
        <v>81179</v>
      </c>
      <c r="B311" s="6" t="s">
        <v>3904</v>
      </c>
      <c r="C311" s="6">
        <v>1642</v>
      </c>
    </row>
    <row r="312" spans="1:3" x14ac:dyDescent="0.35">
      <c r="A312" s="6">
        <v>81180</v>
      </c>
      <c r="B312" s="6" t="s">
        <v>3905</v>
      </c>
      <c r="C312" s="6">
        <v>2747</v>
      </c>
    </row>
    <row r="313" spans="1:3" x14ac:dyDescent="0.35">
      <c r="A313" s="6">
        <v>81181</v>
      </c>
      <c r="B313" s="6" t="s">
        <v>3810</v>
      </c>
      <c r="C313" s="6">
        <v>22</v>
      </c>
    </row>
    <row r="314" spans="1:3" x14ac:dyDescent="0.35">
      <c r="A314" s="6">
        <v>81182</v>
      </c>
      <c r="B314" s="6" t="s">
        <v>3811</v>
      </c>
      <c r="C314" s="6">
        <v>3062</v>
      </c>
    </row>
    <row r="315" spans="1:3" x14ac:dyDescent="0.35">
      <c r="A315" s="6">
        <v>81183</v>
      </c>
      <c r="B315" s="6" t="s">
        <v>3811</v>
      </c>
      <c r="C315" s="6">
        <v>1819</v>
      </c>
    </row>
    <row r="316" spans="1:3" x14ac:dyDescent="0.35">
      <c r="A316" s="6">
        <v>81184</v>
      </c>
      <c r="B316" s="6" t="s">
        <v>3811</v>
      </c>
      <c r="C316" s="6">
        <v>2163</v>
      </c>
    </row>
    <row r="317" spans="1:3" x14ac:dyDescent="0.35">
      <c r="A317" s="6">
        <v>81185</v>
      </c>
      <c r="B317" s="6" t="s">
        <v>3811</v>
      </c>
      <c r="C317" s="6">
        <v>1817</v>
      </c>
    </row>
    <row r="318" spans="1:3" x14ac:dyDescent="0.35">
      <c r="A318" s="6">
        <v>81186</v>
      </c>
      <c r="B318" s="6" t="s">
        <v>3811</v>
      </c>
      <c r="C318" s="6">
        <v>2263</v>
      </c>
    </row>
    <row r="319" spans="1:3" x14ac:dyDescent="0.35">
      <c r="A319" s="6">
        <v>81187</v>
      </c>
      <c r="B319" s="6" t="s">
        <v>3811</v>
      </c>
      <c r="C319" s="6">
        <v>1822</v>
      </c>
    </row>
    <row r="320" spans="1:3" x14ac:dyDescent="0.35">
      <c r="A320" s="6">
        <v>81188</v>
      </c>
      <c r="B320" s="6" t="s">
        <v>3896</v>
      </c>
      <c r="C320" s="6">
        <v>1556</v>
      </c>
    </row>
    <row r="321" spans="1:3" x14ac:dyDescent="0.35">
      <c r="A321" s="6">
        <v>81189</v>
      </c>
      <c r="B321" s="6" t="s">
        <v>3906</v>
      </c>
      <c r="C321" s="6">
        <v>3299</v>
      </c>
    </row>
    <row r="322" spans="1:3" x14ac:dyDescent="0.35">
      <c r="A322" s="6">
        <v>81190</v>
      </c>
      <c r="B322" s="6" t="s">
        <v>3907</v>
      </c>
      <c r="C322" s="6">
        <v>2444</v>
      </c>
    </row>
    <row r="323" spans="1:3" x14ac:dyDescent="0.35">
      <c r="A323" s="6">
        <v>81191</v>
      </c>
      <c r="B323" s="6" t="s">
        <v>3813</v>
      </c>
      <c r="C323" s="6">
        <v>1243</v>
      </c>
    </row>
    <row r="324" spans="1:3" x14ac:dyDescent="0.35">
      <c r="A324" s="6">
        <v>81192</v>
      </c>
      <c r="B324" s="6" t="s">
        <v>3813</v>
      </c>
      <c r="C324" s="6">
        <v>24</v>
      </c>
    </row>
    <row r="325" spans="1:3" x14ac:dyDescent="0.35">
      <c r="A325" s="6">
        <v>81193</v>
      </c>
      <c r="B325" s="6" t="s">
        <v>3813</v>
      </c>
      <c r="C325" s="6">
        <v>1462</v>
      </c>
    </row>
    <row r="326" spans="1:3" x14ac:dyDescent="0.35">
      <c r="A326" s="6">
        <v>81194</v>
      </c>
      <c r="B326" s="6" t="s">
        <v>3813</v>
      </c>
      <c r="C326" s="6">
        <v>1382</v>
      </c>
    </row>
    <row r="327" spans="1:3" x14ac:dyDescent="0.35">
      <c r="A327" s="6">
        <v>81195</v>
      </c>
      <c r="B327" s="6" t="s">
        <v>3879</v>
      </c>
      <c r="C327" s="6">
        <v>2715</v>
      </c>
    </row>
    <row r="328" spans="1:3" x14ac:dyDescent="0.35">
      <c r="A328" s="6">
        <v>81196</v>
      </c>
      <c r="B328" s="6" t="s">
        <v>3879</v>
      </c>
      <c r="C328" s="6">
        <v>1676</v>
      </c>
    </row>
    <row r="329" spans="1:3" x14ac:dyDescent="0.35">
      <c r="A329" s="6">
        <v>81197</v>
      </c>
      <c r="B329" s="6" t="s">
        <v>3878</v>
      </c>
      <c r="C329" s="6">
        <v>2322</v>
      </c>
    </row>
    <row r="330" spans="1:3" x14ac:dyDescent="0.35">
      <c r="A330" s="6">
        <v>81198</v>
      </c>
      <c r="B330" s="6" t="s">
        <v>3878</v>
      </c>
      <c r="C330" s="6">
        <v>1590</v>
      </c>
    </row>
    <row r="331" spans="1:3" x14ac:dyDescent="0.35">
      <c r="A331" s="6">
        <v>81199</v>
      </c>
      <c r="B331" s="6" t="s">
        <v>3878</v>
      </c>
      <c r="C331" s="6">
        <v>2202</v>
      </c>
    </row>
    <row r="332" spans="1:3" x14ac:dyDescent="0.35">
      <c r="A332" s="6">
        <v>81200</v>
      </c>
      <c r="B332" s="6" t="s">
        <v>3878</v>
      </c>
      <c r="C332" s="6">
        <v>1594</v>
      </c>
    </row>
    <row r="333" spans="1:3" x14ac:dyDescent="0.35">
      <c r="A333" s="6">
        <v>81201</v>
      </c>
      <c r="B333" s="6" t="s">
        <v>3908</v>
      </c>
      <c r="C333" s="6">
        <v>1636</v>
      </c>
    </row>
    <row r="334" spans="1:3" x14ac:dyDescent="0.35">
      <c r="A334" s="6">
        <v>81202</v>
      </c>
      <c r="B334" s="6" t="s">
        <v>3868</v>
      </c>
      <c r="C334" s="6">
        <v>27</v>
      </c>
    </row>
    <row r="335" spans="1:3" x14ac:dyDescent="0.35">
      <c r="A335" s="6">
        <v>81203</v>
      </c>
      <c r="B335" s="6" t="s">
        <v>3868</v>
      </c>
      <c r="C335" s="6">
        <v>28</v>
      </c>
    </row>
    <row r="336" spans="1:3" x14ac:dyDescent="0.35">
      <c r="A336" s="6">
        <v>81204</v>
      </c>
      <c r="B336" s="6" t="s">
        <v>3909</v>
      </c>
      <c r="C336" s="6">
        <v>2712</v>
      </c>
    </row>
    <row r="337" spans="1:3" x14ac:dyDescent="0.35">
      <c r="A337" s="6">
        <v>81205</v>
      </c>
      <c r="B337" s="6" t="s">
        <v>3910</v>
      </c>
      <c r="C337" s="6">
        <v>32</v>
      </c>
    </row>
    <row r="338" spans="1:3" x14ac:dyDescent="0.35">
      <c r="A338" s="6">
        <v>81206</v>
      </c>
      <c r="B338" s="6" t="s">
        <v>3911</v>
      </c>
      <c r="C338" s="6">
        <v>18</v>
      </c>
    </row>
    <row r="339" spans="1:3" x14ac:dyDescent="0.35">
      <c r="A339" s="6">
        <v>81207</v>
      </c>
      <c r="B339" s="6" t="s">
        <v>3911</v>
      </c>
      <c r="C339" s="6">
        <v>19</v>
      </c>
    </row>
    <row r="340" spans="1:3" x14ac:dyDescent="0.35">
      <c r="A340" s="6">
        <v>81208</v>
      </c>
      <c r="B340" s="6" t="s">
        <v>3873</v>
      </c>
      <c r="C340" s="6">
        <v>1624</v>
      </c>
    </row>
    <row r="341" spans="1:3" x14ac:dyDescent="0.35">
      <c r="A341" s="6">
        <v>81209</v>
      </c>
      <c r="B341" s="6" t="s">
        <v>3874</v>
      </c>
      <c r="C341" s="6">
        <v>3399</v>
      </c>
    </row>
    <row r="342" spans="1:3" x14ac:dyDescent="0.35">
      <c r="A342" s="6">
        <v>81210</v>
      </c>
      <c r="B342" s="6" t="s">
        <v>3912</v>
      </c>
      <c r="C342" s="6">
        <v>2713</v>
      </c>
    </row>
    <row r="343" spans="1:3" x14ac:dyDescent="0.35">
      <c r="A343" s="6">
        <v>81211</v>
      </c>
      <c r="B343" s="6" t="s">
        <v>3913</v>
      </c>
      <c r="C343" s="6">
        <v>1660</v>
      </c>
    </row>
    <row r="344" spans="1:3" x14ac:dyDescent="0.35">
      <c r="A344" s="6">
        <v>81212</v>
      </c>
      <c r="B344" s="6" t="s">
        <v>3862</v>
      </c>
      <c r="C344" s="6">
        <v>2749</v>
      </c>
    </row>
    <row r="345" spans="1:3" x14ac:dyDescent="0.35">
      <c r="A345" s="6">
        <v>81213</v>
      </c>
      <c r="B345" s="6" t="s">
        <v>3914</v>
      </c>
      <c r="C345" s="6">
        <v>2384</v>
      </c>
    </row>
    <row r="346" spans="1:3" x14ac:dyDescent="0.35">
      <c r="A346" s="6">
        <v>81214</v>
      </c>
      <c r="B346" s="6" t="s">
        <v>3915</v>
      </c>
      <c r="C346" s="6">
        <v>1678</v>
      </c>
    </row>
    <row r="347" spans="1:3" x14ac:dyDescent="0.35">
      <c r="A347" s="6">
        <v>81215</v>
      </c>
      <c r="B347" s="6" t="s">
        <v>3807</v>
      </c>
      <c r="C347" s="6">
        <v>1729</v>
      </c>
    </row>
    <row r="348" spans="1:3" x14ac:dyDescent="0.35">
      <c r="A348" s="6">
        <v>81216</v>
      </c>
      <c r="B348" s="6" t="s">
        <v>3807</v>
      </c>
      <c r="C348" s="6">
        <v>1735</v>
      </c>
    </row>
    <row r="349" spans="1:3" x14ac:dyDescent="0.35">
      <c r="A349" s="6">
        <v>81217</v>
      </c>
      <c r="B349" s="6" t="s">
        <v>3916</v>
      </c>
      <c r="C349" s="6">
        <v>1719</v>
      </c>
    </row>
    <row r="350" spans="1:3" x14ac:dyDescent="0.35">
      <c r="A350" s="6">
        <v>81218</v>
      </c>
      <c r="B350" s="6" t="s">
        <v>3917</v>
      </c>
      <c r="C350" s="6">
        <v>2482</v>
      </c>
    </row>
    <row r="351" spans="1:3" x14ac:dyDescent="0.35">
      <c r="A351" s="6">
        <v>81219</v>
      </c>
      <c r="B351" s="6" t="s">
        <v>3917</v>
      </c>
      <c r="C351" s="6">
        <v>1780</v>
      </c>
    </row>
    <row r="352" spans="1:3" x14ac:dyDescent="0.35">
      <c r="A352" s="6">
        <v>81220</v>
      </c>
      <c r="B352" s="6" t="s">
        <v>3917</v>
      </c>
      <c r="C352" s="6">
        <v>2466</v>
      </c>
    </row>
    <row r="353" spans="1:3" x14ac:dyDescent="0.35">
      <c r="A353" s="6">
        <v>81221</v>
      </c>
      <c r="B353" s="6" t="s">
        <v>3917</v>
      </c>
      <c r="C353" s="6">
        <v>3182</v>
      </c>
    </row>
    <row r="354" spans="1:3" x14ac:dyDescent="0.35">
      <c r="A354" s="6">
        <v>81222</v>
      </c>
      <c r="B354" s="6" t="s">
        <v>3917</v>
      </c>
      <c r="C354" s="6">
        <v>1782</v>
      </c>
    </row>
    <row r="355" spans="1:3" x14ac:dyDescent="0.35">
      <c r="A355" s="6">
        <v>81223</v>
      </c>
      <c r="B355" s="6" t="s">
        <v>3917</v>
      </c>
      <c r="C355" s="6">
        <v>3042</v>
      </c>
    </row>
    <row r="356" spans="1:3" x14ac:dyDescent="0.35">
      <c r="A356" s="6">
        <v>81224</v>
      </c>
      <c r="B356" s="6" t="s">
        <v>3917</v>
      </c>
      <c r="C356" s="6">
        <v>1784</v>
      </c>
    </row>
    <row r="357" spans="1:3" x14ac:dyDescent="0.35">
      <c r="A357" s="6">
        <v>81225</v>
      </c>
      <c r="B357" s="6" t="s">
        <v>3848</v>
      </c>
      <c r="C357" s="6">
        <v>1674</v>
      </c>
    </row>
    <row r="358" spans="1:3" x14ac:dyDescent="0.35">
      <c r="A358" s="6">
        <v>81226</v>
      </c>
      <c r="B358" s="6" t="s">
        <v>3848</v>
      </c>
      <c r="C358" s="6">
        <v>2446</v>
      </c>
    </row>
    <row r="359" spans="1:3" x14ac:dyDescent="0.35">
      <c r="A359" s="6">
        <v>81227</v>
      </c>
      <c r="B359" s="6" t="s">
        <v>3848</v>
      </c>
      <c r="C359" s="6">
        <v>2716</v>
      </c>
    </row>
    <row r="360" spans="1:3" x14ac:dyDescent="0.35">
      <c r="A360" s="6">
        <v>81228</v>
      </c>
      <c r="B360" s="6" t="s">
        <v>3877</v>
      </c>
      <c r="C360" s="6">
        <v>2448</v>
      </c>
    </row>
    <row r="361" spans="1:3" x14ac:dyDescent="0.35">
      <c r="A361" s="6">
        <v>81229</v>
      </c>
      <c r="B361" s="6" t="s">
        <v>3918</v>
      </c>
      <c r="C361" s="6">
        <v>1422</v>
      </c>
    </row>
    <row r="362" spans="1:3" x14ac:dyDescent="0.35">
      <c r="A362" s="6">
        <v>81230</v>
      </c>
      <c r="B362" s="6" t="s">
        <v>3918</v>
      </c>
      <c r="C362" s="6">
        <v>1362</v>
      </c>
    </row>
    <row r="363" spans="1:3" x14ac:dyDescent="0.35">
      <c r="A363" s="6">
        <v>81231</v>
      </c>
      <c r="B363" s="6" t="s">
        <v>3857</v>
      </c>
      <c r="C363" s="6">
        <v>1652</v>
      </c>
    </row>
    <row r="364" spans="1:3" x14ac:dyDescent="0.35">
      <c r="A364" s="6">
        <v>81232</v>
      </c>
      <c r="B364" s="6" t="s">
        <v>3857</v>
      </c>
      <c r="C364" s="6">
        <v>1654</v>
      </c>
    </row>
    <row r="365" spans="1:3" x14ac:dyDescent="0.35">
      <c r="A365" s="6">
        <v>81233</v>
      </c>
      <c r="B365" s="6" t="s">
        <v>3857</v>
      </c>
      <c r="C365" s="6">
        <v>1656</v>
      </c>
    </row>
    <row r="366" spans="1:3" x14ac:dyDescent="0.35">
      <c r="A366" s="6">
        <v>81234</v>
      </c>
      <c r="B366" s="6" t="s">
        <v>3814</v>
      </c>
      <c r="C366" s="6">
        <v>1658</v>
      </c>
    </row>
    <row r="367" spans="1:3" x14ac:dyDescent="0.35">
      <c r="A367" s="6">
        <v>81235</v>
      </c>
      <c r="B367" s="6" t="s">
        <v>3859</v>
      </c>
      <c r="C367" s="6">
        <v>1670</v>
      </c>
    </row>
    <row r="368" spans="1:3" x14ac:dyDescent="0.35">
      <c r="A368" s="6">
        <v>81236</v>
      </c>
      <c r="B368" s="6" t="s">
        <v>3919</v>
      </c>
      <c r="C368" s="6">
        <v>3291</v>
      </c>
    </row>
    <row r="369" spans="1:3" x14ac:dyDescent="0.35">
      <c r="A369" s="6">
        <v>81237</v>
      </c>
      <c r="B369" s="6" t="s">
        <v>3920</v>
      </c>
      <c r="C369" s="6">
        <v>2725</v>
      </c>
    </row>
    <row r="370" spans="1:3" x14ac:dyDescent="0.35">
      <c r="A370" s="6">
        <v>81238</v>
      </c>
      <c r="B370" s="6" t="s">
        <v>3918</v>
      </c>
      <c r="C370" s="6">
        <v>1423</v>
      </c>
    </row>
    <row r="371" spans="1:3" x14ac:dyDescent="0.35">
      <c r="A371" s="6">
        <v>81239</v>
      </c>
      <c r="B371" s="6" t="s">
        <v>3918</v>
      </c>
      <c r="C371" s="6">
        <v>1322</v>
      </c>
    </row>
    <row r="372" spans="1:3" x14ac:dyDescent="0.35">
      <c r="A372" s="6">
        <v>81240</v>
      </c>
      <c r="B372" s="6" t="s">
        <v>3918</v>
      </c>
      <c r="C372" s="6">
        <v>2222</v>
      </c>
    </row>
    <row r="373" spans="1:3" x14ac:dyDescent="0.35">
      <c r="A373" s="6">
        <v>81241</v>
      </c>
      <c r="B373" s="6" t="s">
        <v>3918</v>
      </c>
      <c r="C373" s="6">
        <v>1282</v>
      </c>
    </row>
    <row r="374" spans="1:3" x14ac:dyDescent="0.35">
      <c r="A374" s="6">
        <v>81242</v>
      </c>
      <c r="B374" s="6" t="s">
        <v>3921</v>
      </c>
      <c r="C374" s="6">
        <v>23</v>
      </c>
    </row>
    <row r="375" spans="1:3" x14ac:dyDescent="0.35">
      <c r="A375" s="6">
        <v>81243</v>
      </c>
      <c r="B375" s="6" t="s">
        <v>3815</v>
      </c>
      <c r="C375" s="6">
        <v>2651</v>
      </c>
    </row>
    <row r="376" spans="1:3" x14ac:dyDescent="0.35">
      <c r="A376" s="6">
        <v>81244</v>
      </c>
      <c r="B376" s="6" t="s">
        <v>3815</v>
      </c>
      <c r="C376" s="6">
        <v>1444</v>
      </c>
    </row>
    <row r="377" spans="1:3" x14ac:dyDescent="0.35">
      <c r="A377" s="6">
        <v>81245</v>
      </c>
      <c r="B377" s="6" t="s">
        <v>3815</v>
      </c>
      <c r="C377" s="6">
        <v>1862</v>
      </c>
    </row>
    <row r="378" spans="1:3" x14ac:dyDescent="0.35">
      <c r="A378" s="6">
        <v>81246</v>
      </c>
      <c r="B378" s="6" t="s">
        <v>3815</v>
      </c>
      <c r="C378" s="6">
        <v>2539</v>
      </c>
    </row>
    <row r="379" spans="1:3" x14ac:dyDescent="0.35">
      <c r="A379" s="6">
        <v>81247</v>
      </c>
      <c r="B379" s="6" t="s">
        <v>3815</v>
      </c>
      <c r="C379" s="6">
        <v>1443</v>
      </c>
    </row>
    <row r="380" spans="1:3" x14ac:dyDescent="0.35">
      <c r="A380" s="6">
        <v>81248</v>
      </c>
      <c r="B380" s="6" t="s">
        <v>3815</v>
      </c>
      <c r="C380" s="6">
        <v>1442</v>
      </c>
    </row>
    <row r="381" spans="1:3" x14ac:dyDescent="0.35">
      <c r="A381" s="6">
        <v>81249</v>
      </c>
      <c r="B381" s="6" t="s">
        <v>3815</v>
      </c>
      <c r="C381" s="6">
        <v>1222</v>
      </c>
    </row>
    <row r="382" spans="1:3" x14ac:dyDescent="0.35">
      <c r="A382" s="6">
        <v>81250</v>
      </c>
      <c r="B382" s="6" t="s">
        <v>3922</v>
      </c>
      <c r="C382" s="6">
        <v>2362</v>
      </c>
    </row>
    <row r="383" spans="1:3" x14ac:dyDescent="0.35">
      <c r="A383" s="6">
        <v>81251</v>
      </c>
      <c r="B383" s="6" t="s">
        <v>3923</v>
      </c>
      <c r="C383" s="6">
        <v>2701</v>
      </c>
    </row>
    <row r="384" spans="1:3" x14ac:dyDescent="0.35">
      <c r="A384" s="6">
        <v>81252</v>
      </c>
      <c r="B384" s="6" t="s">
        <v>3923</v>
      </c>
      <c r="C384" s="6">
        <v>2428</v>
      </c>
    </row>
    <row r="385" spans="1:3" x14ac:dyDescent="0.35">
      <c r="A385" s="6">
        <v>81253</v>
      </c>
      <c r="B385" s="6" t="s">
        <v>3923</v>
      </c>
      <c r="C385" s="6">
        <v>2430</v>
      </c>
    </row>
    <row r="386" spans="1:3" x14ac:dyDescent="0.35">
      <c r="A386" s="6">
        <v>81254</v>
      </c>
      <c r="B386" s="6" t="s">
        <v>3924</v>
      </c>
      <c r="C386" s="6">
        <v>2388</v>
      </c>
    </row>
    <row r="387" spans="1:3" x14ac:dyDescent="0.35">
      <c r="A387" s="6">
        <v>81255</v>
      </c>
      <c r="B387" s="6" t="s">
        <v>3925</v>
      </c>
      <c r="C387" s="6">
        <v>1901</v>
      </c>
    </row>
    <row r="388" spans="1:3" x14ac:dyDescent="0.35">
      <c r="A388" s="6">
        <v>81256</v>
      </c>
      <c r="B388" s="6" t="s">
        <v>3926</v>
      </c>
      <c r="C388" s="6">
        <v>1384</v>
      </c>
    </row>
    <row r="389" spans="1:3" x14ac:dyDescent="0.35">
      <c r="A389" s="6">
        <v>81257</v>
      </c>
      <c r="B389" s="6" t="s">
        <v>3926</v>
      </c>
      <c r="C389" s="6">
        <v>1856</v>
      </c>
    </row>
    <row r="390" spans="1:3" x14ac:dyDescent="0.35">
      <c r="A390" s="6">
        <v>81258</v>
      </c>
      <c r="B390" s="6" t="s">
        <v>3855</v>
      </c>
      <c r="C390" s="6">
        <v>1714</v>
      </c>
    </row>
    <row r="391" spans="1:3" x14ac:dyDescent="0.35">
      <c r="A391" s="6">
        <v>81259</v>
      </c>
      <c r="B391" s="6" t="s">
        <v>3927</v>
      </c>
      <c r="C391" s="6">
        <v>1869</v>
      </c>
    </row>
    <row r="392" spans="1:3" x14ac:dyDescent="0.35">
      <c r="A392" s="6">
        <v>81260</v>
      </c>
      <c r="B392" s="6" t="s">
        <v>3829</v>
      </c>
      <c r="C392" s="6">
        <v>1672</v>
      </c>
    </row>
    <row r="393" spans="1:3" x14ac:dyDescent="0.35">
      <c r="A393" s="6">
        <v>81261</v>
      </c>
      <c r="B393" s="6" t="s">
        <v>3817</v>
      </c>
      <c r="C393" s="6">
        <v>1568</v>
      </c>
    </row>
    <row r="394" spans="1:3" x14ac:dyDescent="0.35">
      <c r="A394" s="6">
        <v>81262</v>
      </c>
      <c r="B394" s="6" t="s">
        <v>3875</v>
      </c>
      <c r="C394" s="6">
        <v>2438</v>
      </c>
    </row>
    <row r="395" spans="1:3" x14ac:dyDescent="0.35">
      <c r="A395" s="6">
        <v>81263</v>
      </c>
      <c r="B395" s="6" t="s">
        <v>3875</v>
      </c>
      <c r="C395" s="6">
        <v>2436</v>
      </c>
    </row>
    <row r="396" spans="1:3" x14ac:dyDescent="0.35">
      <c r="A396" s="6">
        <v>81264</v>
      </c>
      <c r="B396" s="6" t="s">
        <v>3875</v>
      </c>
      <c r="C396" s="6">
        <v>2710</v>
      </c>
    </row>
    <row r="397" spans="1:3" x14ac:dyDescent="0.35">
      <c r="A397" s="6">
        <v>81265</v>
      </c>
      <c r="B397" s="6" t="s">
        <v>3875</v>
      </c>
      <c r="C397" s="6">
        <v>2440</v>
      </c>
    </row>
    <row r="398" spans="1:3" x14ac:dyDescent="0.35">
      <c r="A398" s="6">
        <v>81266</v>
      </c>
      <c r="B398" s="6" t="s">
        <v>3928</v>
      </c>
      <c r="C398" s="6">
        <v>3287</v>
      </c>
    </row>
    <row r="399" spans="1:3" x14ac:dyDescent="0.35">
      <c r="A399" s="6">
        <v>81267</v>
      </c>
      <c r="B399" s="6" t="s">
        <v>3868</v>
      </c>
      <c r="C399" s="6">
        <v>29</v>
      </c>
    </row>
    <row r="400" spans="1:3" x14ac:dyDescent="0.35">
      <c r="A400" s="6">
        <v>81268</v>
      </c>
      <c r="B400" s="6" t="s">
        <v>3929</v>
      </c>
      <c r="C400" s="6">
        <v>2085</v>
      </c>
    </row>
    <row r="401" spans="1:3" x14ac:dyDescent="0.35">
      <c r="A401" s="6">
        <v>81269</v>
      </c>
      <c r="B401" s="6" t="s">
        <v>3815</v>
      </c>
      <c r="C401" s="6">
        <v>2464</v>
      </c>
    </row>
    <row r="402" spans="1:3" x14ac:dyDescent="0.35">
      <c r="A402" s="6">
        <v>81270</v>
      </c>
      <c r="B402" s="6" t="s">
        <v>3815</v>
      </c>
      <c r="C402" s="6">
        <v>2922</v>
      </c>
    </row>
    <row r="403" spans="1:3" x14ac:dyDescent="0.35">
      <c r="A403" s="6">
        <v>81271</v>
      </c>
      <c r="B403" s="6" t="s">
        <v>3930</v>
      </c>
      <c r="C403" s="6">
        <v>1858</v>
      </c>
    </row>
    <row r="404" spans="1:3" x14ac:dyDescent="0.35">
      <c r="A404" s="6">
        <v>81272</v>
      </c>
      <c r="B404" s="6" t="s">
        <v>3930</v>
      </c>
      <c r="C404" s="6">
        <v>1402</v>
      </c>
    </row>
    <row r="405" spans="1:3" x14ac:dyDescent="0.35">
      <c r="A405" s="6">
        <v>81273</v>
      </c>
      <c r="B405" s="6" t="s">
        <v>3930</v>
      </c>
      <c r="C405" s="6">
        <v>1860</v>
      </c>
    </row>
    <row r="406" spans="1:3" x14ac:dyDescent="0.35">
      <c r="A406" s="6">
        <v>81274</v>
      </c>
      <c r="B406" s="6" t="s">
        <v>3818</v>
      </c>
      <c r="C406" s="6">
        <v>1564</v>
      </c>
    </row>
    <row r="407" spans="1:3" x14ac:dyDescent="0.35">
      <c r="A407" s="6">
        <v>81275</v>
      </c>
      <c r="B407" s="6" t="s">
        <v>3815</v>
      </c>
      <c r="C407" s="6">
        <v>1963</v>
      </c>
    </row>
    <row r="408" spans="1:3" x14ac:dyDescent="0.35">
      <c r="A408" s="6">
        <v>81276</v>
      </c>
      <c r="B408" s="6" t="s">
        <v>3845</v>
      </c>
      <c r="C408" s="6">
        <v>1566</v>
      </c>
    </row>
    <row r="409" spans="1:3" x14ac:dyDescent="0.35">
      <c r="A409" s="6">
        <v>81277</v>
      </c>
      <c r="B409" s="6" t="s">
        <v>3931</v>
      </c>
      <c r="C409" s="6">
        <v>2302</v>
      </c>
    </row>
    <row r="410" spans="1:3" x14ac:dyDescent="0.35">
      <c r="A410" s="6">
        <v>81278</v>
      </c>
      <c r="B410" s="6" t="s">
        <v>3819</v>
      </c>
      <c r="C410" s="6">
        <v>16</v>
      </c>
    </row>
    <row r="411" spans="1:3" x14ac:dyDescent="0.35">
      <c r="A411" s="6">
        <v>81279</v>
      </c>
      <c r="B411" s="6" t="s">
        <v>3819</v>
      </c>
      <c r="C411" s="6">
        <v>1184</v>
      </c>
    </row>
    <row r="412" spans="1:3" x14ac:dyDescent="0.35">
      <c r="A412" s="6">
        <v>81280</v>
      </c>
      <c r="B412" s="6" t="s">
        <v>3819</v>
      </c>
      <c r="C412" s="6">
        <v>1885</v>
      </c>
    </row>
    <row r="413" spans="1:3" x14ac:dyDescent="0.35">
      <c r="A413" s="6">
        <v>81281</v>
      </c>
      <c r="B413" s="6" t="s">
        <v>3819</v>
      </c>
      <c r="C413" s="6">
        <v>15</v>
      </c>
    </row>
    <row r="414" spans="1:3" x14ac:dyDescent="0.35">
      <c r="A414" s="6">
        <v>81282</v>
      </c>
      <c r="B414" s="6" t="s">
        <v>3819</v>
      </c>
      <c r="C414" s="6">
        <v>1182</v>
      </c>
    </row>
    <row r="415" spans="1:3" x14ac:dyDescent="0.35">
      <c r="A415" s="6">
        <v>81283</v>
      </c>
      <c r="B415" s="6" t="s">
        <v>3932</v>
      </c>
      <c r="C415" s="6">
        <v>33</v>
      </c>
    </row>
    <row r="416" spans="1:3" x14ac:dyDescent="0.35">
      <c r="A416" s="6">
        <v>81284</v>
      </c>
      <c r="B416" s="6" t="s">
        <v>3932</v>
      </c>
      <c r="C416" s="6">
        <v>34</v>
      </c>
    </row>
    <row r="417" spans="1:3" x14ac:dyDescent="0.35">
      <c r="A417" s="6">
        <v>81285</v>
      </c>
      <c r="B417" s="6" t="s">
        <v>3859</v>
      </c>
      <c r="C417" s="6">
        <v>1664</v>
      </c>
    </row>
    <row r="418" spans="1:3" x14ac:dyDescent="0.35">
      <c r="A418" s="6">
        <v>81286</v>
      </c>
      <c r="B418" s="6" t="s">
        <v>3859</v>
      </c>
      <c r="C418" s="6">
        <v>2902</v>
      </c>
    </row>
    <row r="419" spans="1:3" x14ac:dyDescent="0.35">
      <c r="A419" s="6">
        <v>81287</v>
      </c>
      <c r="B419" s="6" t="s">
        <v>3859</v>
      </c>
      <c r="C419" s="6">
        <v>3402</v>
      </c>
    </row>
    <row r="420" spans="1:3" x14ac:dyDescent="0.35">
      <c r="A420" s="6">
        <v>81288</v>
      </c>
      <c r="B420" s="6" t="s">
        <v>3859</v>
      </c>
      <c r="C420" s="6">
        <v>1668</v>
      </c>
    </row>
    <row r="421" spans="1:3" x14ac:dyDescent="0.35">
      <c r="A421" s="6">
        <v>81289</v>
      </c>
      <c r="B421" s="6" t="s">
        <v>3933</v>
      </c>
      <c r="C421" s="6">
        <v>1721</v>
      </c>
    </row>
    <row r="422" spans="1:3" x14ac:dyDescent="0.35">
      <c r="A422" s="6">
        <v>81290</v>
      </c>
      <c r="B422" s="6" t="s">
        <v>3820</v>
      </c>
      <c r="C422" s="6">
        <v>1922</v>
      </c>
    </row>
    <row r="423" spans="1:3" x14ac:dyDescent="0.35">
      <c r="A423" s="6">
        <v>81291</v>
      </c>
      <c r="B423" s="6" t="s">
        <v>3819</v>
      </c>
      <c r="C423" s="6">
        <v>1880</v>
      </c>
    </row>
    <row r="424" spans="1:3" x14ac:dyDescent="0.35">
      <c r="A424" s="6">
        <v>81292</v>
      </c>
      <c r="B424" s="6" t="s">
        <v>3819</v>
      </c>
      <c r="C424" s="6">
        <v>17</v>
      </c>
    </row>
    <row r="425" spans="1:3" x14ac:dyDescent="0.35">
      <c r="A425" s="6">
        <v>81293</v>
      </c>
      <c r="B425" s="6" t="s">
        <v>3819</v>
      </c>
      <c r="C425" s="6">
        <v>1183</v>
      </c>
    </row>
    <row r="426" spans="1:3" x14ac:dyDescent="0.35">
      <c r="A426" s="6">
        <v>81294</v>
      </c>
      <c r="B426" s="6" t="s">
        <v>3821</v>
      </c>
      <c r="C426" s="6">
        <v>3244</v>
      </c>
    </row>
    <row r="427" spans="1:3" x14ac:dyDescent="0.35">
      <c r="A427" s="6">
        <v>81295</v>
      </c>
      <c r="B427" s="6" t="s">
        <v>3929</v>
      </c>
      <c r="C427" s="6">
        <v>2083</v>
      </c>
    </row>
    <row r="428" spans="1:3" x14ac:dyDescent="0.35">
      <c r="A428" s="6">
        <v>81296</v>
      </c>
      <c r="B428" s="6" t="s">
        <v>3821</v>
      </c>
      <c r="C428" s="6">
        <v>1847</v>
      </c>
    </row>
    <row r="429" spans="1:3" x14ac:dyDescent="0.35">
      <c r="A429" s="6">
        <v>81297</v>
      </c>
      <c r="B429" s="6" t="s">
        <v>3934</v>
      </c>
      <c r="C429" s="6">
        <v>1849</v>
      </c>
    </row>
    <row r="430" spans="1:3" x14ac:dyDescent="0.35">
      <c r="A430" s="6">
        <v>81298</v>
      </c>
      <c r="B430" s="6" t="s">
        <v>3893</v>
      </c>
      <c r="C430" s="6">
        <v>1851</v>
      </c>
    </row>
    <row r="431" spans="1:3" x14ac:dyDescent="0.35">
      <c r="A431" s="6">
        <v>81299</v>
      </c>
      <c r="B431" s="6" t="s">
        <v>3935</v>
      </c>
      <c r="C431" s="6">
        <v>1761</v>
      </c>
    </row>
    <row r="432" spans="1:3" x14ac:dyDescent="0.35">
      <c r="A432" s="6">
        <v>81300</v>
      </c>
      <c r="B432" s="6" t="s">
        <v>3936</v>
      </c>
      <c r="C432" s="6">
        <v>2690</v>
      </c>
    </row>
    <row r="433" spans="1:3" x14ac:dyDescent="0.35">
      <c r="A433" s="6">
        <v>81301</v>
      </c>
      <c r="B433" s="6" t="s">
        <v>3822</v>
      </c>
      <c r="C433" s="6">
        <v>2582</v>
      </c>
    </row>
    <row r="434" spans="1:3" x14ac:dyDescent="0.35">
      <c r="A434" s="6">
        <v>81302</v>
      </c>
      <c r="B434" s="6" t="s">
        <v>3822</v>
      </c>
      <c r="C434" s="6">
        <v>1083</v>
      </c>
    </row>
    <row r="435" spans="1:3" x14ac:dyDescent="0.35">
      <c r="A435" s="6">
        <v>81303</v>
      </c>
      <c r="B435" s="6" t="s">
        <v>3937</v>
      </c>
      <c r="C435" s="6">
        <v>1091</v>
      </c>
    </row>
    <row r="436" spans="1:3" x14ac:dyDescent="0.35">
      <c r="A436" s="6">
        <v>81304</v>
      </c>
      <c r="B436" s="6" t="s">
        <v>3937</v>
      </c>
      <c r="C436" s="6">
        <v>1089</v>
      </c>
    </row>
    <row r="437" spans="1:3" x14ac:dyDescent="0.35">
      <c r="A437" s="6">
        <v>81305</v>
      </c>
      <c r="B437" s="6" t="s">
        <v>3822</v>
      </c>
      <c r="C437" s="6">
        <v>1404</v>
      </c>
    </row>
    <row r="438" spans="1:3" x14ac:dyDescent="0.35">
      <c r="A438" s="6">
        <v>81306</v>
      </c>
      <c r="B438" s="6" t="s">
        <v>3899</v>
      </c>
      <c r="C438" s="6">
        <v>5</v>
      </c>
    </row>
    <row r="439" spans="1:3" x14ac:dyDescent="0.35">
      <c r="A439" s="6">
        <v>81307</v>
      </c>
      <c r="B439" s="6" t="s">
        <v>3822</v>
      </c>
      <c r="C439" s="6">
        <v>1223</v>
      </c>
    </row>
    <row r="440" spans="1:3" x14ac:dyDescent="0.35">
      <c r="A440" s="6">
        <v>81308</v>
      </c>
      <c r="B440" s="6" t="s">
        <v>3822</v>
      </c>
      <c r="C440" s="6">
        <v>2162</v>
      </c>
    </row>
    <row r="441" spans="1:3" x14ac:dyDescent="0.35">
      <c r="A441" s="6">
        <v>81309</v>
      </c>
      <c r="B441" s="6" t="s">
        <v>3822</v>
      </c>
      <c r="C441" s="6">
        <v>1484</v>
      </c>
    </row>
    <row r="442" spans="1:3" x14ac:dyDescent="0.35">
      <c r="A442" s="6">
        <v>81310</v>
      </c>
      <c r="B442" s="6" t="s">
        <v>3822</v>
      </c>
      <c r="C442" s="6">
        <v>1085</v>
      </c>
    </row>
    <row r="443" spans="1:3" x14ac:dyDescent="0.35">
      <c r="A443" s="6">
        <v>81311</v>
      </c>
      <c r="B443" s="6" t="s">
        <v>3822</v>
      </c>
      <c r="C443" s="6">
        <v>2452</v>
      </c>
    </row>
    <row r="444" spans="1:3" x14ac:dyDescent="0.35">
      <c r="A444" s="6">
        <v>81312</v>
      </c>
      <c r="B444" s="6" t="s">
        <v>3937</v>
      </c>
      <c r="C444" s="6">
        <v>1094</v>
      </c>
    </row>
    <row r="445" spans="1:3" x14ac:dyDescent="0.35">
      <c r="A445" s="6">
        <v>81313</v>
      </c>
      <c r="B445" s="6" t="s">
        <v>3866</v>
      </c>
      <c r="C445" s="6">
        <v>1022</v>
      </c>
    </row>
    <row r="446" spans="1:3" x14ac:dyDescent="0.35">
      <c r="A446" s="6">
        <v>81314</v>
      </c>
      <c r="B446" s="6" t="s">
        <v>3886</v>
      </c>
      <c r="C446" s="6">
        <v>1532</v>
      </c>
    </row>
    <row r="447" spans="1:3" x14ac:dyDescent="0.35">
      <c r="A447" s="6">
        <v>81315</v>
      </c>
      <c r="B447" s="6" t="s">
        <v>3938</v>
      </c>
      <c r="C447" s="6">
        <v>1638</v>
      </c>
    </row>
    <row r="448" spans="1:3" x14ac:dyDescent="0.35">
      <c r="A448" s="6">
        <v>81316</v>
      </c>
      <c r="B448" s="6" t="s">
        <v>3829</v>
      </c>
      <c r="C448" s="6">
        <v>2389</v>
      </c>
    </row>
    <row r="449" spans="1:3" x14ac:dyDescent="0.35">
      <c r="A449" s="6">
        <v>81317</v>
      </c>
      <c r="B449" s="6" t="s">
        <v>3898</v>
      </c>
      <c r="C449" s="6">
        <v>1549</v>
      </c>
    </row>
    <row r="450" spans="1:3" x14ac:dyDescent="0.35">
      <c r="A450" s="6">
        <v>81318</v>
      </c>
      <c r="B450" s="6" t="s">
        <v>3898</v>
      </c>
      <c r="C450" s="6">
        <v>2406</v>
      </c>
    </row>
    <row r="451" spans="1:3" x14ac:dyDescent="0.35">
      <c r="A451" s="6">
        <v>81319</v>
      </c>
      <c r="B451" s="6" t="s">
        <v>3898</v>
      </c>
      <c r="C451" s="6">
        <v>1552</v>
      </c>
    </row>
    <row r="452" spans="1:3" x14ac:dyDescent="0.35">
      <c r="A452" s="6">
        <v>81320</v>
      </c>
      <c r="B452" s="6" t="s">
        <v>3939</v>
      </c>
      <c r="C452" s="6">
        <v>2385</v>
      </c>
    </row>
    <row r="453" spans="1:3" x14ac:dyDescent="0.35">
      <c r="A453" s="6">
        <v>81321</v>
      </c>
      <c r="B453" s="6" t="s">
        <v>3828</v>
      </c>
      <c r="C453" s="6">
        <v>2744</v>
      </c>
    </row>
    <row r="454" spans="1:3" x14ac:dyDescent="0.35">
      <c r="A454" s="6">
        <v>81322</v>
      </c>
      <c r="B454" s="6" t="s">
        <v>3940</v>
      </c>
      <c r="C454" s="6">
        <v>2645</v>
      </c>
    </row>
    <row r="455" spans="1:3" x14ac:dyDescent="0.35">
      <c r="A455" s="6">
        <v>81323</v>
      </c>
      <c r="B455" s="6" t="s">
        <v>3940</v>
      </c>
      <c r="C455" s="6">
        <v>2643</v>
      </c>
    </row>
    <row r="456" spans="1:3" x14ac:dyDescent="0.35">
      <c r="A456" s="6">
        <v>81324</v>
      </c>
      <c r="B456" s="6" t="s">
        <v>3940</v>
      </c>
      <c r="C456" s="6">
        <v>2647</v>
      </c>
    </row>
    <row r="457" spans="1:3" x14ac:dyDescent="0.35">
      <c r="A457" s="6">
        <v>81325</v>
      </c>
      <c r="B457" s="6" t="s">
        <v>3941</v>
      </c>
      <c r="C457" s="6">
        <v>1403</v>
      </c>
    </row>
    <row r="458" spans="1:3" x14ac:dyDescent="0.35">
      <c r="A458" s="6">
        <v>81326</v>
      </c>
      <c r="B458" s="6" t="s">
        <v>3887</v>
      </c>
      <c r="C458" s="6">
        <v>1530</v>
      </c>
    </row>
    <row r="459" spans="1:3" x14ac:dyDescent="0.35">
      <c r="A459" s="6">
        <v>81327</v>
      </c>
      <c r="B459" s="6" t="s">
        <v>3824</v>
      </c>
      <c r="C459" s="6">
        <v>1893</v>
      </c>
    </row>
    <row r="460" spans="1:3" x14ac:dyDescent="0.35">
      <c r="A460" s="6">
        <v>81328</v>
      </c>
      <c r="B460" s="6" t="s">
        <v>3867</v>
      </c>
      <c r="C460" s="6">
        <v>1689</v>
      </c>
    </row>
    <row r="461" spans="1:3" x14ac:dyDescent="0.35">
      <c r="A461" s="6">
        <v>81329</v>
      </c>
      <c r="B461" s="6" t="s">
        <v>3867</v>
      </c>
      <c r="C461" s="6">
        <v>1693</v>
      </c>
    </row>
    <row r="462" spans="1:3" x14ac:dyDescent="0.35">
      <c r="A462" s="6">
        <v>81330</v>
      </c>
      <c r="B462" s="6" t="s">
        <v>3867</v>
      </c>
      <c r="C462" s="6">
        <v>1695</v>
      </c>
    </row>
    <row r="463" spans="1:3" x14ac:dyDescent="0.35">
      <c r="A463" s="6">
        <v>81331</v>
      </c>
      <c r="B463" s="6" t="s">
        <v>3867</v>
      </c>
      <c r="C463" s="6">
        <v>1202</v>
      </c>
    </row>
    <row r="464" spans="1:3" x14ac:dyDescent="0.35">
      <c r="A464" s="6">
        <v>81332</v>
      </c>
      <c r="B464" s="6" t="s">
        <v>3867</v>
      </c>
      <c r="C464" s="6">
        <v>1699</v>
      </c>
    </row>
    <row r="465" spans="1:3" x14ac:dyDescent="0.35">
      <c r="A465" s="6">
        <v>81333</v>
      </c>
      <c r="B465" s="6" t="s">
        <v>3942</v>
      </c>
      <c r="C465" s="6">
        <v>2102</v>
      </c>
    </row>
    <row r="466" spans="1:3" x14ac:dyDescent="0.35">
      <c r="A466" s="6">
        <v>81334</v>
      </c>
      <c r="B466" s="6" t="s">
        <v>3943</v>
      </c>
      <c r="C466" s="6">
        <v>2655</v>
      </c>
    </row>
    <row r="467" spans="1:3" x14ac:dyDescent="0.35">
      <c r="A467" s="6">
        <v>81335</v>
      </c>
      <c r="B467" s="6" t="s">
        <v>3826</v>
      </c>
      <c r="C467" s="6">
        <v>2379</v>
      </c>
    </row>
    <row r="468" spans="1:3" x14ac:dyDescent="0.35">
      <c r="A468" s="6">
        <v>81336</v>
      </c>
      <c r="B468" s="6" t="s">
        <v>3944</v>
      </c>
      <c r="C468" s="6">
        <v>2650</v>
      </c>
    </row>
    <row r="469" spans="1:3" x14ac:dyDescent="0.35">
      <c r="A469" s="6">
        <v>81337</v>
      </c>
      <c r="B469" s="6" t="s">
        <v>3842</v>
      </c>
      <c r="C469" s="6">
        <v>2342</v>
      </c>
    </row>
    <row r="470" spans="1:3" x14ac:dyDescent="0.35">
      <c r="A470" s="6">
        <v>81338</v>
      </c>
      <c r="B470" s="6" t="s">
        <v>3856</v>
      </c>
      <c r="C470" s="6">
        <v>30</v>
      </c>
    </row>
    <row r="471" spans="1:3" x14ac:dyDescent="0.35">
      <c r="A471" s="6">
        <v>81339</v>
      </c>
      <c r="B471" s="6" t="s">
        <v>3945</v>
      </c>
      <c r="C471" s="6">
        <v>2344</v>
      </c>
    </row>
    <row r="472" spans="1:3" x14ac:dyDescent="0.35">
      <c r="A472" s="6">
        <v>81340</v>
      </c>
      <c r="B472" s="6" t="s">
        <v>3870</v>
      </c>
      <c r="C472" s="6">
        <v>2542</v>
      </c>
    </row>
    <row r="473" spans="1:3" x14ac:dyDescent="0.35">
      <c r="A473" s="6">
        <v>81341</v>
      </c>
      <c r="B473" s="6" t="s">
        <v>3867</v>
      </c>
      <c r="C473" s="6">
        <v>1685</v>
      </c>
    </row>
    <row r="474" spans="1:3" x14ac:dyDescent="0.35">
      <c r="A474" s="6">
        <v>81342</v>
      </c>
      <c r="B474" s="6" t="s">
        <v>3867</v>
      </c>
      <c r="C474" s="6">
        <v>1697</v>
      </c>
    </row>
    <row r="475" spans="1:3" x14ac:dyDescent="0.35">
      <c r="A475" s="6">
        <v>81343</v>
      </c>
      <c r="B475" s="6" t="s">
        <v>3867</v>
      </c>
      <c r="C475" s="6">
        <v>1683</v>
      </c>
    </row>
    <row r="476" spans="1:3" x14ac:dyDescent="0.35">
      <c r="A476" s="6">
        <v>81344</v>
      </c>
      <c r="B476" s="6" t="s">
        <v>3867</v>
      </c>
      <c r="C476" s="6">
        <v>2742</v>
      </c>
    </row>
    <row r="477" spans="1:3" x14ac:dyDescent="0.35">
      <c r="A477" s="6">
        <v>81345</v>
      </c>
      <c r="B477" s="6" t="s">
        <v>3867</v>
      </c>
      <c r="C477" s="6">
        <v>2652</v>
      </c>
    </row>
    <row r="478" spans="1:3" x14ac:dyDescent="0.35">
      <c r="A478" s="6">
        <v>81346</v>
      </c>
      <c r="B478" s="6" t="s">
        <v>3867</v>
      </c>
      <c r="C478" s="6">
        <v>1687</v>
      </c>
    </row>
    <row r="479" spans="1:3" x14ac:dyDescent="0.35">
      <c r="A479" s="6">
        <v>81347</v>
      </c>
      <c r="B479" s="6" t="s">
        <v>3867</v>
      </c>
      <c r="C479" s="6">
        <v>1691</v>
      </c>
    </row>
    <row r="480" spans="1:3" x14ac:dyDescent="0.35">
      <c r="A480" s="6">
        <v>81348</v>
      </c>
      <c r="B480" s="6" t="s">
        <v>3822</v>
      </c>
      <c r="C480" s="6">
        <v>1084</v>
      </c>
    </row>
    <row r="481" spans="1:3" x14ac:dyDescent="0.35">
      <c r="A481" s="6">
        <v>81349</v>
      </c>
      <c r="B481" s="6" t="s">
        <v>3822</v>
      </c>
      <c r="C481" s="6">
        <v>1463</v>
      </c>
    </row>
    <row r="482" spans="1:3" x14ac:dyDescent="0.35">
      <c r="A482" s="6">
        <v>81350</v>
      </c>
      <c r="B482" s="6" t="s">
        <v>3937</v>
      </c>
      <c r="C482" s="6">
        <v>1092</v>
      </c>
    </row>
    <row r="483" spans="1:3" x14ac:dyDescent="0.35">
      <c r="A483" s="6">
        <v>81351</v>
      </c>
      <c r="B483" s="6" t="s">
        <v>3822</v>
      </c>
      <c r="C483" s="6">
        <v>1502</v>
      </c>
    </row>
    <row r="484" spans="1:3" x14ac:dyDescent="0.35">
      <c r="A484" s="6">
        <v>81352</v>
      </c>
      <c r="B484" s="6" t="s">
        <v>3822</v>
      </c>
      <c r="C484" s="6">
        <v>1082</v>
      </c>
    </row>
    <row r="485" spans="1:3" x14ac:dyDescent="0.35">
      <c r="A485" s="6">
        <v>81353</v>
      </c>
      <c r="B485" s="6" t="s">
        <v>3899</v>
      </c>
      <c r="C485" s="6">
        <v>8</v>
      </c>
    </row>
    <row r="486" spans="1:3" x14ac:dyDescent="0.35">
      <c r="A486" s="6">
        <v>81354</v>
      </c>
      <c r="B486" s="6" t="s">
        <v>3822</v>
      </c>
      <c r="C486" s="6">
        <v>1087</v>
      </c>
    </row>
    <row r="487" spans="1:3" x14ac:dyDescent="0.35">
      <c r="A487" s="6">
        <v>81355</v>
      </c>
      <c r="B487" s="6" t="s">
        <v>3937</v>
      </c>
      <c r="C487" s="6">
        <v>1090</v>
      </c>
    </row>
    <row r="488" spans="1:3" x14ac:dyDescent="0.35">
      <c r="A488" s="6">
        <v>81356</v>
      </c>
      <c r="B488" s="6" t="s">
        <v>3946</v>
      </c>
      <c r="C488" s="6">
        <v>3288</v>
      </c>
    </row>
    <row r="489" spans="1:3" x14ac:dyDescent="0.35">
      <c r="A489" s="6">
        <v>81357</v>
      </c>
      <c r="B489" s="6" t="s">
        <v>3946</v>
      </c>
      <c r="C489" s="6">
        <v>3328</v>
      </c>
    </row>
    <row r="490" spans="1:3" x14ac:dyDescent="0.35">
      <c r="A490" s="6">
        <v>81358</v>
      </c>
      <c r="B490" s="6" t="s">
        <v>3947</v>
      </c>
      <c r="C490" s="6">
        <v>2656</v>
      </c>
    </row>
    <row r="491" spans="1:3" x14ac:dyDescent="0.35">
      <c r="A491" s="6">
        <v>81359</v>
      </c>
      <c r="B491" s="6" t="s">
        <v>3876</v>
      </c>
      <c r="C491" s="6">
        <v>1588</v>
      </c>
    </row>
    <row r="492" spans="1:3" x14ac:dyDescent="0.35">
      <c r="A492" s="6">
        <v>81360</v>
      </c>
      <c r="B492" s="6" t="s">
        <v>3827</v>
      </c>
      <c r="C492" s="6">
        <v>2183</v>
      </c>
    </row>
    <row r="493" spans="1:3" x14ac:dyDescent="0.35">
      <c r="A493" s="6">
        <v>81361</v>
      </c>
      <c r="B493" s="6" t="s">
        <v>3948</v>
      </c>
      <c r="C493" s="6">
        <v>2082</v>
      </c>
    </row>
    <row r="494" spans="1:3" x14ac:dyDescent="0.35">
      <c r="A494" s="6">
        <v>81362</v>
      </c>
      <c r="B494" s="6" t="s">
        <v>3949</v>
      </c>
      <c r="C494" s="6">
        <v>1630</v>
      </c>
    </row>
    <row r="495" spans="1:3" x14ac:dyDescent="0.35">
      <c r="A495" s="6">
        <v>81363</v>
      </c>
      <c r="B495" s="6" t="s">
        <v>3822</v>
      </c>
      <c r="C495" s="6">
        <v>2023</v>
      </c>
    </row>
    <row r="496" spans="1:3" x14ac:dyDescent="0.35">
      <c r="A496" s="6">
        <v>81364</v>
      </c>
      <c r="B496" s="6" t="s">
        <v>3822</v>
      </c>
      <c r="C496" s="6">
        <v>3331</v>
      </c>
    </row>
    <row r="497" spans="1:3" x14ac:dyDescent="0.35">
      <c r="A497" s="6">
        <v>81365</v>
      </c>
      <c r="B497" s="6" t="s">
        <v>3822</v>
      </c>
      <c r="C497" s="6">
        <v>1086</v>
      </c>
    </row>
    <row r="498" spans="1:3" x14ac:dyDescent="0.35">
      <c r="A498" s="6">
        <v>81366</v>
      </c>
      <c r="B498" s="6" t="s">
        <v>3843</v>
      </c>
      <c r="C498" s="6">
        <v>1964</v>
      </c>
    </row>
    <row r="499" spans="1:3" x14ac:dyDescent="0.35">
      <c r="A499" s="6">
        <v>81367</v>
      </c>
      <c r="B499" s="6" t="s">
        <v>3843</v>
      </c>
      <c r="C499" s="6">
        <v>1793</v>
      </c>
    </row>
    <row r="500" spans="1:3" x14ac:dyDescent="0.35">
      <c r="A500" s="6">
        <v>81368</v>
      </c>
      <c r="B500" s="6" t="s">
        <v>3843</v>
      </c>
      <c r="C500" s="6">
        <v>3459</v>
      </c>
    </row>
    <row r="501" spans="1:3" x14ac:dyDescent="0.35">
      <c r="A501" s="6">
        <v>81369</v>
      </c>
      <c r="B501" s="6" t="s">
        <v>3843</v>
      </c>
      <c r="C501" s="6">
        <v>1797</v>
      </c>
    </row>
    <row r="502" spans="1:3" x14ac:dyDescent="0.35">
      <c r="A502" s="6">
        <v>81370</v>
      </c>
      <c r="B502" s="6" t="s">
        <v>3843</v>
      </c>
      <c r="C502" s="6">
        <v>1799</v>
      </c>
    </row>
    <row r="503" spans="1:3" x14ac:dyDescent="0.35">
      <c r="A503" s="6">
        <v>81371</v>
      </c>
      <c r="B503" s="6" t="s">
        <v>3843</v>
      </c>
      <c r="C503" s="6">
        <v>1801</v>
      </c>
    </row>
    <row r="504" spans="1:3" x14ac:dyDescent="0.35">
      <c r="A504" s="6">
        <v>81372</v>
      </c>
      <c r="B504" s="6" t="s">
        <v>3843</v>
      </c>
      <c r="C504" s="6">
        <v>1803</v>
      </c>
    </row>
    <row r="505" spans="1:3" x14ac:dyDescent="0.35">
      <c r="A505" s="6">
        <v>81373</v>
      </c>
      <c r="B505" s="6" t="s">
        <v>3881</v>
      </c>
      <c r="C505" s="6">
        <v>1600</v>
      </c>
    </row>
    <row r="506" spans="1:3" x14ac:dyDescent="0.35">
      <c r="A506" s="6">
        <v>81374</v>
      </c>
      <c r="B506" s="6" t="s">
        <v>3882</v>
      </c>
      <c r="C506" s="6">
        <v>1634</v>
      </c>
    </row>
    <row r="507" spans="1:3" x14ac:dyDescent="0.35">
      <c r="A507" s="6">
        <v>81375</v>
      </c>
      <c r="B507" s="6" t="s">
        <v>3899</v>
      </c>
      <c r="C507" s="6">
        <v>6</v>
      </c>
    </row>
    <row r="508" spans="1:3" x14ac:dyDescent="0.35">
      <c r="A508" s="6">
        <v>81376</v>
      </c>
      <c r="B508" s="6" t="s">
        <v>3937</v>
      </c>
      <c r="C508" s="6">
        <v>3122</v>
      </c>
    </row>
    <row r="509" spans="1:3" x14ac:dyDescent="0.35">
      <c r="A509" s="6">
        <v>81377</v>
      </c>
      <c r="B509" s="6" t="s">
        <v>3889</v>
      </c>
      <c r="C509" s="6">
        <v>1524</v>
      </c>
    </row>
    <row r="510" spans="1:3" x14ac:dyDescent="0.35">
      <c r="A510" s="6">
        <v>81378</v>
      </c>
      <c r="B510" s="6" t="s">
        <v>3847</v>
      </c>
      <c r="C510" s="6">
        <v>20</v>
      </c>
    </row>
    <row r="511" spans="1:3" x14ac:dyDescent="0.35">
      <c r="A511" s="6">
        <v>81379</v>
      </c>
      <c r="B511" s="6" t="s">
        <v>3847</v>
      </c>
      <c r="C511" s="6">
        <v>21</v>
      </c>
    </row>
    <row r="512" spans="1:3" x14ac:dyDescent="0.35">
      <c r="A512" s="6">
        <v>81380</v>
      </c>
      <c r="B512" s="6" t="s">
        <v>3847</v>
      </c>
      <c r="C512" s="6">
        <v>1876</v>
      </c>
    </row>
    <row r="513" spans="1:3" x14ac:dyDescent="0.35">
      <c r="A513" s="6">
        <v>81381</v>
      </c>
      <c r="B513" s="6" t="s">
        <v>3843</v>
      </c>
      <c r="C513" s="6">
        <v>1787</v>
      </c>
    </row>
    <row r="514" spans="1:3" x14ac:dyDescent="0.35">
      <c r="A514" s="6">
        <v>81382</v>
      </c>
      <c r="B514" s="6" t="s">
        <v>3843</v>
      </c>
      <c r="C514" s="6">
        <v>2412</v>
      </c>
    </row>
    <row r="515" spans="1:3" x14ac:dyDescent="0.35">
      <c r="A515" s="6">
        <v>81383</v>
      </c>
      <c r="B515" s="6" t="s">
        <v>3843</v>
      </c>
      <c r="C515" s="6">
        <v>4466</v>
      </c>
    </row>
    <row r="516" spans="1:3" x14ac:dyDescent="0.35">
      <c r="A516" s="6">
        <v>81384</v>
      </c>
      <c r="B516" s="6" t="s">
        <v>3843</v>
      </c>
      <c r="C516" s="6">
        <v>1789</v>
      </c>
    </row>
    <row r="517" spans="1:3" x14ac:dyDescent="0.35">
      <c r="A517" s="6">
        <v>81385</v>
      </c>
      <c r="B517" s="6" t="s">
        <v>3829</v>
      </c>
      <c r="C517" s="6">
        <v>1542</v>
      </c>
    </row>
    <row r="518" spans="1:3" x14ac:dyDescent="0.35">
      <c r="A518" s="6">
        <v>81386</v>
      </c>
      <c r="B518" s="6" t="s">
        <v>3829</v>
      </c>
      <c r="C518" s="6">
        <v>1544</v>
      </c>
    </row>
    <row r="519" spans="1:3" x14ac:dyDescent="0.35">
      <c r="A519" s="6">
        <v>81387</v>
      </c>
      <c r="B519" s="6" t="s">
        <v>3950</v>
      </c>
      <c r="C519" s="6">
        <v>3225</v>
      </c>
    </row>
    <row r="520" spans="1:3" x14ac:dyDescent="0.35">
      <c r="A520" s="6">
        <v>81388</v>
      </c>
      <c r="B520" s="6" t="s">
        <v>3830</v>
      </c>
      <c r="C520" s="6">
        <v>1</v>
      </c>
    </row>
    <row r="521" spans="1:3" x14ac:dyDescent="0.35">
      <c r="A521" s="6">
        <v>81389</v>
      </c>
      <c r="B521" s="6" t="s">
        <v>3831</v>
      </c>
      <c r="C521" s="6">
        <v>1628</v>
      </c>
    </row>
    <row r="522" spans="1:3" x14ac:dyDescent="0.35">
      <c r="A522" s="6">
        <v>81390</v>
      </c>
      <c r="B522" s="6" t="s">
        <v>3951</v>
      </c>
      <c r="C522" s="6">
        <v>2402</v>
      </c>
    </row>
    <row r="523" spans="1:3" x14ac:dyDescent="0.35">
      <c r="A523" s="6">
        <v>81391</v>
      </c>
      <c r="B523" s="6" t="s">
        <v>3951</v>
      </c>
      <c r="C523" s="6">
        <v>2404</v>
      </c>
    </row>
    <row r="524" spans="1:3" x14ac:dyDescent="0.35">
      <c r="A524" s="6">
        <v>81392</v>
      </c>
      <c r="B524" s="6" t="s">
        <v>3832</v>
      </c>
      <c r="C524" s="6">
        <v>1570</v>
      </c>
    </row>
    <row r="525" spans="1:3" x14ac:dyDescent="0.35">
      <c r="A525" s="6">
        <v>81393</v>
      </c>
      <c r="B525" s="6" t="s">
        <v>3832</v>
      </c>
      <c r="C525" s="6">
        <v>1578</v>
      </c>
    </row>
    <row r="526" spans="1:3" x14ac:dyDescent="0.35">
      <c r="A526" s="6">
        <v>81394</v>
      </c>
      <c r="B526" s="6" t="s">
        <v>3863</v>
      </c>
      <c r="C526" s="6">
        <v>26</v>
      </c>
    </row>
    <row r="527" spans="1:3" x14ac:dyDescent="0.35">
      <c r="A527" s="6">
        <v>81395</v>
      </c>
      <c r="B527" s="6" t="s">
        <v>3880</v>
      </c>
      <c r="C527" s="6">
        <v>1528</v>
      </c>
    </row>
    <row r="528" spans="1:3" x14ac:dyDescent="0.35">
      <c r="A528" s="6">
        <v>81396</v>
      </c>
      <c r="B528" s="6" t="s">
        <v>3829</v>
      </c>
      <c r="C528" s="6">
        <v>1536</v>
      </c>
    </row>
    <row r="529" spans="1:3" x14ac:dyDescent="0.35">
      <c r="A529" s="6">
        <v>81397</v>
      </c>
      <c r="B529" s="6" t="s">
        <v>3834</v>
      </c>
      <c r="C529" s="6">
        <v>2122</v>
      </c>
    </row>
    <row r="530" spans="1:3" x14ac:dyDescent="0.35">
      <c r="A530" s="6">
        <v>81398</v>
      </c>
      <c r="B530" s="6" t="s">
        <v>3884</v>
      </c>
      <c r="C530" s="6">
        <v>1598</v>
      </c>
    </row>
    <row r="531" spans="1:3" x14ac:dyDescent="0.35">
      <c r="A531" s="6">
        <v>81399</v>
      </c>
      <c r="B531" s="6" t="s">
        <v>3883</v>
      </c>
      <c r="C531" s="6">
        <v>1626</v>
      </c>
    </row>
    <row r="532" spans="1:3" x14ac:dyDescent="0.35">
      <c r="A532" s="6">
        <v>81400</v>
      </c>
      <c r="B532" s="6" t="s">
        <v>3836</v>
      </c>
      <c r="C532" s="6">
        <v>1548</v>
      </c>
    </row>
    <row r="533" spans="1:3" x14ac:dyDescent="0.35">
      <c r="A533" s="6">
        <v>81401</v>
      </c>
      <c r="B533" s="6" t="s">
        <v>3952</v>
      </c>
      <c r="C533" s="6">
        <v>3290</v>
      </c>
    </row>
    <row r="534" spans="1:3" x14ac:dyDescent="0.35">
      <c r="A534" s="6">
        <v>81402</v>
      </c>
      <c r="B534" s="6" t="s">
        <v>3953</v>
      </c>
      <c r="C534" s="6">
        <v>2387</v>
      </c>
    </row>
    <row r="535" spans="1:3" x14ac:dyDescent="0.35">
      <c r="A535" s="6">
        <v>81403</v>
      </c>
      <c r="B535" s="6" t="s">
        <v>3885</v>
      </c>
      <c r="C535" s="6">
        <v>3332</v>
      </c>
    </row>
    <row r="536" spans="1:3" x14ac:dyDescent="0.35">
      <c r="A536" s="6">
        <v>81404</v>
      </c>
      <c r="B536" s="6" t="s">
        <v>3954</v>
      </c>
      <c r="C536" s="6">
        <v>2746</v>
      </c>
    </row>
    <row r="537" spans="1:3" x14ac:dyDescent="0.35">
      <c r="A537" s="6">
        <v>81405</v>
      </c>
      <c r="B537" s="6" t="s">
        <v>3897</v>
      </c>
      <c r="C537" s="6">
        <v>1554</v>
      </c>
    </row>
    <row r="538" spans="1:3" x14ac:dyDescent="0.35">
      <c r="A538" s="6">
        <v>81406</v>
      </c>
      <c r="B538" s="6" t="s">
        <v>3811</v>
      </c>
      <c r="C538" s="6">
        <v>2942</v>
      </c>
    </row>
    <row r="539" spans="1:3" x14ac:dyDescent="0.35">
      <c r="A539" s="6">
        <v>81407</v>
      </c>
      <c r="B539" s="6" t="s">
        <v>3811</v>
      </c>
      <c r="C539" s="6">
        <v>1122</v>
      </c>
    </row>
    <row r="540" spans="1:3" x14ac:dyDescent="0.35">
      <c r="A540" s="6">
        <v>81408</v>
      </c>
      <c r="B540" s="6" t="s">
        <v>3843</v>
      </c>
      <c r="C540" s="6">
        <v>1805</v>
      </c>
    </row>
    <row r="541" spans="1:3" x14ac:dyDescent="0.35">
      <c r="A541" s="6">
        <v>81409</v>
      </c>
      <c r="B541" s="6" t="s">
        <v>3843</v>
      </c>
      <c r="C541" s="6">
        <v>1807</v>
      </c>
    </row>
    <row r="542" spans="1:3" x14ac:dyDescent="0.35">
      <c r="A542" s="6">
        <v>81410</v>
      </c>
      <c r="B542" s="6" t="s">
        <v>3955</v>
      </c>
      <c r="C542" s="6">
        <v>1302</v>
      </c>
    </row>
    <row r="543" spans="1:3" x14ac:dyDescent="0.35">
      <c r="A543" s="6">
        <v>81411</v>
      </c>
      <c r="B543" s="6" t="s">
        <v>3891</v>
      </c>
      <c r="C543" s="6">
        <v>2424</v>
      </c>
    </row>
    <row r="544" spans="1:3" x14ac:dyDescent="0.35">
      <c r="A544" s="6">
        <v>81412</v>
      </c>
      <c r="B544" s="6" t="s">
        <v>3894</v>
      </c>
      <c r="C544" s="6">
        <v>1602</v>
      </c>
    </row>
    <row r="545" spans="1:3" x14ac:dyDescent="0.35">
      <c r="A545" s="6">
        <v>81413</v>
      </c>
      <c r="B545" s="6" t="s">
        <v>3844</v>
      </c>
      <c r="C545" s="6">
        <v>1650</v>
      </c>
    </row>
    <row r="546" spans="1:3" x14ac:dyDescent="0.35">
      <c r="A546" s="6">
        <v>81414</v>
      </c>
      <c r="B546" s="6" t="s">
        <v>3838</v>
      </c>
      <c r="C546" s="6">
        <v>2692</v>
      </c>
    </row>
    <row r="547" spans="1:3" x14ac:dyDescent="0.35">
      <c r="A547" s="6">
        <v>81415</v>
      </c>
      <c r="B547" s="6" t="s">
        <v>3956</v>
      </c>
      <c r="C547" s="6">
        <v>2426</v>
      </c>
    </row>
    <row r="548" spans="1:3" x14ac:dyDescent="0.35">
      <c r="A548" s="6">
        <v>81416</v>
      </c>
      <c r="B548" s="6" t="s">
        <v>3957</v>
      </c>
      <c r="C548" s="6">
        <v>31</v>
      </c>
    </row>
    <row r="549" spans="1:3" x14ac:dyDescent="0.35">
      <c r="A549" s="6">
        <v>81417</v>
      </c>
      <c r="B549" s="6" t="s">
        <v>3840</v>
      </c>
      <c r="C549" s="6">
        <v>1522</v>
      </c>
    </row>
    <row r="550" spans="1:3" x14ac:dyDescent="0.35">
      <c r="A550" s="6">
        <v>81418</v>
      </c>
      <c r="B550" s="6" t="s">
        <v>3840</v>
      </c>
      <c r="C550" s="6">
        <v>1021</v>
      </c>
    </row>
    <row r="551" spans="1:3" x14ac:dyDescent="0.35">
      <c r="A551" s="6">
        <v>81419</v>
      </c>
      <c r="B551" s="6" t="s">
        <v>3840</v>
      </c>
      <c r="C551" s="6">
        <v>1042</v>
      </c>
    </row>
    <row r="552" spans="1:3" x14ac:dyDescent="0.35">
      <c r="A552" s="6">
        <v>81420</v>
      </c>
      <c r="B552" s="6" t="s">
        <v>3851</v>
      </c>
      <c r="C552" s="6">
        <v>2282</v>
      </c>
    </row>
    <row r="553" spans="1:3" x14ac:dyDescent="0.35">
      <c r="A553" s="6">
        <v>81421</v>
      </c>
      <c r="B553" s="6" t="s">
        <v>3888</v>
      </c>
      <c r="C553" s="6">
        <v>2372</v>
      </c>
    </row>
    <row r="554" spans="1:3" x14ac:dyDescent="0.35">
      <c r="A554" s="6">
        <v>81422</v>
      </c>
      <c r="B554" s="6" t="s">
        <v>3888</v>
      </c>
      <c r="C554" s="6">
        <v>2666</v>
      </c>
    </row>
    <row r="555" spans="1:3" x14ac:dyDescent="0.35">
      <c r="A555" s="6">
        <v>81423</v>
      </c>
      <c r="B555" s="6" t="s">
        <v>3888</v>
      </c>
      <c r="C555" s="6">
        <v>3397</v>
      </c>
    </row>
    <row r="556" spans="1:3" x14ac:dyDescent="0.35">
      <c r="A556" s="6">
        <v>81424</v>
      </c>
      <c r="B556" s="6" t="s">
        <v>3888</v>
      </c>
      <c r="C556" s="6">
        <v>2667</v>
      </c>
    </row>
    <row r="557" spans="1:3" x14ac:dyDescent="0.35">
      <c r="A557" s="6">
        <v>81425</v>
      </c>
      <c r="B557" s="6" t="s">
        <v>3837</v>
      </c>
      <c r="C557" s="6">
        <v>1262</v>
      </c>
    </row>
    <row r="558" spans="1:3" x14ac:dyDescent="0.35">
      <c r="A558" s="6">
        <v>81426</v>
      </c>
      <c r="B558" s="6" t="s">
        <v>3958</v>
      </c>
      <c r="C558" s="6">
        <v>3726</v>
      </c>
    </row>
    <row r="559" spans="1:3" x14ac:dyDescent="0.35">
      <c r="A559" s="6">
        <v>81427</v>
      </c>
      <c r="B559" s="6" t="s">
        <v>3809</v>
      </c>
      <c r="C559" s="6">
        <v>4870</v>
      </c>
    </row>
    <row r="560" spans="1:3" x14ac:dyDescent="0.35">
      <c r="A560" s="6">
        <v>81428</v>
      </c>
      <c r="B560" s="6" t="s">
        <v>3892</v>
      </c>
      <c r="C560" s="6">
        <v>4829</v>
      </c>
    </row>
    <row r="561" spans="1:3" x14ac:dyDescent="0.35">
      <c r="A561" s="6">
        <v>81429</v>
      </c>
      <c r="B561" s="6" t="s">
        <v>3815</v>
      </c>
      <c r="C561" s="6">
        <v>4408</v>
      </c>
    </row>
    <row r="562" spans="1:3" x14ac:dyDescent="0.35">
      <c r="A562" s="6">
        <v>81430</v>
      </c>
      <c r="B562" s="6" t="s">
        <v>3959</v>
      </c>
      <c r="C562" s="6">
        <v>3304</v>
      </c>
    </row>
    <row r="563" spans="1:3" x14ac:dyDescent="0.35">
      <c r="A563" s="6">
        <v>81431</v>
      </c>
      <c r="B563" s="6" t="s">
        <v>3843</v>
      </c>
      <c r="C563" s="6">
        <v>1795</v>
      </c>
    </row>
    <row r="564" spans="1:3" x14ac:dyDescent="0.35">
      <c r="A564" s="6">
        <v>81432</v>
      </c>
      <c r="B564" s="6" t="s">
        <v>3815</v>
      </c>
      <c r="C564" s="6">
        <v>4246</v>
      </c>
    </row>
    <row r="565" spans="1:3" x14ac:dyDescent="0.35">
      <c r="A565" s="6">
        <v>81433</v>
      </c>
      <c r="B565" s="6" t="s">
        <v>3871</v>
      </c>
      <c r="C565" s="6">
        <v>3605</v>
      </c>
    </row>
    <row r="566" spans="1:3" x14ac:dyDescent="0.35">
      <c r="A566" s="6">
        <v>81434</v>
      </c>
      <c r="B566" s="6" t="s">
        <v>3866</v>
      </c>
      <c r="C566" s="6">
        <v>25</v>
      </c>
    </row>
    <row r="567" spans="1:3" x14ac:dyDescent="0.35">
      <c r="A567" s="6">
        <v>81435</v>
      </c>
      <c r="B567" s="6" t="s">
        <v>3960</v>
      </c>
      <c r="C567" s="6">
        <v>4869</v>
      </c>
    </row>
    <row r="568" spans="1:3" x14ac:dyDescent="0.35">
      <c r="A568" s="6">
        <v>81436</v>
      </c>
      <c r="B568" s="6" t="s">
        <v>3888</v>
      </c>
      <c r="C568" s="6">
        <v>4126</v>
      </c>
    </row>
    <row r="569" spans="1:3" x14ac:dyDescent="0.35">
      <c r="A569" s="6">
        <v>81437</v>
      </c>
      <c r="B569" s="6" t="s">
        <v>3815</v>
      </c>
      <c r="C569" s="6">
        <v>4407</v>
      </c>
    </row>
    <row r="570" spans="1:3" x14ac:dyDescent="0.35">
      <c r="A570" s="6">
        <v>81438</v>
      </c>
      <c r="B570" s="6" t="s">
        <v>3886</v>
      </c>
      <c r="C570" s="6">
        <v>4807</v>
      </c>
    </row>
    <row r="571" spans="1:3" x14ac:dyDescent="0.35">
      <c r="A571" s="6">
        <v>81439</v>
      </c>
      <c r="B571" s="6" t="s">
        <v>3866</v>
      </c>
      <c r="C571" s="6">
        <v>4346</v>
      </c>
    </row>
    <row r="572" spans="1:3" x14ac:dyDescent="0.35">
      <c r="A572" s="6">
        <v>81440</v>
      </c>
      <c r="B572" s="6" t="s">
        <v>3815</v>
      </c>
      <c r="C572" s="6">
        <v>4411</v>
      </c>
    </row>
    <row r="573" spans="1:3" x14ac:dyDescent="0.35">
      <c r="A573" s="6">
        <v>81441</v>
      </c>
      <c r="B573" s="6" t="s">
        <v>3961</v>
      </c>
      <c r="C573" s="6">
        <v>4086</v>
      </c>
    </row>
    <row r="574" spans="1:3" x14ac:dyDescent="0.35">
      <c r="A574" s="6">
        <v>81442</v>
      </c>
      <c r="B574" s="6" t="s">
        <v>3822</v>
      </c>
      <c r="C574" s="6">
        <v>3293</v>
      </c>
    </row>
    <row r="575" spans="1:3" x14ac:dyDescent="0.35">
      <c r="A575" s="6">
        <v>81443</v>
      </c>
      <c r="B575" s="6" t="s">
        <v>3872</v>
      </c>
      <c r="C575" s="6">
        <v>3580</v>
      </c>
    </row>
    <row r="576" spans="1:3" x14ac:dyDescent="0.35">
      <c r="A576" s="6">
        <v>81444</v>
      </c>
      <c r="B576" s="6" t="s">
        <v>3815</v>
      </c>
      <c r="C576" s="6">
        <v>4406</v>
      </c>
    </row>
    <row r="577" spans="1:3" x14ac:dyDescent="0.35">
      <c r="A577" s="6">
        <v>81445</v>
      </c>
      <c r="B577" s="6" t="s">
        <v>3925</v>
      </c>
      <c r="C577" s="6">
        <v>4686</v>
      </c>
    </row>
    <row r="578" spans="1:3" x14ac:dyDescent="0.35">
      <c r="A578" s="6">
        <v>81446</v>
      </c>
      <c r="B578" s="6" t="s">
        <v>3854</v>
      </c>
      <c r="C578" s="6">
        <v>3588</v>
      </c>
    </row>
    <row r="579" spans="1:3" x14ac:dyDescent="0.35">
      <c r="A579" s="6">
        <v>81447</v>
      </c>
      <c r="B579" s="6" t="s">
        <v>3822</v>
      </c>
      <c r="C579" s="6">
        <v>4647</v>
      </c>
    </row>
    <row r="580" spans="1:3" x14ac:dyDescent="0.35">
      <c r="A580" s="6">
        <v>81448</v>
      </c>
      <c r="B580" s="6" t="s">
        <v>3822</v>
      </c>
      <c r="C580" s="6">
        <v>4646</v>
      </c>
    </row>
    <row r="581" spans="1:3" x14ac:dyDescent="0.35">
      <c r="A581" s="6">
        <v>81449</v>
      </c>
      <c r="B581" s="6" t="s">
        <v>3822</v>
      </c>
      <c r="C581" s="6">
        <v>4626</v>
      </c>
    </row>
    <row r="582" spans="1:3" x14ac:dyDescent="0.35">
      <c r="A582" s="6">
        <v>81450</v>
      </c>
      <c r="B582" s="6" t="s">
        <v>3866</v>
      </c>
      <c r="C582" s="6">
        <v>4566</v>
      </c>
    </row>
    <row r="583" spans="1:3" x14ac:dyDescent="0.35">
      <c r="A583" s="6">
        <v>81451</v>
      </c>
      <c r="B583" s="6" t="s">
        <v>3950</v>
      </c>
      <c r="C583" s="6">
        <v>3535</v>
      </c>
    </row>
    <row r="584" spans="1:3" x14ac:dyDescent="0.35">
      <c r="A584" s="6">
        <v>81452</v>
      </c>
      <c r="B584" s="6" t="s">
        <v>3859</v>
      </c>
      <c r="C584" s="6">
        <v>3579</v>
      </c>
    </row>
    <row r="585" spans="1:3" x14ac:dyDescent="0.35">
      <c r="A585" s="6">
        <v>81453</v>
      </c>
      <c r="B585" s="6" t="s">
        <v>3962</v>
      </c>
      <c r="C585" s="6">
        <v>3142</v>
      </c>
    </row>
    <row r="586" spans="1:3" x14ac:dyDescent="0.35">
      <c r="A586" s="6">
        <v>81454</v>
      </c>
      <c r="B586" s="6" t="s">
        <v>3866</v>
      </c>
      <c r="C586" s="6">
        <v>4587</v>
      </c>
    </row>
    <row r="587" spans="1:3" x14ac:dyDescent="0.35">
      <c r="A587" s="6">
        <v>81455</v>
      </c>
      <c r="B587" s="6" t="s">
        <v>3963</v>
      </c>
      <c r="C587" s="6">
        <v>3574</v>
      </c>
    </row>
    <row r="588" spans="1:3" x14ac:dyDescent="0.35">
      <c r="A588" s="6">
        <v>81456</v>
      </c>
      <c r="B588" s="6" t="s">
        <v>3865</v>
      </c>
      <c r="C588" s="6">
        <v>3586</v>
      </c>
    </row>
    <row r="589" spans="1:3" x14ac:dyDescent="0.35">
      <c r="A589" s="6">
        <v>81457</v>
      </c>
      <c r="B589" s="6" t="s">
        <v>3875</v>
      </c>
      <c r="C589" s="6">
        <v>4366</v>
      </c>
    </row>
    <row r="590" spans="1:3" x14ac:dyDescent="0.35">
      <c r="A590" s="6">
        <v>81458</v>
      </c>
      <c r="B590" s="6" t="s">
        <v>3909</v>
      </c>
      <c r="C590" s="6">
        <v>3542</v>
      </c>
    </row>
    <row r="591" spans="1:3" x14ac:dyDescent="0.35">
      <c r="A591" s="6">
        <v>81459</v>
      </c>
      <c r="B591" s="6" t="s">
        <v>3815</v>
      </c>
      <c r="C591" s="6">
        <v>4410</v>
      </c>
    </row>
    <row r="592" spans="1:3" x14ac:dyDescent="0.35">
      <c r="A592" s="6">
        <v>81460</v>
      </c>
      <c r="B592" s="6" t="s">
        <v>3815</v>
      </c>
      <c r="C592" s="6">
        <v>4306</v>
      </c>
    </row>
    <row r="593" spans="1:3" x14ac:dyDescent="0.35">
      <c r="A593" s="6">
        <v>81461</v>
      </c>
      <c r="B593" s="6" t="s">
        <v>3843</v>
      </c>
      <c r="C593" s="6">
        <v>3095</v>
      </c>
    </row>
    <row r="594" spans="1:3" x14ac:dyDescent="0.35">
      <c r="A594" s="6">
        <v>81462</v>
      </c>
      <c r="B594" s="6" t="s">
        <v>3839</v>
      </c>
      <c r="C594" s="6">
        <v>1526</v>
      </c>
    </row>
    <row r="595" spans="1:3" x14ac:dyDescent="0.35">
      <c r="A595" s="6">
        <v>81463</v>
      </c>
      <c r="B595" s="6" t="s">
        <v>3815</v>
      </c>
      <c r="C595" s="6">
        <v>4409</v>
      </c>
    </row>
    <row r="596" spans="1:3" x14ac:dyDescent="0.35">
      <c r="A596" s="6">
        <v>81464</v>
      </c>
      <c r="B596" s="6" t="s">
        <v>3935</v>
      </c>
      <c r="C596" s="6">
        <v>4586</v>
      </c>
    </row>
    <row r="597" spans="1:3" x14ac:dyDescent="0.35">
      <c r="A597" s="6">
        <v>81465</v>
      </c>
      <c r="B597" s="6" t="s">
        <v>3964</v>
      </c>
      <c r="C597" s="6">
        <v>3548</v>
      </c>
    </row>
    <row r="598" spans="1:3" x14ac:dyDescent="0.35">
      <c r="A598" s="6">
        <v>81466</v>
      </c>
      <c r="B598" s="6" t="s">
        <v>3965</v>
      </c>
      <c r="C598" s="6">
        <v>3325</v>
      </c>
    </row>
    <row r="599" spans="1:3" x14ac:dyDescent="0.35">
      <c r="A599" s="6">
        <v>81467</v>
      </c>
      <c r="B599" s="6" t="s">
        <v>3966</v>
      </c>
      <c r="C599" s="6">
        <v>3324</v>
      </c>
    </row>
    <row r="600" spans="1:3" x14ac:dyDescent="0.35">
      <c r="A600" s="6">
        <v>81468</v>
      </c>
      <c r="B600" s="6" t="s">
        <v>3807</v>
      </c>
      <c r="C600" s="6">
        <v>3581</v>
      </c>
    </row>
    <row r="601" spans="1:3" x14ac:dyDescent="0.35">
      <c r="A601" s="6">
        <v>81469</v>
      </c>
      <c r="B601" s="6" t="s">
        <v>3867</v>
      </c>
      <c r="C601" s="6">
        <v>3786</v>
      </c>
    </row>
    <row r="602" spans="1:3" x14ac:dyDescent="0.35">
      <c r="A602" s="6">
        <v>81470</v>
      </c>
      <c r="B602" s="6" t="s">
        <v>3867</v>
      </c>
      <c r="C602" s="6">
        <v>3866</v>
      </c>
    </row>
    <row r="603" spans="1:3" x14ac:dyDescent="0.35">
      <c r="A603" s="6">
        <v>81471</v>
      </c>
      <c r="B603" s="6" t="s">
        <v>3867</v>
      </c>
      <c r="C603" s="6">
        <v>3627</v>
      </c>
    </row>
    <row r="604" spans="1:3" x14ac:dyDescent="0.35">
      <c r="A604" s="6">
        <v>81472</v>
      </c>
      <c r="B604" s="6" t="s">
        <v>3926</v>
      </c>
      <c r="C604" s="6">
        <v>4266</v>
      </c>
    </row>
    <row r="605" spans="1:3" x14ac:dyDescent="0.35">
      <c r="A605" s="6">
        <v>81473</v>
      </c>
      <c r="B605" s="6" t="s">
        <v>3822</v>
      </c>
      <c r="C605" s="6">
        <v>4878</v>
      </c>
    </row>
    <row r="606" spans="1:3" x14ac:dyDescent="0.35">
      <c r="A606" s="6">
        <v>81474</v>
      </c>
      <c r="B606" s="6" t="s">
        <v>3822</v>
      </c>
      <c r="C606" s="6">
        <v>4879</v>
      </c>
    </row>
    <row r="607" spans="1:3" x14ac:dyDescent="0.35">
      <c r="A607" s="6">
        <v>81475</v>
      </c>
      <c r="B607" s="6" t="s">
        <v>3822</v>
      </c>
      <c r="C607" s="6">
        <v>4876</v>
      </c>
    </row>
    <row r="608" spans="1:3" x14ac:dyDescent="0.35">
      <c r="A608" s="6">
        <v>81476</v>
      </c>
      <c r="B608" s="6" t="s">
        <v>3822</v>
      </c>
      <c r="C608" s="6">
        <v>4877</v>
      </c>
    </row>
    <row r="609" spans="1:3" x14ac:dyDescent="0.35">
      <c r="A609" s="6">
        <v>81477</v>
      </c>
      <c r="B609" s="6" t="s">
        <v>3822</v>
      </c>
      <c r="C609" s="6">
        <v>4916</v>
      </c>
    </row>
    <row r="610" spans="1:3" x14ac:dyDescent="0.35">
      <c r="A610" s="6">
        <v>81478</v>
      </c>
      <c r="B610" s="6" t="s">
        <v>3822</v>
      </c>
      <c r="C610" s="6">
        <v>4917</v>
      </c>
    </row>
    <row r="611" spans="1:3" x14ac:dyDescent="0.35">
      <c r="A611" s="6">
        <v>81479</v>
      </c>
      <c r="B611" s="6" t="s">
        <v>3822</v>
      </c>
      <c r="C611" s="6">
        <v>4918</v>
      </c>
    </row>
    <row r="612" spans="1:3" x14ac:dyDescent="0.35">
      <c r="A612" s="6">
        <v>81480</v>
      </c>
      <c r="B612" s="6" t="s">
        <v>3822</v>
      </c>
      <c r="C612" s="6">
        <v>4936</v>
      </c>
    </row>
    <row r="613" spans="1:3" x14ac:dyDescent="0.35">
      <c r="A613" s="6">
        <v>81481</v>
      </c>
      <c r="B613" s="6" t="s">
        <v>3822</v>
      </c>
      <c r="C613" s="6">
        <v>4937</v>
      </c>
    </row>
    <row r="614" spans="1:3" x14ac:dyDescent="0.35">
      <c r="A614" s="6">
        <v>81482</v>
      </c>
      <c r="B614" s="6" t="s">
        <v>3822</v>
      </c>
      <c r="C614" s="6">
        <v>4956</v>
      </c>
    </row>
    <row r="615" spans="1:3" x14ac:dyDescent="0.35">
      <c r="A615" s="6">
        <v>81483</v>
      </c>
      <c r="B615" s="6" t="s">
        <v>3875</v>
      </c>
      <c r="C615" s="6">
        <v>4977</v>
      </c>
    </row>
    <row r="616" spans="1:3" x14ac:dyDescent="0.35">
      <c r="A616" s="6">
        <v>81484</v>
      </c>
      <c r="B616" s="6" t="s">
        <v>3822</v>
      </c>
      <c r="C616" s="6">
        <v>5056</v>
      </c>
    </row>
    <row r="617" spans="1:3" x14ac:dyDescent="0.35">
      <c r="A617" s="6">
        <v>81485</v>
      </c>
      <c r="B617" s="6" t="s">
        <v>3822</v>
      </c>
      <c r="C617" s="6">
        <v>5076</v>
      </c>
    </row>
    <row r="618" spans="1:3" x14ac:dyDescent="0.35">
      <c r="A618" s="6">
        <v>81486</v>
      </c>
      <c r="B618" s="6" t="s">
        <v>3838</v>
      </c>
      <c r="C618" s="6">
        <v>8140</v>
      </c>
    </row>
    <row r="619" spans="1:3" x14ac:dyDescent="0.35">
      <c r="A619" s="6">
        <v>81487</v>
      </c>
      <c r="B619" s="6" t="s">
        <v>3967</v>
      </c>
      <c r="C619" s="6">
        <v>8441</v>
      </c>
    </row>
    <row r="620" spans="1:3" x14ac:dyDescent="0.35">
      <c r="A620" s="6">
        <v>81488</v>
      </c>
      <c r="B620" s="6" t="s">
        <v>3967</v>
      </c>
      <c r="C620" s="6">
        <v>8401</v>
      </c>
    </row>
    <row r="621" spans="1:3" x14ac:dyDescent="0.35">
      <c r="A621" s="6">
        <v>81489</v>
      </c>
      <c r="B621" s="6" t="s">
        <v>3967</v>
      </c>
      <c r="C621" s="6">
        <v>8501</v>
      </c>
    </row>
    <row r="622" spans="1:3" x14ac:dyDescent="0.35">
      <c r="A622" s="6">
        <v>81490</v>
      </c>
      <c r="B622" s="6" t="s">
        <v>3867</v>
      </c>
      <c r="C622" s="6">
        <v>9005</v>
      </c>
    </row>
    <row r="623" spans="1:3" x14ac:dyDescent="0.35">
      <c r="A623" s="6">
        <v>81491</v>
      </c>
      <c r="B623" s="6" t="s">
        <v>3954</v>
      </c>
      <c r="C623" s="6">
        <v>9009</v>
      </c>
    </row>
    <row r="624" spans="1:3" x14ac:dyDescent="0.35">
      <c r="A624" s="6">
        <v>81492</v>
      </c>
      <c r="B624" s="6" t="s">
        <v>3820</v>
      </c>
      <c r="C624" s="6">
        <v>9011</v>
      </c>
    </row>
    <row r="625" spans="1:3" x14ac:dyDescent="0.35">
      <c r="A625" s="6">
        <v>81493</v>
      </c>
      <c r="B625" s="6" t="s">
        <v>3964</v>
      </c>
      <c r="C625" s="6">
        <v>9012</v>
      </c>
    </row>
    <row r="626" spans="1:3" x14ac:dyDescent="0.35">
      <c r="A626" s="6">
        <v>81494</v>
      </c>
      <c r="B626" s="6" t="s">
        <v>3955</v>
      </c>
      <c r="C626" s="6">
        <v>9013</v>
      </c>
    </row>
    <row r="627" spans="1:3" x14ac:dyDescent="0.35">
      <c r="A627" s="6">
        <v>81495</v>
      </c>
      <c r="B627" s="6" t="s">
        <v>3834</v>
      </c>
      <c r="C627" s="6">
        <v>9014</v>
      </c>
    </row>
    <row r="628" spans="1:3" x14ac:dyDescent="0.35">
      <c r="A628" s="6">
        <v>81496</v>
      </c>
      <c r="B628" s="6" t="s">
        <v>3851</v>
      </c>
      <c r="C628" s="6">
        <v>9015</v>
      </c>
    </row>
    <row r="629" spans="1:3" x14ac:dyDescent="0.35">
      <c r="A629" s="6">
        <v>81497</v>
      </c>
      <c r="B629" s="6" t="s">
        <v>3916</v>
      </c>
      <c r="C629" s="6">
        <v>9016</v>
      </c>
    </row>
    <row r="630" spans="1:3" x14ac:dyDescent="0.35">
      <c r="A630" s="6">
        <v>81498</v>
      </c>
      <c r="B630" s="6" t="s">
        <v>3855</v>
      </c>
      <c r="C630" s="6">
        <v>9017</v>
      </c>
    </row>
    <row r="631" spans="1:3" x14ac:dyDescent="0.35">
      <c r="A631" s="6">
        <v>81499</v>
      </c>
      <c r="B631" s="6" t="s">
        <v>3905</v>
      </c>
      <c r="C631" s="6">
        <v>9018</v>
      </c>
    </row>
    <row r="632" spans="1:3" x14ac:dyDescent="0.35">
      <c r="A632" s="6">
        <v>81500</v>
      </c>
      <c r="B632" s="6" t="s">
        <v>3862</v>
      </c>
      <c r="C632" s="6">
        <v>9019</v>
      </c>
    </row>
    <row r="633" spans="1:3" x14ac:dyDescent="0.35">
      <c r="A633" s="6">
        <v>81501</v>
      </c>
      <c r="B633" s="6" t="s">
        <v>3952</v>
      </c>
      <c r="C633" s="6">
        <v>9020</v>
      </c>
    </row>
    <row r="634" spans="1:3" x14ac:dyDescent="0.35">
      <c r="A634" s="6">
        <v>81502</v>
      </c>
      <c r="B634" s="6" t="s">
        <v>3939</v>
      </c>
      <c r="C634" s="6">
        <v>9022</v>
      </c>
    </row>
    <row r="635" spans="1:3" x14ac:dyDescent="0.35">
      <c r="A635" s="6">
        <v>81503</v>
      </c>
      <c r="B635" s="6" t="s">
        <v>3953</v>
      </c>
      <c r="C635" s="6">
        <v>9023</v>
      </c>
    </row>
    <row r="636" spans="1:3" x14ac:dyDescent="0.35">
      <c r="A636" s="6">
        <v>81504</v>
      </c>
      <c r="B636" s="6" t="s">
        <v>3900</v>
      </c>
      <c r="C636" s="6">
        <v>9024</v>
      </c>
    </row>
    <row r="637" spans="1:3" x14ac:dyDescent="0.35">
      <c r="A637" s="6">
        <v>81505</v>
      </c>
      <c r="B637" s="6" t="s">
        <v>3914</v>
      </c>
      <c r="C637" s="6">
        <v>9025</v>
      </c>
    </row>
    <row r="638" spans="1:3" x14ac:dyDescent="0.35">
      <c r="A638" s="6">
        <v>81506</v>
      </c>
      <c r="B638" s="6" t="s">
        <v>3854</v>
      </c>
      <c r="C638" s="6">
        <v>9054</v>
      </c>
    </row>
    <row r="639" spans="1:3" x14ac:dyDescent="0.35">
      <c r="A639" s="6">
        <v>81507</v>
      </c>
      <c r="B639" s="6" t="s">
        <v>3941</v>
      </c>
      <c r="C639" s="6">
        <v>9026</v>
      </c>
    </row>
    <row r="640" spans="1:3" x14ac:dyDescent="0.35">
      <c r="A640" s="6">
        <v>81508</v>
      </c>
      <c r="B640" s="6" t="s">
        <v>3933</v>
      </c>
      <c r="C640" s="6">
        <v>9027</v>
      </c>
    </row>
    <row r="641" spans="1:3" x14ac:dyDescent="0.35">
      <c r="A641" s="6">
        <v>81509</v>
      </c>
      <c r="B641" s="6" t="s">
        <v>3948</v>
      </c>
      <c r="C641" s="6">
        <v>9029</v>
      </c>
    </row>
    <row r="642" spans="1:3" x14ac:dyDescent="0.35">
      <c r="A642" s="6">
        <v>81510</v>
      </c>
      <c r="B642" s="6" t="s">
        <v>3837</v>
      </c>
      <c r="C642" s="6">
        <v>9030</v>
      </c>
    </row>
    <row r="643" spans="1:3" x14ac:dyDescent="0.35">
      <c r="A643" s="6">
        <v>81511</v>
      </c>
      <c r="B643" s="6" t="s">
        <v>3921</v>
      </c>
      <c r="C643" s="6">
        <v>9031</v>
      </c>
    </row>
    <row r="644" spans="1:3" x14ac:dyDescent="0.35">
      <c r="A644" s="6">
        <v>81512</v>
      </c>
      <c r="B644" s="6" t="s">
        <v>3807</v>
      </c>
      <c r="C644" s="6">
        <v>9000</v>
      </c>
    </row>
    <row r="645" spans="1:3" x14ac:dyDescent="0.35">
      <c r="A645" s="6">
        <v>81513</v>
      </c>
      <c r="B645" s="6" t="s">
        <v>3968</v>
      </c>
      <c r="C645" s="6" t="s">
        <v>3653</v>
      </c>
    </row>
    <row r="646" spans="1:3" x14ac:dyDescent="0.35">
      <c r="A646" s="6">
        <v>81514</v>
      </c>
      <c r="B646" s="6" t="s">
        <v>3969</v>
      </c>
      <c r="C646" s="6" t="s">
        <v>3654</v>
      </c>
    </row>
    <row r="647" spans="1:3" x14ac:dyDescent="0.35">
      <c r="A647" s="6">
        <v>81515</v>
      </c>
      <c r="B647" s="6" t="s">
        <v>3970</v>
      </c>
      <c r="C647" s="6">
        <v>9055</v>
      </c>
    </row>
    <row r="648" spans="1:3" x14ac:dyDescent="0.35">
      <c r="A648" s="6">
        <v>81516</v>
      </c>
      <c r="B648" s="6" t="s">
        <v>3825</v>
      </c>
      <c r="C648" s="6">
        <v>9039</v>
      </c>
    </row>
    <row r="649" spans="1:3" x14ac:dyDescent="0.35">
      <c r="A649" s="6">
        <v>81517</v>
      </c>
      <c r="B649" s="6" t="s">
        <v>3924</v>
      </c>
      <c r="C649" s="6">
        <v>9021</v>
      </c>
    </row>
    <row r="650" spans="1:3" x14ac:dyDescent="0.35">
      <c r="A650" s="6">
        <v>81518</v>
      </c>
      <c r="B650" s="6" t="s">
        <v>3931</v>
      </c>
      <c r="C650" s="6">
        <v>9028</v>
      </c>
    </row>
    <row r="651" spans="1:3" x14ac:dyDescent="0.35">
      <c r="A651" s="6">
        <v>81519</v>
      </c>
      <c r="B651" s="6" t="s">
        <v>3870</v>
      </c>
      <c r="C651" s="6">
        <v>9032</v>
      </c>
    </row>
    <row r="652" spans="1:3" x14ac:dyDescent="0.35">
      <c r="A652" s="6">
        <v>81520</v>
      </c>
      <c r="B652" s="6" t="s">
        <v>3826</v>
      </c>
      <c r="C652" s="6">
        <v>9001</v>
      </c>
    </row>
    <row r="653" spans="1:3" x14ac:dyDescent="0.35">
      <c r="A653" s="6">
        <v>81521</v>
      </c>
      <c r="B653" s="6" t="s">
        <v>3942</v>
      </c>
      <c r="C653" s="6">
        <v>9057</v>
      </c>
    </row>
    <row r="654" spans="1:3" x14ac:dyDescent="0.35">
      <c r="A654" s="6">
        <v>81522</v>
      </c>
      <c r="B654" s="6" t="s">
        <v>3971</v>
      </c>
      <c r="C654" s="6">
        <v>9056</v>
      </c>
    </row>
    <row r="655" spans="1:3" x14ac:dyDescent="0.35">
      <c r="A655" s="6">
        <v>81523</v>
      </c>
      <c r="B655" s="6" t="s">
        <v>3963</v>
      </c>
      <c r="C655" s="6">
        <v>8581</v>
      </c>
    </row>
    <row r="656" spans="1:3" x14ac:dyDescent="0.35">
      <c r="A656" s="6">
        <v>81524</v>
      </c>
      <c r="B656" s="6" t="s">
        <v>3963</v>
      </c>
      <c r="C656" s="6">
        <v>8541</v>
      </c>
    </row>
    <row r="657" spans="1:3" x14ac:dyDescent="0.35">
      <c r="A657" s="6">
        <v>81525</v>
      </c>
      <c r="B657" s="6" t="s">
        <v>3886</v>
      </c>
      <c r="C657" s="6">
        <v>9080</v>
      </c>
    </row>
    <row r="658" spans="1:3" x14ac:dyDescent="0.35">
      <c r="A658" s="6">
        <v>81526</v>
      </c>
      <c r="B658" s="6" t="s">
        <v>3840</v>
      </c>
      <c r="C658" s="6">
        <v>9081</v>
      </c>
    </row>
    <row r="659" spans="1:3" x14ac:dyDescent="0.35">
      <c r="A659" s="6">
        <v>81527</v>
      </c>
      <c r="B659" s="6" t="s">
        <v>3836</v>
      </c>
      <c r="C659" s="6">
        <v>9082</v>
      </c>
    </row>
    <row r="660" spans="1:3" x14ac:dyDescent="0.35">
      <c r="A660" s="6">
        <v>81528</v>
      </c>
      <c r="B660" s="6" t="s">
        <v>3895</v>
      </c>
      <c r="C660" s="6">
        <v>9084</v>
      </c>
    </row>
    <row r="661" spans="1:3" x14ac:dyDescent="0.35">
      <c r="A661" s="6">
        <v>81529</v>
      </c>
      <c r="B661" s="6" t="s">
        <v>3809</v>
      </c>
      <c r="C661" s="6">
        <v>9085</v>
      </c>
    </row>
    <row r="662" spans="1:3" x14ac:dyDescent="0.35">
      <c r="A662" s="6">
        <v>81530</v>
      </c>
      <c r="B662" s="6" t="s">
        <v>3821</v>
      </c>
      <c r="C662" s="6">
        <v>9086</v>
      </c>
    </row>
    <row r="663" spans="1:3" x14ac:dyDescent="0.35">
      <c r="A663" s="6">
        <v>81531</v>
      </c>
      <c r="B663" s="6" t="s">
        <v>3937</v>
      </c>
      <c r="C663" s="6">
        <v>9083</v>
      </c>
    </row>
    <row r="664" spans="1:3" x14ac:dyDescent="0.35">
      <c r="A664" s="6">
        <v>81532</v>
      </c>
      <c r="B664" s="6" t="s">
        <v>3816</v>
      </c>
      <c r="C664" s="6">
        <v>9087</v>
      </c>
    </row>
    <row r="665" spans="1:3" x14ac:dyDescent="0.35">
      <c r="A665" s="6">
        <v>81533</v>
      </c>
      <c r="B665" s="6" t="s">
        <v>3911</v>
      </c>
      <c r="C665" s="6">
        <v>9088</v>
      </c>
    </row>
    <row r="666" spans="1:3" x14ac:dyDescent="0.35">
      <c r="A666" s="6">
        <v>81534</v>
      </c>
      <c r="B666" s="6" t="s">
        <v>3832</v>
      </c>
      <c r="C666" s="6">
        <v>9089</v>
      </c>
    </row>
    <row r="667" spans="1:3" x14ac:dyDescent="0.35">
      <c r="A667" s="6">
        <v>81535</v>
      </c>
      <c r="B667" s="6" t="s">
        <v>3839</v>
      </c>
      <c r="C667" s="6">
        <v>9090</v>
      </c>
    </row>
    <row r="668" spans="1:3" x14ac:dyDescent="0.35">
      <c r="A668" s="6">
        <v>81536</v>
      </c>
      <c r="B668" s="6" t="s">
        <v>3876</v>
      </c>
      <c r="C668" s="6">
        <v>9091</v>
      </c>
    </row>
    <row r="669" spans="1:3" x14ac:dyDescent="0.35">
      <c r="A669" s="6">
        <v>81537</v>
      </c>
      <c r="B669" s="6" t="s">
        <v>3917</v>
      </c>
      <c r="C669" s="6">
        <v>9092</v>
      </c>
    </row>
    <row r="670" spans="1:3" x14ac:dyDescent="0.35">
      <c r="A670" s="6">
        <v>81538</v>
      </c>
      <c r="B670" s="6" t="s">
        <v>3829</v>
      </c>
      <c r="C670" s="6">
        <v>9051</v>
      </c>
    </row>
    <row r="671" spans="1:3" x14ac:dyDescent="0.35">
      <c r="A671" s="6">
        <v>81539</v>
      </c>
      <c r="B671" s="6" t="s">
        <v>3970</v>
      </c>
      <c r="C671" s="6">
        <v>8641</v>
      </c>
    </row>
    <row r="672" spans="1:3" x14ac:dyDescent="0.35">
      <c r="A672" s="6">
        <v>81540</v>
      </c>
      <c r="B672" s="6" t="s">
        <v>3971</v>
      </c>
      <c r="C672" s="6">
        <v>8661</v>
      </c>
    </row>
    <row r="673" spans="1:3" x14ac:dyDescent="0.35">
      <c r="A673" s="6">
        <v>81541</v>
      </c>
      <c r="B673" s="6" t="s">
        <v>3971</v>
      </c>
      <c r="C673" s="6">
        <v>8682</v>
      </c>
    </row>
    <row r="674" spans="1:3" x14ac:dyDescent="0.35">
      <c r="A674" s="6">
        <v>81542</v>
      </c>
      <c r="B674" s="6" t="s">
        <v>3965</v>
      </c>
      <c r="C674" s="6">
        <v>8741</v>
      </c>
    </row>
    <row r="675" spans="1:3" x14ac:dyDescent="0.35">
      <c r="A675" s="6">
        <v>81543</v>
      </c>
      <c r="B675" s="6" t="s">
        <v>3935</v>
      </c>
      <c r="C675" s="6">
        <v>8821</v>
      </c>
    </row>
    <row r="676" spans="1:3" x14ac:dyDescent="0.35">
      <c r="A676" s="6">
        <v>81544</v>
      </c>
      <c r="B676" s="6" t="s">
        <v>3935</v>
      </c>
      <c r="C676" s="6">
        <v>8822</v>
      </c>
    </row>
    <row r="677" spans="1:3" x14ac:dyDescent="0.35">
      <c r="A677" s="6">
        <v>81545</v>
      </c>
      <c r="B677" s="6" t="s">
        <v>3900</v>
      </c>
      <c r="C677" s="6">
        <v>8841</v>
      </c>
    </row>
    <row r="678" spans="1:3" x14ac:dyDescent="0.35">
      <c r="A678" s="6">
        <v>81546</v>
      </c>
      <c r="B678" s="6" t="s">
        <v>3900</v>
      </c>
      <c r="C678" s="6">
        <v>8861</v>
      </c>
    </row>
    <row r="679" spans="1:3" x14ac:dyDescent="0.35">
      <c r="A679" s="6">
        <v>81547</v>
      </c>
      <c r="B679" s="6" t="s">
        <v>3888</v>
      </c>
      <c r="C679" s="6">
        <v>9146</v>
      </c>
    </row>
    <row r="680" spans="1:3" x14ac:dyDescent="0.35">
      <c r="A680" s="6">
        <v>81548</v>
      </c>
      <c r="B680" s="6" t="s">
        <v>3940</v>
      </c>
      <c r="C680" s="6">
        <v>9147</v>
      </c>
    </row>
    <row r="681" spans="1:3" x14ac:dyDescent="0.35">
      <c r="A681" s="6">
        <v>81549</v>
      </c>
      <c r="B681" s="6" t="s">
        <v>3941</v>
      </c>
      <c r="C681" s="6">
        <v>9148</v>
      </c>
    </row>
    <row r="682" spans="1:3" x14ac:dyDescent="0.35">
      <c r="A682" s="6">
        <v>81550</v>
      </c>
      <c r="B682" s="6" t="s">
        <v>3970</v>
      </c>
      <c r="C682" s="6">
        <v>9149</v>
      </c>
    </row>
    <row r="683" spans="1:3" x14ac:dyDescent="0.35">
      <c r="A683" s="6">
        <v>81551</v>
      </c>
      <c r="B683" s="6" t="s">
        <v>3824</v>
      </c>
      <c r="C683" s="6">
        <v>9066</v>
      </c>
    </row>
    <row r="684" spans="1:3" x14ac:dyDescent="0.35">
      <c r="A684" s="6">
        <v>81552</v>
      </c>
      <c r="B684" s="6" t="s">
        <v>3942</v>
      </c>
      <c r="C684" s="6">
        <v>8902</v>
      </c>
    </row>
    <row r="685" spans="1:3" x14ac:dyDescent="0.35">
      <c r="A685" s="6">
        <v>81553</v>
      </c>
      <c r="B685" s="6" t="s">
        <v>3856</v>
      </c>
      <c r="C685" s="6">
        <v>8882</v>
      </c>
    </row>
    <row r="686" spans="1:3" x14ac:dyDescent="0.35">
      <c r="A686" s="6">
        <v>81554</v>
      </c>
      <c r="B686" s="6" t="s">
        <v>3866</v>
      </c>
      <c r="C686" s="6">
        <v>9067</v>
      </c>
    </row>
    <row r="687" spans="1:3" x14ac:dyDescent="0.35">
      <c r="A687" s="6">
        <v>81555</v>
      </c>
      <c r="B687" s="6" t="s">
        <v>3825</v>
      </c>
      <c r="C687" s="6">
        <v>9212</v>
      </c>
    </row>
    <row r="688" spans="1:3" x14ac:dyDescent="0.35">
      <c r="A688" s="6">
        <v>81556</v>
      </c>
      <c r="B688" s="6" t="s">
        <v>3943</v>
      </c>
      <c r="C688" s="6">
        <v>9211</v>
      </c>
    </row>
    <row r="689" spans="1:3" x14ac:dyDescent="0.35">
      <c r="A689" s="6">
        <v>81557</v>
      </c>
      <c r="B689" s="6" t="s">
        <v>3886</v>
      </c>
      <c r="C689" s="6">
        <v>8904</v>
      </c>
    </row>
    <row r="690" spans="1:3" x14ac:dyDescent="0.35">
      <c r="A690" s="6">
        <v>81558</v>
      </c>
      <c r="B690" s="6" t="s">
        <v>3854</v>
      </c>
      <c r="C690" s="6">
        <v>9210</v>
      </c>
    </row>
    <row r="691" spans="1:3" x14ac:dyDescent="0.35">
      <c r="A691" s="6">
        <v>81559</v>
      </c>
      <c r="B691" s="6" t="s">
        <v>3945</v>
      </c>
      <c r="C691" s="6">
        <v>8905</v>
      </c>
    </row>
    <row r="692" spans="1:3" x14ac:dyDescent="0.35">
      <c r="A692" s="6">
        <v>81560</v>
      </c>
      <c r="B692" s="6" t="s">
        <v>3864</v>
      </c>
      <c r="C692" s="6">
        <v>9150</v>
      </c>
    </row>
    <row r="693" spans="1:3" x14ac:dyDescent="0.35">
      <c r="A693" s="6">
        <v>81561</v>
      </c>
      <c r="B693" s="6" t="s">
        <v>3871</v>
      </c>
      <c r="C693" s="6">
        <v>8972</v>
      </c>
    </row>
    <row r="694" spans="1:3" x14ac:dyDescent="0.35">
      <c r="A694" s="6">
        <v>81562</v>
      </c>
      <c r="B694" s="6" t="s">
        <v>3889</v>
      </c>
      <c r="C694" s="6">
        <v>8940</v>
      </c>
    </row>
    <row r="695" spans="1:3" x14ac:dyDescent="0.35">
      <c r="A695" s="6">
        <v>81563</v>
      </c>
      <c r="B695" s="6" t="s">
        <v>3911</v>
      </c>
      <c r="C695" s="6">
        <v>8964</v>
      </c>
    </row>
    <row r="696" spans="1:3" x14ac:dyDescent="0.35">
      <c r="A696" s="6">
        <v>81564</v>
      </c>
      <c r="B696" s="6" t="s">
        <v>3870</v>
      </c>
      <c r="C696" s="6">
        <v>9151</v>
      </c>
    </row>
    <row r="697" spans="1:3" x14ac:dyDescent="0.35">
      <c r="A697" s="6">
        <v>81565</v>
      </c>
      <c r="B697" s="6" t="s">
        <v>3966</v>
      </c>
      <c r="C697" s="6">
        <v>9215</v>
      </c>
    </row>
    <row r="698" spans="1:3" x14ac:dyDescent="0.35">
      <c r="A698" s="6">
        <v>81566</v>
      </c>
      <c r="B698" s="6" t="s">
        <v>3867</v>
      </c>
      <c r="C698" s="6">
        <v>9152</v>
      </c>
    </row>
    <row r="699" spans="1:3" x14ac:dyDescent="0.35">
      <c r="A699" s="6">
        <v>81567</v>
      </c>
      <c r="B699" s="6" t="s">
        <v>3842</v>
      </c>
      <c r="C699" s="6">
        <v>8906</v>
      </c>
    </row>
    <row r="700" spans="1:3" x14ac:dyDescent="0.35">
      <c r="A700" s="6">
        <v>81568</v>
      </c>
      <c r="B700" s="6" t="s">
        <v>3944</v>
      </c>
      <c r="C700" s="6">
        <v>8983</v>
      </c>
    </row>
    <row r="701" spans="1:3" x14ac:dyDescent="0.35">
      <c r="A701" s="6">
        <v>81569</v>
      </c>
      <c r="B701" s="6" t="s">
        <v>3929</v>
      </c>
      <c r="C701" s="6">
        <v>9153</v>
      </c>
    </row>
    <row r="702" spans="1:3" x14ac:dyDescent="0.35">
      <c r="A702" s="6">
        <v>81570</v>
      </c>
      <c r="B702" s="6" t="s">
        <v>3949</v>
      </c>
      <c r="C702" s="6">
        <v>8923</v>
      </c>
    </row>
    <row r="703" spans="1:3" x14ac:dyDescent="0.35">
      <c r="A703" s="6">
        <v>81571</v>
      </c>
      <c r="B703" s="6" t="s">
        <v>3826</v>
      </c>
      <c r="C703" s="6">
        <v>9068</v>
      </c>
    </row>
    <row r="704" spans="1:3" x14ac:dyDescent="0.35">
      <c r="A704" s="6">
        <v>81572</v>
      </c>
      <c r="B704" s="6" t="s">
        <v>3963</v>
      </c>
      <c r="C704" s="6">
        <v>9069</v>
      </c>
    </row>
    <row r="705" spans="1:3" x14ac:dyDescent="0.35">
      <c r="A705" s="6">
        <v>81573</v>
      </c>
      <c r="B705" s="6" t="s">
        <v>3948</v>
      </c>
      <c r="C705" s="6">
        <v>9154</v>
      </c>
    </row>
    <row r="706" spans="1:3" x14ac:dyDescent="0.35">
      <c r="A706" s="6">
        <v>81574</v>
      </c>
      <c r="B706" s="6" t="s">
        <v>3822</v>
      </c>
      <c r="C706" s="6">
        <v>8924</v>
      </c>
    </row>
    <row r="707" spans="1:3" x14ac:dyDescent="0.35">
      <c r="A707" s="6">
        <v>81575</v>
      </c>
      <c r="B707" s="6" t="s">
        <v>3955</v>
      </c>
      <c r="C707" s="6">
        <v>9070</v>
      </c>
    </row>
    <row r="708" spans="1:3" x14ac:dyDescent="0.35">
      <c r="A708" s="6">
        <v>81576</v>
      </c>
      <c r="B708" s="6" t="s">
        <v>3850</v>
      </c>
      <c r="C708" s="6">
        <v>9155</v>
      </c>
    </row>
    <row r="709" spans="1:3" x14ac:dyDescent="0.35">
      <c r="A709" s="6">
        <v>81577</v>
      </c>
      <c r="B709" s="6" t="s">
        <v>3947</v>
      </c>
      <c r="C709" s="6">
        <v>9216</v>
      </c>
    </row>
    <row r="710" spans="1:3" x14ac:dyDescent="0.35">
      <c r="A710" s="6">
        <v>81578</v>
      </c>
      <c r="B710" s="6" t="s">
        <v>3946</v>
      </c>
      <c r="C710" s="6">
        <v>8926</v>
      </c>
    </row>
    <row r="711" spans="1:3" x14ac:dyDescent="0.35">
      <c r="A711" s="6">
        <v>81579</v>
      </c>
      <c r="B711" s="6" t="s">
        <v>3834</v>
      </c>
      <c r="C711" s="6">
        <v>9213</v>
      </c>
    </row>
    <row r="712" spans="1:3" x14ac:dyDescent="0.35">
      <c r="A712" s="6">
        <v>81580</v>
      </c>
      <c r="B712" s="6" t="s">
        <v>3885</v>
      </c>
      <c r="C712" s="6">
        <v>9209</v>
      </c>
    </row>
    <row r="713" spans="1:3" x14ac:dyDescent="0.35">
      <c r="A713" s="6">
        <v>81581</v>
      </c>
      <c r="B713" s="6" t="s">
        <v>3971</v>
      </c>
      <c r="C713" s="6">
        <v>9208</v>
      </c>
    </row>
    <row r="714" spans="1:3" x14ac:dyDescent="0.35">
      <c r="A714" s="6">
        <v>81583</v>
      </c>
      <c r="B714" s="6" t="s">
        <v>3883</v>
      </c>
      <c r="C714" s="6">
        <v>9095</v>
      </c>
    </row>
    <row r="715" spans="1:3" x14ac:dyDescent="0.35">
      <c r="A715" s="6">
        <v>81584</v>
      </c>
      <c r="B715" s="6" t="s">
        <v>3840</v>
      </c>
      <c r="C715" s="6">
        <v>8986</v>
      </c>
    </row>
    <row r="716" spans="1:3" x14ac:dyDescent="0.35">
      <c r="A716" s="6">
        <v>81585</v>
      </c>
      <c r="B716" s="6" t="s">
        <v>3840</v>
      </c>
      <c r="C716" s="6">
        <v>9096</v>
      </c>
    </row>
    <row r="717" spans="1:3" x14ac:dyDescent="0.35">
      <c r="A717" s="6">
        <v>81586</v>
      </c>
      <c r="B717" s="6" t="s">
        <v>3957</v>
      </c>
      <c r="C717" s="6">
        <v>8927</v>
      </c>
    </row>
    <row r="718" spans="1:3" x14ac:dyDescent="0.35">
      <c r="A718" s="6">
        <v>81587</v>
      </c>
      <c r="B718" s="6" t="s">
        <v>3851</v>
      </c>
      <c r="C718" s="6">
        <v>9207</v>
      </c>
    </row>
    <row r="719" spans="1:3" x14ac:dyDescent="0.35">
      <c r="A719" s="6">
        <v>81588</v>
      </c>
      <c r="B719" s="6" t="s">
        <v>3837</v>
      </c>
      <c r="C719" s="6">
        <v>9097</v>
      </c>
    </row>
    <row r="720" spans="1:3" x14ac:dyDescent="0.35">
      <c r="A720" s="6">
        <v>81589</v>
      </c>
      <c r="B720" s="6" t="s">
        <v>3882</v>
      </c>
      <c r="C720" s="6">
        <v>8928</v>
      </c>
    </row>
    <row r="721" spans="1:3" x14ac:dyDescent="0.35">
      <c r="A721" s="6">
        <v>81590</v>
      </c>
      <c r="B721" s="6" t="s">
        <v>3914</v>
      </c>
      <c r="C721" s="6">
        <v>9098</v>
      </c>
    </row>
    <row r="722" spans="1:3" x14ac:dyDescent="0.35">
      <c r="A722" s="6">
        <v>81591</v>
      </c>
      <c r="B722" s="6" t="s">
        <v>3853</v>
      </c>
      <c r="C722" s="6">
        <v>9206</v>
      </c>
    </row>
    <row r="723" spans="1:3" x14ac:dyDescent="0.35">
      <c r="A723" s="6">
        <v>81592</v>
      </c>
      <c r="B723" s="6" t="s">
        <v>3881</v>
      </c>
      <c r="C723" s="6">
        <v>9100</v>
      </c>
    </row>
    <row r="724" spans="1:3" x14ac:dyDescent="0.35">
      <c r="A724" s="6">
        <v>81593</v>
      </c>
      <c r="B724" s="6" t="s">
        <v>3863</v>
      </c>
      <c r="C724" s="6">
        <v>8910</v>
      </c>
    </row>
    <row r="725" spans="1:3" x14ac:dyDescent="0.35">
      <c r="A725" s="6">
        <v>81594</v>
      </c>
      <c r="B725" s="6" t="s">
        <v>3833</v>
      </c>
      <c r="C725" s="6">
        <v>9205</v>
      </c>
    </row>
    <row r="726" spans="1:3" x14ac:dyDescent="0.35">
      <c r="A726" s="6">
        <v>81595</v>
      </c>
      <c r="B726" s="6" t="s">
        <v>3880</v>
      </c>
      <c r="C726" s="6">
        <v>9099</v>
      </c>
    </row>
    <row r="727" spans="1:3" x14ac:dyDescent="0.35">
      <c r="A727" s="6">
        <v>81596</v>
      </c>
      <c r="B727" s="6" t="s">
        <v>3829</v>
      </c>
      <c r="C727" s="6">
        <v>9101</v>
      </c>
    </row>
    <row r="728" spans="1:3" x14ac:dyDescent="0.35">
      <c r="A728" s="6">
        <v>81597</v>
      </c>
      <c r="B728" s="6" t="s">
        <v>3950</v>
      </c>
      <c r="C728" s="6">
        <v>9179</v>
      </c>
    </row>
    <row r="729" spans="1:3" x14ac:dyDescent="0.35">
      <c r="A729" s="6">
        <v>81598</v>
      </c>
      <c r="B729" s="6" t="s">
        <v>3908</v>
      </c>
      <c r="C729" s="6">
        <v>9178</v>
      </c>
    </row>
    <row r="730" spans="1:3" x14ac:dyDescent="0.35">
      <c r="A730" s="6">
        <v>81599</v>
      </c>
      <c r="B730" s="6" t="s">
        <v>3831</v>
      </c>
      <c r="C730" s="6">
        <v>8911</v>
      </c>
    </row>
    <row r="731" spans="1:3" x14ac:dyDescent="0.35">
      <c r="A731" s="6">
        <v>81600</v>
      </c>
      <c r="B731" s="6" t="s">
        <v>3836</v>
      </c>
      <c r="C731" s="6">
        <v>8909</v>
      </c>
    </row>
    <row r="732" spans="1:3" x14ac:dyDescent="0.35">
      <c r="A732" s="6">
        <v>81601</v>
      </c>
      <c r="B732" s="6" t="s">
        <v>3951</v>
      </c>
      <c r="C732" s="6">
        <v>9102</v>
      </c>
    </row>
    <row r="733" spans="1:3" x14ac:dyDescent="0.35">
      <c r="A733" s="6">
        <v>81602</v>
      </c>
      <c r="B733" s="6" t="s">
        <v>3898</v>
      </c>
      <c r="C733" s="6">
        <v>8912</v>
      </c>
    </row>
    <row r="734" spans="1:3" x14ac:dyDescent="0.35">
      <c r="A734" s="6">
        <v>81603</v>
      </c>
      <c r="B734" s="6" t="s">
        <v>3968</v>
      </c>
      <c r="C734" s="6">
        <v>9204</v>
      </c>
    </row>
    <row r="735" spans="1:3" x14ac:dyDescent="0.35">
      <c r="A735" s="6">
        <v>81604</v>
      </c>
      <c r="B735" s="6" t="s">
        <v>3939</v>
      </c>
      <c r="C735" s="6">
        <v>9103</v>
      </c>
    </row>
    <row r="736" spans="1:3" x14ac:dyDescent="0.35">
      <c r="A736" s="6">
        <v>81605</v>
      </c>
      <c r="B736" s="6" t="s">
        <v>3938</v>
      </c>
      <c r="C736" s="6">
        <v>9203</v>
      </c>
    </row>
    <row r="737" spans="1:3" x14ac:dyDescent="0.35">
      <c r="A737" s="6">
        <v>81606</v>
      </c>
      <c r="B737" s="6" t="s">
        <v>3958</v>
      </c>
      <c r="C737" s="6">
        <v>9202</v>
      </c>
    </row>
    <row r="738" spans="1:3" x14ac:dyDescent="0.35">
      <c r="A738" s="6">
        <v>81607</v>
      </c>
      <c r="B738" s="6" t="s">
        <v>3952</v>
      </c>
      <c r="C738" s="6">
        <v>9201</v>
      </c>
    </row>
    <row r="739" spans="1:3" x14ac:dyDescent="0.35">
      <c r="A739" s="6">
        <v>81608</v>
      </c>
      <c r="B739" s="6" t="s">
        <v>3954</v>
      </c>
      <c r="C739" s="6">
        <v>9200</v>
      </c>
    </row>
    <row r="740" spans="1:3" x14ac:dyDescent="0.35">
      <c r="A740" s="6">
        <v>81609</v>
      </c>
      <c r="B740" s="6" t="s">
        <v>3953</v>
      </c>
      <c r="C740" s="6">
        <v>8913</v>
      </c>
    </row>
    <row r="741" spans="1:3" x14ac:dyDescent="0.35">
      <c r="A741" s="6">
        <v>81610</v>
      </c>
      <c r="B741" s="6" t="s">
        <v>3937</v>
      </c>
      <c r="C741" s="6">
        <v>9104</v>
      </c>
    </row>
    <row r="742" spans="1:3" x14ac:dyDescent="0.35">
      <c r="A742" s="6">
        <v>81611</v>
      </c>
      <c r="B742" s="6" t="s">
        <v>3897</v>
      </c>
      <c r="C742" s="6">
        <v>9105</v>
      </c>
    </row>
    <row r="743" spans="1:3" x14ac:dyDescent="0.35">
      <c r="A743" s="6">
        <v>81612</v>
      </c>
      <c r="B743" s="6" t="s">
        <v>3843</v>
      </c>
      <c r="C743" s="6">
        <v>8901</v>
      </c>
    </row>
    <row r="744" spans="1:3" x14ac:dyDescent="0.35">
      <c r="A744" s="6">
        <v>81613</v>
      </c>
      <c r="B744" s="6" t="s">
        <v>3811</v>
      </c>
      <c r="C744" s="6">
        <v>9126</v>
      </c>
    </row>
    <row r="745" spans="1:3" x14ac:dyDescent="0.35">
      <c r="A745" s="6">
        <v>81614</v>
      </c>
      <c r="B745" s="6" t="s">
        <v>3960</v>
      </c>
      <c r="C745" s="6">
        <v>8914</v>
      </c>
    </row>
    <row r="746" spans="1:3" x14ac:dyDescent="0.35">
      <c r="A746" s="6">
        <v>81615</v>
      </c>
      <c r="B746" s="6" t="s">
        <v>3896</v>
      </c>
      <c r="C746" s="6">
        <v>9199</v>
      </c>
    </row>
    <row r="747" spans="1:3" x14ac:dyDescent="0.35">
      <c r="A747" s="6">
        <v>81616</v>
      </c>
      <c r="B747" s="6" t="s">
        <v>3812</v>
      </c>
      <c r="C747" s="6">
        <v>8915</v>
      </c>
    </row>
    <row r="748" spans="1:3" x14ac:dyDescent="0.35">
      <c r="A748" s="6">
        <v>81617</v>
      </c>
      <c r="B748" s="6" t="s">
        <v>3895</v>
      </c>
      <c r="C748" s="6">
        <v>8916</v>
      </c>
    </row>
    <row r="749" spans="1:3" x14ac:dyDescent="0.35">
      <c r="A749" s="6">
        <v>81618</v>
      </c>
      <c r="B749" s="6" t="s">
        <v>3827</v>
      </c>
      <c r="C749" s="6">
        <v>8929</v>
      </c>
    </row>
    <row r="750" spans="1:3" x14ac:dyDescent="0.35">
      <c r="A750" s="6">
        <v>81619</v>
      </c>
      <c r="B750" s="6" t="s">
        <v>3905</v>
      </c>
      <c r="C750" s="6">
        <v>9198</v>
      </c>
    </row>
    <row r="751" spans="1:3" x14ac:dyDescent="0.35">
      <c r="A751" s="6">
        <v>81620</v>
      </c>
      <c r="B751" s="6" t="s">
        <v>3809</v>
      </c>
      <c r="C751" s="6">
        <v>8921</v>
      </c>
    </row>
    <row r="752" spans="1:3" x14ac:dyDescent="0.35">
      <c r="A752" s="6">
        <v>81621</v>
      </c>
      <c r="B752" s="6" t="s">
        <v>3810</v>
      </c>
      <c r="C752" s="6">
        <v>8930</v>
      </c>
    </row>
    <row r="753" spans="1:3" x14ac:dyDescent="0.35">
      <c r="A753" s="6">
        <v>81622</v>
      </c>
      <c r="B753" s="6" t="s">
        <v>3904</v>
      </c>
      <c r="C753" s="6">
        <v>8931</v>
      </c>
    </row>
    <row r="754" spans="1:3" x14ac:dyDescent="0.35">
      <c r="A754" s="6">
        <v>81623</v>
      </c>
      <c r="B754" s="6" t="s">
        <v>3821</v>
      </c>
      <c r="C754" s="6">
        <v>8884</v>
      </c>
    </row>
    <row r="755" spans="1:3" x14ac:dyDescent="0.35">
      <c r="A755" s="6">
        <v>81624</v>
      </c>
      <c r="B755" s="6" t="s">
        <v>3934</v>
      </c>
      <c r="C755" s="6">
        <v>8932</v>
      </c>
    </row>
    <row r="756" spans="1:3" x14ac:dyDescent="0.35">
      <c r="A756" s="6">
        <v>81625</v>
      </c>
      <c r="B756" s="6" t="s">
        <v>3894</v>
      </c>
      <c r="C756" s="6">
        <v>8917</v>
      </c>
    </row>
    <row r="757" spans="1:3" x14ac:dyDescent="0.35">
      <c r="A757" s="6">
        <v>81626</v>
      </c>
      <c r="B757" s="6" t="s">
        <v>3893</v>
      </c>
      <c r="C757" s="6">
        <v>9197</v>
      </c>
    </row>
    <row r="758" spans="1:3" x14ac:dyDescent="0.35">
      <c r="A758" s="6">
        <v>81627</v>
      </c>
      <c r="B758" s="6" t="s">
        <v>3959</v>
      </c>
      <c r="C758" s="6">
        <v>9217</v>
      </c>
    </row>
    <row r="759" spans="1:3" x14ac:dyDescent="0.35">
      <c r="A759" s="6">
        <v>81628</v>
      </c>
      <c r="B759" s="6" t="s">
        <v>3936</v>
      </c>
      <c r="C759" s="6">
        <v>8918</v>
      </c>
    </row>
    <row r="760" spans="1:3" x14ac:dyDescent="0.35">
      <c r="A760" s="6">
        <v>81629</v>
      </c>
      <c r="B760" s="6" t="s">
        <v>3892</v>
      </c>
      <c r="C760" s="6">
        <v>9196</v>
      </c>
    </row>
    <row r="761" spans="1:3" x14ac:dyDescent="0.35">
      <c r="A761" s="6">
        <v>81630</v>
      </c>
      <c r="B761" s="6" t="s">
        <v>3891</v>
      </c>
      <c r="C761" s="6">
        <v>8934</v>
      </c>
    </row>
    <row r="762" spans="1:3" x14ac:dyDescent="0.35">
      <c r="A762" s="6">
        <v>81631</v>
      </c>
      <c r="B762" s="6" t="s">
        <v>3899</v>
      </c>
      <c r="C762" s="6">
        <v>9195</v>
      </c>
    </row>
    <row r="763" spans="1:3" x14ac:dyDescent="0.35">
      <c r="A763" s="6">
        <v>81632</v>
      </c>
      <c r="B763" s="6" t="s">
        <v>3838</v>
      </c>
      <c r="C763" s="6">
        <v>8935</v>
      </c>
    </row>
    <row r="764" spans="1:3" x14ac:dyDescent="0.35">
      <c r="A764" s="6">
        <v>81633</v>
      </c>
      <c r="B764" s="6" t="s">
        <v>3903</v>
      </c>
      <c r="C764" s="6">
        <v>9218</v>
      </c>
    </row>
    <row r="765" spans="1:3" x14ac:dyDescent="0.35">
      <c r="A765" s="6">
        <v>81634</v>
      </c>
      <c r="B765" s="6" t="s">
        <v>3918</v>
      </c>
      <c r="C765" s="6">
        <v>9194</v>
      </c>
    </row>
    <row r="766" spans="1:3" x14ac:dyDescent="0.35">
      <c r="A766" s="6">
        <v>81635</v>
      </c>
      <c r="B766" s="6" t="s">
        <v>3956</v>
      </c>
      <c r="C766" s="6">
        <v>9193</v>
      </c>
    </row>
    <row r="767" spans="1:3" x14ac:dyDescent="0.35">
      <c r="A767" s="6">
        <v>81636</v>
      </c>
      <c r="B767" s="6" t="s">
        <v>3890</v>
      </c>
      <c r="C767" s="6">
        <v>9192</v>
      </c>
    </row>
    <row r="768" spans="1:3" x14ac:dyDescent="0.35">
      <c r="A768" s="6">
        <v>81637</v>
      </c>
      <c r="B768" s="6" t="s">
        <v>3969</v>
      </c>
      <c r="C768" s="6">
        <v>9177</v>
      </c>
    </row>
    <row r="769" spans="1:3" x14ac:dyDescent="0.35">
      <c r="A769" s="6">
        <v>81638</v>
      </c>
      <c r="B769" s="6" t="s">
        <v>3808</v>
      </c>
      <c r="C769" s="6">
        <v>9176</v>
      </c>
    </row>
    <row r="770" spans="1:3" x14ac:dyDescent="0.35">
      <c r="A770" s="6">
        <v>81639</v>
      </c>
      <c r="B770" s="6" t="s">
        <v>3902</v>
      </c>
      <c r="C770" s="6">
        <v>9175</v>
      </c>
    </row>
    <row r="771" spans="1:3" x14ac:dyDescent="0.35">
      <c r="A771" s="6">
        <v>81640</v>
      </c>
      <c r="B771" s="6" t="s">
        <v>3900</v>
      </c>
      <c r="C771" s="6">
        <v>8936</v>
      </c>
    </row>
    <row r="772" spans="1:3" x14ac:dyDescent="0.35">
      <c r="A772" s="6">
        <v>81641</v>
      </c>
      <c r="B772" s="6" t="s">
        <v>3901</v>
      </c>
      <c r="C772" s="6">
        <v>9174</v>
      </c>
    </row>
    <row r="773" spans="1:3" x14ac:dyDescent="0.35">
      <c r="A773" s="6">
        <v>81642</v>
      </c>
      <c r="B773" s="6" t="s">
        <v>3844</v>
      </c>
      <c r="C773" s="6">
        <v>9127</v>
      </c>
    </row>
    <row r="774" spans="1:3" x14ac:dyDescent="0.35">
      <c r="A774" s="6">
        <v>81643</v>
      </c>
      <c r="B774" s="6" t="s">
        <v>3857</v>
      </c>
      <c r="C774" s="6">
        <v>8937</v>
      </c>
    </row>
    <row r="775" spans="1:3" x14ac:dyDescent="0.35">
      <c r="A775" s="6">
        <v>81644</v>
      </c>
      <c r="B775" s="6" t="s">
        <v>3967</v>
      </c>
      <c r="C775" s="6">
        <v>9173</v>
      </c>
    </row>
    <row r="776" spans="1:3" x14ac:dyDescent="0.35">
      <c r="A776" s="6">
        <v>81645</v>
      </c>
      <c r="B776" s="6" t="s">
        <v>3814</v>
      </c>
      <c r="C776" s="6">
        <v>9128</v>
      </c>
    </row>
    <row r="777" spans="1:3" x14ac:dyDescent="0.35">
      <c r="A777" s="6">
        <v>81646</v>
      </c>
      <c r="B777" s="6" t="s">
        <v>3816</v>
      </c>
      <c r="C777" s="6">
        <v>8883</v>
      </c>
    </row>
    <row r="778" spans="1:3" x14ac:dyDescent="0.35">
      <c r="A778" s="6">
        <v>81647</v>
      </c>
      <c r="B778" s="6" t="s">
        <v>3925</v>
      </c>
      <c r="C778" s="6">
        <v>9129</v>
      </c>
    </row>
    <row r="779" spans="1:3" x14ac:dyDescent="0.35">
      <c r="A779" s="6">
        <v>81648</v>
      </c>
      <c r="B779" s="6" t="s">
        <v>3924</v>
      </c>
      <c r="C779" s="6">
        <v>9130</v>
      </c>
    </row>
    <row r="780" spans="1:3" x14ac:dyDescent="0.35">
      <c r="A780" s="6">
        <v>81649</v>
      </c>
      <c r="B780" s="6" t="s">
        <v>3922</v>
      </c>
      <c r="C780" s="6">
        <v>8938</v>
      </c>
    </row>
    <row r="781" spans="1:3" x14ac:dyDescent="0.35">
      <c r="A781" s="6">
        <v>81650</v>
      </c>
      <c r="B781" s="6" t="s">
        <v>3923</v>
      </c>
      <c r="C781" s="6">
        <v>8939</v>
      </c>
    </row>
    <row r="782" spans="1:3" x14ac:dyDescent="0.35">
      <c r="A782" s="6">
        <v>81651</v>
      </c>
      <c r="B782" s="6" t="s">
        <v>3926</v>
      </c>
      <c r="C782" s="6">
        <v>8922</v>
      </c>
    </row>
    <row r="783" spans="1:3" x14ac:dyDescent="0.35">
      <c r="A783" s="6">
        <v>81652</v>
      </c>
      <c r="B783" s="6" t="s">
        <v>3930</v>
      </c>
      <c r="C783" s="6">
        <v>8941</v>
      </c>
    </row>
    <row r="784" spans="1:3" x14ac:dyDescent="0.35">
      <c r="A784" s="6">
        <v>81653</v>
      </c>
      <c r="B784" s="6" t="s">
        <v>3855</v>
      </c>
      <c r="C784" s="6">
        <v>9172</v>
      </c>
    </row>
    <row r="785" spans="1:3" x14ac:dyDescent="0.35">
      <c r="A785" s="6">
        <v>81654</v>
      </c>
      <c r="B785" s="6" t="s">
        <v>3965</v>
      </c>
      <c r="C785" s="6">
        <v>9171</v>
      </c>
    </row>
    <row r="786" spans="1:3" x14ac:dyDescent="0.35">
      <c r="A786" s="6">
        <v>81655</v>
      </c>
      <c r="B786" s="6" t="s">
        <v>3931</v>
      </c>
      <c r="C786" s="6">
        <v>8942</v>
      </c>
    </row>
    <row r="787" spans="1:3" x14ac:dyDescent="0.35">
      <c r="A787" s="6">
        <v>81656</v>
      </c>
      <c r="B787" s="6" t="s">
        <v>3921</v>
      </c>
      <c r="C787" s="6">
        <v>9170</v>
      </c>
    </row>
    <row r="788" spans="1:3" x14ac:dyDescent="0.35">
      <c r="A788" s="6">
        <v>81657</v>
      </c>
      <c r="B788" s="6" t="s">
        <v>3815</v>
      </c>
      <c r="C788" s="6">
        <v>9169</v>
      </c>
    </row>
    <row r="789" spans="1:3" x14ac:dyDescent="0.35">
      <c r="A789" s="6">
        <v>81658</v>
      </c>
      <c r="B789" s="6" t="s">
        <v>3818</v>
      </c>
      <c r="C789" s="6">
        <v>8984</v>
      </c>
    </row>
    <row r="790" spans="1:3" x14ac:dyDescent="0.35">
      <c r="A790" s="6">
        <v>81659</v>
      </c>
      <c r="B790" s="6" t="s">
        <v>3845</v>
      </c>
      <c r="C790" s="6">
        <v>9107</v>
      </c>
    </row>
    <row r="791" spans="1:3" x14ac:dyDescent="0.35">
      <c r="A791" s="6">
        <v>81660</v>
      </c>
      <c r="B791" s="6" t="s">
        <v>3964</v>
      </c>
      <c r="C791" s="6">
        <v>9191</v>
      </c>
    </row>
    <row r="792" spans="1:3" x14ac:dyDescent="0.35">
      <c r="A792" s="6">
        <v>81661</v>
      </c>
      <c r="B792" s="6" t="s">
        <v>3927</v>
      </c>
      <c r="C792" s="6">
        <v>8943</v>
      </c>
    </row>
    <row r="793" spans="1:3" x14ac:dyDescent="0.35">
      <c r="A793" s="6">
        <v>81662</v>
      </c>
      <c r="B793" s="6" t="s">
        <v>3829</v>
      </c>
      <c r="C793" s="6">
        <v>9190</v>
      </c>
    </row>
    <row r="794" spans="1:3" x14ac:dyDescent="0.35">
      <c r="A794" s="6">
        <v>81663</v>
      </c>
      <c r="B794" s="6" t="s">
        <v>3817</v>
      </c>
      <c r="C794" s="6">
        <v>8944</v>
      </c>
    </row>
    <row r="795" spans="1:3" x14ac:dyDescent="0.35">
      <c r="A795" s="6">
        <v>81664</v>
      </c>
      <c r="B795" s="6" t="s">
        <v>3875</v>
      </c>
      <c r="C795" s="6">
        <v>9108</v>
      </c>
    </row>
    <row r="796" spans="1:3" x14ac:dyDescent="0.35">
      <c r="A796" s="6">
        <v>81665</v>
      </c>
      <c r="B796" s="6" t="s">
        <v>3868</v>
      </c>
      <c r="C796" s="6">
        <v>8968</v>
      </c>
    </row>
    <row r="797" spans="1:3" x14ac:dyDescent="0.35">
      <c r="A797" s="6">
        <v>81666</v>
      </c>
      <c r="B797" s="6" t="s">
        <v>3913</v>
      </c>
      <c r="C797" s="6">
        <v>8945</v>
      </c>
    </row>
    <row r="798" spans="1:3" x14ac:dyDescent="0.35">
      <c r="A798" s="6">
        <v>81667</v>
      </c>
      <c r="B798" s="6" t="s">
        <v>3909</v>
      </c>
      <c r="C798" s="6">
        <v>9189</v>
      </c>
    </row>
    <row r="799" spans="1:3" x14ac:dyDescent="0.35">
      <c r="A799" s="6">
        <v>81668</v>
      </c>
      <c r="B799" s="6" t="s">
        <v>3912</v>
      </c>
      <c r="C799" s="6">
        <v>8963</v>
      </c>
    </row>
    <row r="800" spans="1:3" x14ac:dyDescent="0.35">
      <c r="A800" s="6">
        <v>81669</v>
      </c>
      <c r="B800" s="6" t="s">
        <v>3874</v>
      </c>
      <c r="C800" s="6">
        <v>9109</v>
      </c>
    </row>
    <row r="801" spans="1:3" x14ac:dyDescent="0.35">
      <c r="A801" s="6">
        <v>81670</v>
      </c>
      <c r="B801" s="6" t="s">
        <v>3873</v>
      </c>
      <c r="C801" s="6">
        <v>9110</v>
      </c>
    </row>
    <row r="802" spans="1:3" x14ac:dyDescent="0.35">
      <c r="A802" s="6">
        <v>81671</v>
      </c>
      <c r="B802" s="6" t="s">
        <v>3859</v>
      </c>
      <c r="C802" s="6">
        <v>8965</v>
      </c>
    </row>
    <row r="803" spans="1:3" x14ac:dyDescent="0.35">
      <c r="A803" s="6">
        <v>81672</v>
      </c>
      <c r="B803" s="6" t="s">
        <v>3832</v>
      </c>
      <c r="C803" s="6">
        <v>8966</v>
      </c>
    </row>
    <row r="804" spans="1:3" x14ac:dyDescent="0.35">
      <c r="A804" s="6">
        <v>81673</v>
      </c>
      <c r="B804" s="6" t="s">
        <v>3935</v>
      </c>
      <c r="C804" s="6">
        <v>8933</v>
      </c>
    </row>
    <row r="805" spans="1:3" x14ac:dyDescent="0.35">
      <c r="A805" s="6">
        <v>81674</v>
      </c>
      <c r="B805" s="6" t="s">
        <v>3910</v>
      </c>
      <c r="C805" s="6">
        <v>8925</v>
      </c>
    </row>
    <row r="806" spans="1:3" x14ac:dyDescent="0.35">
      <c r="A806" s="6">
        <v>81675</v>
      </c>
      <c r="B806" s="6" t="s">
        <v>3862</v>
      </c>
      <c r="C806" s="6">
        <v>9188</v>
      </c>
    </row>
    <row r="807" spans="1:3" x14ac:dyDescent="0.35">
      <c r="A807" s="6">
        <v>81676</v>
      </c>
      <c r="B807" s="6" t="s">
        <v>3906</v>
      </c>
      <c r="C807" s="6">
        <v>9219</v>
      </c>
    </row>
    <row r="808" spans="1:3" x14ac:dyDescent="0.35">
      <c r="A808" s="6">
        <v>81677</v>
      </c>
      <c r="B808" s="6" t="s">
        <v>3839</v>
      </c>
      <c r="C808" s="6">
        <v>9187</v>
      </c>
    </row>
    <row r="809" spans="1:3" x14ac:dyDescent="0.35">
      <c r="A809" s="6">
        <v>81678</v>
      </c>
      <c r="B809" s="6" t="s">
        <v>3876</v>
      </c>
      <c r="C809" s="6">
        <v>9214</v>
      </c>
    </row>
    <row r="810" spans="1:3" x14ac:dyDescent="0.35">
      <c r="A810" s="6">
        <v>81679</v>
      </c>
      <c r="B810" s="6" t="s">
        <v>3872</v>
      </c>
      <c r="C810" s="6">
        <v>9186</v>
      </c>
    </row>
    <row r="811" spans="1:3" x14ac:dyDescent="0.35">
      <c r="A811" s="6">
        <v>81680</v>
      </c>
      <c r="B811" s="6" t="s">
        <v>3917</v>
      </c>
      <c r="C811" s="6">
        <v>9111</v>
      </c>
    </row>
    <row r="812" spans="1:3" x14ac:dyDescent="0.35">
      <c r="A812" s="6">
        <v>81681</v>
      </c>
      <c r="B812" s="6" t="s">
        <v>3848</v>
      </c>
      <c r="C812" s="6">
        <v>8969</v>
      </c>
    </row>
    <row r="813" spans="1:3" x14ac:dyDescent="0.35">
      <c r="A813" s="6">
        <v>81682</v>
      </c>
      <c r="B813" s="6" t="s">
        <v>3813</v>
      </c>
      <c r="C813" s="6">
        <v>8903</v>
      </c>
    </row>
    <row r="814" spans="1:3" x14ac:dyDescent="0.35">
      <c r="A814" s="6">
        <v>81683</v>
      </c>
      <c r="B814" s="6" t="s">
        <v>3907</v>
      </c>
      <c r="C814" s="6">
        <v>8967</v>
      </c>
    </row>
    <row r="815" spans="1:3" x14ac:dyDescent="0.35">
      <c r="A815" s="6">
        <v>81684</v>
      </c>
      <c r="B815" s="6" t="s">
        <v>3916</v>
      </c>
      <c r="C815" s="6">
        <v>9168</v>
      </c>
    </row>
    <row r="816" spans="1:3" x14ac:dyDescent="0.35">
      <c r="A816" s="6">
        <v>81685</v>
      </c>
      <c r="B816" s="6" t="s">
        <v>3879</v>
      </c>
      <c r="C816" s="6">
        <v>9112</v>
      </c>
    </row>
    <row r="817" spans="1:3" x14ac:dyDescent="0.35">
      <c r="A817" s="6">
        <v>81686</v>
      </c>
      <c r="B817" s="6" t="s">
        <v>3878</v>
      </c>
      <c r="C817" s="6">
        <v>8907</v>
      </c>
    </row>
    <row r="818" spans="1:3" x14ac:dyDescent="0.35">
      <c r="A818" s="6">
        <v>81687</v>
      </c>
      <c r="B818" s="6" t="s">
        <v>3915</v>
      </c>
      <c r="C818" s="6">
        <v>9113</v>
      </c>
    </row>
    <row r="819" spans="1:3" x14ac:dyDescent="0.35">
      <c r="A819" s="6">
        <v>81688</v>
      </c>
      <c r="B819" s="6" t="s">
        <v>3877</v>
      </c>
      <c r="C819" s="6">
        <v>8985</v>
      </c>
    </row>
    <row r="820" spans="1:3" x14ac:dyDescent="0.35">
      <c r="A820" s="6">
        <v>81689</v>
      </c>
      <c r="B820" s="6" t="s">
        <v>3847</v>
      </c>
      <c r="C820" s="6">
        <v>8971</v>
      </c>
    </row>
    <row r="821" spans="1:3" x14ac:dyDescent="0.35">
      <c r="A821" s="6">
        <v>81690</v>
      </c>
      <c r="B821" s="6" t="s">
        <v>3830</v>
      </c>
      <c r="C821" s="6">
        <v>8919</v>
      </c>
    </row>
    <row r="822" spans="1:3" x14ac:dyDescent="0.35">
      <c r="A822" s="6">
        <v>81691</v>
      </c>
      <c r="B822" s="6" t="s">
        <v>3807</v>
      </c>
      <c r="C822" s="6">
        <v>8881</v>
      </c>
    </row>
    <row r="823" spans="1:3" x14ac:dyDescent="0.35">
      <c r="A823" s="6">
        <v>81692</v>
      </c>
      <c r="B823" s="6" t="s">
        <v>3933</v>
      </c>
      <c r="C823" s="6">
        <v>9167</v>
      </c>
    </row>
    <row r="824" spans="1:3" x14ac:dyDescent="0.35">
      <c r="A824" s="6">
        <v>81693</v>
      </c>
      <c r="B824" s="6" t="s">
        <v>3820</v>
      </c>
      <c r="C824" s="6">
        <v>9166</v>
      </c>
    </row>
    <row r="825" spans="1:3" x14ac:dyDescent="0.35">
      <c r="A825" s="6">
        <v>81694</v>
      </c>
      <c r="B825" s="6" t="s">
        <v>3819</v>
      </c>
      <c r="C825" s="6">
        <v>8920</v>
      </c>
    </row>
    <row r="826" spans="1:3" x14ac:dyDescent="0.35">
      <c r="A826" s="6">
        <v>81695</v>
      </c>
      <c r="B826" s="6" t="s">
        <v>3932</v>
      </c>
      <c r="C826" s="6">
        <v>8970</v>
      </c>
    </row>
    <row r="827" spans="1:3" x14ac:dyDescent="0.35">
      <c r="A827" s="6">
        <v>81696</v>
      </c>
      <c r="B827" s="6" t="s">
        <v>3919</v>
      </c>
      <c r="C827" s="6">
        <v>9114</v>
      </c>
    </row>
    <row r="828" spans="1:3" x14ac:dyDescent="0.35">
      <c r="A828" s="6">
        <v>81697</v>
      </c>
      <c r="B828" s="6" t="s">
        <v>3920</v>
      </c>
      <c r="C828" s="6">
        <v>9115</v>
      </c>
    </row>
    <row r="829" spans="1:3" x14ac:dyDescent="0.35">
      <c r="A829" s="6">
        <v>81698</v>
      </c>
      <c r="B829" s="6" t="s">
        <v>3940</v>
      </c>
      <c r="C829" s="6">
        <v>9226</v>
      </c>
    </row>
    <row r="830" spans="1:3" x14ac:dyDescent="0.35">
      <c r="A830" s="6">
        <v>81699</v>
      </c>
      <c r="B830" s="6" t="s">
        <v>3940</v>
      </c>
      <c r="C830" s="6">
        <v>9227</v>
      </c>
    </row>
    <row r="831" spans="1:3" x14ac:dyDescent="0.35">
      <c r="A831" s="6">
        <v>81700</v>
      </c>
      <c r="B831" s="6" t="s">
        <v>3940</v>
      </c>
      <c r="C831" s="6">
        <v>9228</v>
      </c>
    </row>
    <row r="832" spans="1:3" x14ac:dyDescent="0.35">
      <c r="A832" s="6">
        <v>81701</v>
      </c>
      <c r="B832" s="6" t="s">
        <v>3940</v>
      </c>
      <c r="C832" s="6">
        <v>9246</v>
      </c>
    </row>
    <row r="833" spans="1:3" x14ac:dyDescent="0.35">
      <c r="A833" s="6">
        <v>81702</v>
      </c>
      <c r="B833" s="6" t="s">
        <v>3940</v>
      </c>
      <c r="C833" s="6">
        <v>9247</v>
      </c>
    </row>
    <row r="834" spans="1:3" x14ac:dyDescent="0.35">
      <c r="A834" s="6">
        <v>81703</v>
      </c>
      <c r="B834" s="6" t="s">
        <v>3940</v>
      </c>
      <c r="C834" s="6">
        <v>9248</v>
      </c>
    </row>
    <row r="835" spans="1:3" x14ac:dyDescent="0.35">
      <c r="A835" s="6">
        <v>81704</v>
      </c>
      <c r="B835" s="6" t="s">
        <v>3882</v>
      </c>
      <c r="C835" s="6">
        <v>9249</v>
      </c>
    </row>
    <row r="836" spans="1:3" x14ac:dyDescent="0.35">
      <c r="A836" s="6">
        <v>81731</v>
      </c>
      <c r="B836" s="6" t="s">
        <v>3830</v>
      </c>
      <c r="C836" s="6">
        <v>2</v>
      </c>
    </row>
    <row r="837" spans="1:3" x14ac:dyDescent="0.35">
      <c r="A837" s="6">
        <v>81741</v>
      </c>
      <c r="B837" s="6" t="s">
        <v>3830</v>
      </c>
      <c r="C837" s="6">
        <v>3</v>
      </c>
    </row>
    <row r="838" spans="1:3" x14ac:dyDescent="0.35">
      <c r="A838" s="6">
        <v>81761</v>
      </c>
      <c r="B838" s="6" t="s">
        <v>3822</v>
      </c>
      <c r="C838" s="6">
        <v>10</v>
      </c>
    </row>
    <row r="839" spans="1:3" x14ac:dyDescent="0.35">
      <c r="A839" s="6">
        <v>81762</v>
      </c>
      <c r="B839" s="6" t="s">
        <v>3822</v>
      </c>
      <c r="C839" s="6">
        <v>12</v>
      </c>
    </row>
    <row r="840" spans="1:3" x14ac:dyDescent="0.35">
      <c r="A840" s="6">
        <v>81763</v>
      </c>
      <c r="B840" s="6" t="s">
        <v>3822</v>
      </c>
      <c r="C840" s="6">
        <v>9</v>
      </c>
    </row>
    <row r="841" spans="1:3" x14ac:dyDescent="0.35">
      <c r="A841" s="6">
        <v>81764</v>
      </c>
      <c r="B841" s="6" t="s">
        <v>3822</v>
      </c>
      <c r="C841" s="6">
        <v>13</v>
      </c>
    </row>
    <row r="842" spans="1:3" x14ac:dyDescent="0.35">
      <c r="A842" s="6">
        <v>81765</v>
      </c>
      <c r="B842" s="6" t="s">
        <v>3822</v>
      </c>
      <c r="C842" s="6">
        <v>14</v>
      </c>
    </row>
    <row r="843" spans="1:3" x14ac:dyDescent="0.35">
      <c r="A843" s="6">
        <v>81766</v>
      </c>
      <c r="B843" s="6" t="s">
        <v>3822</v>
      </c>
      <c r="C843" s="6">
        <v>11</v>
      </c>
    </row>
    <row r="844" spans="1:3" x14ac:dyDescent="0.35">
      <c r="A844" s="6">
        <v>81767</v>
      </c>
      <c r="B844" s="6" t="s">
        <v>3840</v>
      </c>
      <c r="C844" s="6" t="s">
        <v>3655</v>
      </c>
    </row>
    <row r="845" spans="1:3" x14ac:dyDescent="0.35">
      <c r="A845" s="6">
        <v>81768</v>
      </c>
      <c r="B845" s="6" t="s">
        <v>3840</v>
      </c>
      <c r="C845" s="6" t="s">
        <v>3656</v>
      </c>
    </row>
    <row r="846" spans="1:3" x14ac:dyDescent="0.35">
      <c r="A846" s="6">
        <v>81769</v>
      </c>
      <c r="B846" s="6" t="s">
        <v>3840</v>
      </c>
      <c r="C846" s="6" t="s">
        <v>3657</v>
      </c>
    </row>
    <row r="847" spans="1:3" x14ac:dyDescent="0.35">
      <c r="A847" s="6">
        <v>81770</v>
      </c>
      <c r="B847" s="6" t="s">
        <v>3840</v>
      </c>
      <c r="C847" s="6" t="s">
        <v>3658</v>
      </c>
    </row>
    <row r="848" spans="1:3" x14ac:dyDescent="0.35">
      <c r="A848" s="6">
        <v>81771</v>
      </c>
      <c r="B848" s="6" t="s">
        <v>3811</v>
      </c>
      <c r="C848" s="6">
        <v>9309</v>
      </c>
    </row>
    <row r="849" spans="1:3" x14ac:dyDescent="0.35">
      <c r="A849" s="6"/>
      <c r="B849" s="6"/>
      <c r="C849" s="6"/>
    </row>
  </sheetData>
  <autoFilter ref="A1:C848" xr:uid="{01D07620-D40A-4F7B-8911-0354B0E0ED86}"/>
  <pageMargins left="0.7" right="0.7" top="0.75" bottom="0.75" header="0.3" footer="0.3"/>
  <pageSetup orientation="portrait" r:id="rId1"/>
  <headerFooter>
    <oddFooter>&amp;L&amp;1#&amp;"Calibri"&amp;10&amp;K000000Classification: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E2BBD-36DE-4C30-91A7-8F565AA25E09}">
  <sheetPr codeName="Sheet8"/>
  <dimension ref="A1:A58"/>
  <sheetViews>
    <sheetView workbookViewId="0">
      <selection activeCell="E55" sqref="E55"/>
    </sheetView>
  </sheetViews>
  <sheetFormatPr defaultRowHeight="14.5" x14ac:dyDescent="0.35"/>
  <cols>
    <col min="1" max="1" width="23.08984375" bestFit="1" customWidth="1"/>
  </cols>
  <sheetData>
    <row r="1" spans="1:1" x14ac:dyDescent="0.35">
      <c r="A1" s="66" t="s">
        <v>3659</v>
      </c>
    </row>
    <row r="2" spans="1:1" x14ac:dyDescent="0.35">
      <c r="A2" t="s">
        <v>295</v>
      </c>
    </row>
    <row r="3" spans="1:1" x14ac:dyDescent="0.35">
      <c r="A3" t="s">
        <v>98</v>
      </c>
    </row>
    <row r="4" spans="1:1" x14ac:dyDescent="0.35">
      <c r="A4" t="s">
        <v>3660</v>
      </c>
    </row>
    <row r="5" spans="1:1" x14ac:dyDescent="0.35">
      <c r="A5" t="s">
        <v>3591</v>
      </c>
    </row>
    <row r="6" spans="1:1" x14ac:dyDescent="0.35">
      <c r="A6" t="s">
        <v>40</v>
      </c>
    </row>
    <row r="7" spans="1:1" x14ac:dyDescent="0.35">
      <c r="A7" t="s">
        <v>3298</v>
      </c>
    </row>
    <row r="8" spans="1:1" x14ac:dyDescent="0.35">
      <c r="A8" t="s">
        <v>3300</v>
      </c>
    </row>
    <row r="9" spans="1:1" x14ac:dyDescent="0.35">
      <c r="A9" t="s">
        <v>125</v>
      </c>
    </row>
    <row r="10" spans="1:1" x14ac:dyDescent="0.35">
      <c r="A10" t="s">
        <v>604</v>
      </c>
    </row>
    <row r="11" spans="1:1" x14ac:dyDescent="0.35">
      <c r="A11" t="s">
        <v>3661</v>
      </c>
    </row>
    <row r="12" spans="1:1" x14ac:dyDescent="0.35">
      <c r="A12" t="s">
        <v>26</v>
      </c>
    </row>
    <row r="13" spans="1:1" x14ac:dyDescent="0.35">
      <c r="A13" t="s">
        <v>3662</v>
      </c>
    </row>
    <row r="14" spans="1:1" x14ac:dyDescent="0.35">
      <c r="A14" t="s">
        <v>3663</v>
      </c>
    </row>
    <row r="15" spans="1:1" x14ac:dyDescent="0.35">
      <c r="A15" t="s">
        <v>199</v>
      </c>
    </row>
    <row r="16" spans="1:1" x14ac:dyDescent="0.35">
      <c r="A16" t="s">
        <v>207</v>
      </c>
    </row>
    <row r="17" spans="1:1" x14ac:dyDescent="0.35">
      <c r="A17" t="s">
        <v>258</v>
      </c>
    </row>
    <row r="18" spans="1:1" x14ac:dyDescent="0.35">
      <c r="A18" t="s">
        <v>301</v>
      </c>
    </row>
    <row r="19" spans="1:1" x14ac:dyDescent="0.35">
      <c r="A19" t="s">
        <v>3664</v>
      </c>
    </row>
    <row r="20" spans="1:1" x14ac:dyDescent="0.35">
      <c r="A20" t="s">
        <v>3665</v>
      </c>
    </row>
    <row r="21" spans="1:1" x14ac:dyDescent="0.35">
      <c r="A21" t="s">
        <v>3666</v>
      </c>
    </row>
    <row r="22" spans="1:1" x14ac:dyDescent="0.35">
      <c r="A22" t="s">
        <v>3667</v>
      </c>
    </row>
    <row r="23" spans="1:1" x14ac:dyDescent="0.35">
      <c r="A23" t="s">
        <v>3668</v>
      </c>
    </row>
    <row r="24" spans="1:1" x14ac:dyDescent="0.35">
      <c r="A24" t="s">
        <v>3669</v>
      </c>
    </row>
    <row r="25" spans="1:1" x14ac:dyDescent="0.35">
      <c r="A25" t="s">
        <v>41</v>
      </c>
    </row>
    <row r="26" spans="1:1" x14ac:dyDescent="0.35">
      <c r="A26" t="s">
        <v>735</v>
      </c>
    </row>
    <row r="27" spans="1:1" x14ac:dyDescent="0.35">
      <c r="A27" t="s">
        <v>879</v>
      </c>
    </row>
    <row r="28" spans="1:1" x14ac:dyDescent="0.35">
      <c r="A28" t="s">
        <v>938</v>
      </c>
    </row>
    <row r="29" spans="1:1" x14ac:dyDescent="0.35">
      <c r="A29" t="s">
        <v>794</v>
      </c>
    </row>
    <row r="30" spans="1:1" x14ac:dyDescent="0.35">
      <c r="A30" t="s">
        <v>3670</v>
      </c>
    </row>
    <row r="31" spans="1:1" x14ac:dyDescent="0.35">
      <c r="A31" t="s">
        <v>573</v>
      </c>
    </row>
    <row r="32" spans="1:1" x14ac:dyDescent="0.35">
      <c r="A32" t="s">
        <v>254</v>
      </c>
    </row>
    <row r="33" spans="1:1" x14ac:dyDescent="0.35">
      <c r="A33" t="s">
        <v>3671</v>
      </c>
    </row>
    <row r="34" spans="1:1" x14ac:dyDescent="0.35">
      <c r="A34" t="s">
        <v>278</v>
      </c>
    </row>
    <row r="35" spans="1:1" x14ac:dyDescent="0.35">
      <c r="A35" t="s">
        <v>284</v>
      </c>
    </row>
    <row r="36" spans="1:1" x14ac:dyDescent="0.35">
      <c r="A36" s="67" t="s">
        <v>911</v>
      </c>
    </row>
    <row r="37" spans="1:1" x14ac:dyDescent="0.35">
      <c r="A37" t="s">
        <v>927</v>
      </c>
    </row>
    <row r="38" spans="1:1" x14ac:dyDescent="0.35">
      <c r="A38" t="s">
        <v>923</v>
      </c>
    </row>
    <row r="39" spans="1:1" x14ac:dyDescent="0.35">
      <c r="A39" t="s">
        <v>919</v>
      </c>
    </row>
    <row r="40" spans="1:1" x14ac:dyDescent="0.35">
      <c r="A40" t="s">
        <v>3672</v>
      </c>
    </row>
    <row r="41" spans="1:1" x14ac:dyDescent="0.35">
      <c r="A41" t="s">
        <v>3673</v>
      </c>
    </row>
    <row r="42" spans="1:1" x14ac:dyDescent="0.35">
      <c r="A42" t="s">
        <v>3674</v>
      </c>
    </row>
    <row r="43" spans="1:1" x14ac:dyDescent="0.35">
      <c r="A43" t="s">
        <v>3675</v>
      </c>
    </row>
    <row r="44" spans="1:1" x14ac:dyDescent="0.35">
      <c r="A44" t="s">
        <v>3676</v>
      </c>
    </row>
    <row r="45" spans="1:1" x14ac:dyDescent="0.35">
      <c r="A45" t="s">
        <v>3677</v>
      </c>
    </row>
    <row r="46" spans="1:1" x14ac:dyDescent="0.35">
      <c r="A46" t="s">
        <v>899</v>
      </c>
    </row>
    <row r="47" spans="1:1" x14ac:dyDescent="0.35">
      <c r="A47" t="s">
        <v>3678</v>
      </c>
    </row>
    <row r="48" spans="1:1" x14ac:dyDescent="0.35">
      <c r="A48" t="s">
        <v>3679</v>
      </c>
    </row>
    <row r="49" spans="1:1" x14ac:dyDescent="0.35">
      <c r="A49" t="s">
        <v>3680</v>
      </c>
    </row>
    <row r="50" spans="1:1" x14ac:dyDescent="0.35">
      <c r="A50" t="s">
        <v>3681</v>
      </c>
    </row>
    <row r="51" spans="1:1" x14ac:dyDescent="0.35">
      <c r="A51" t="s">
        <v>3972</v>
      </c>
    </row>
    <row r="52" spans="1:1" x14ac:dyDescent="0.35">
      <c r="A52" t="s">
        <v>3973</v>
      </c>
    </row>
    <row r="53" spans="1:1" x14ac:dyDescent="0.35">
      <c r="A53" t="s">
        <v>3682</v>
      </c>
    </row>
    <row r="54" spans="1:1" x14ac:dyDescent="0.35">
      <c r="A54" t="s">
        <v>3974</v>
      </c>
    </row>
    <row r="55" spans="1:1" x14ac:dyDescent="0.35">
      <c r="A55" t="s">
        <v>3683</v>
      </c>
    </row>
    <row r="56" spans="1:1" x14ac:dyDescent="0.35">
      <c r="A56" t="s">
        <v>3685</v>
      </c>
    </row>
    <row r="57" spans="1:1" x14ac:dyDescent="0.35">
      <c r="A57" t="s">
        <v>3975</v>
      </c>
    </row>
    <row r="58" spans="1:1" x14ac:dyDescent="0.35">
      <c r="A58" t="s">
        <v>3687</v>
      </c>
    </row>
  </sheetData>
  <pageMargins left="0.7" right="0.7" top="0.75" bottom="0.75" header="0.3" footer="0.3"/>
  <pageSetup orientation="portrait" r:id="rId1"/>
  <headerFooter>
    <oddFooter>&amp;L&amp;1#&amp;"Calibri"&amp;10&amp;K000000Classification: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75ECB-FF91-4117-AB3F-FF2D508D4D16}">
  <sheetPr codeName="Sheet9"/>
  <dimension ref="A1:B13"/>
  <sheetViews>
    <sheetView workbookViewId="0">
      <selection activeCell="C8" sqref="C8"/>
    </sheetView>
  </sheetViews>
  <sheetFormatPr defaultRowHeight="14.5" x14ac:dyDescent="0.35"/>
  <cols>
    <col min="1" max="1" width="29.81640625" customWidth="1"/>
    <col min="2" max="2" width="10.54296875" customWidth="1"/>
  </cols>
  <sheetData>
    <row r="1" spans="1:2" ht="15" thickBot="1" x14ac:dyDescent="0.4">
      <c r="A1" s="61" t="s">
        <v>1088</v>
      </c>
      <c r="B1" s="62" t="s">
        <v>23</v>
      </c>
    </row>
    <row r="2" spans="1:2" ht="15" thickBot="1" x14ac:dyDescent="0.4">
      <c r="A2" s="63" t="s">
        <v>1089</v>
      </c>
      <c r="B2" s="60" t="s">
        <v>56</v>
      </c>
    </row>
    <row r="3" spans="1:2" ht="15" thickBot="1" x14ac:dyDescent="0.4">
      <c r="A3" s="63" t="s">
        <v>3305</v>
      </c>
      <c r="B3" s="60" t="s">
        <v>3314</v>
      </c>
    </row>
    <row r="4" spans="1:2" ht="15" thickBot="1" x14ac:dyDescent="0.4">
      <c r="A4" s="63" t="s">
        <v>1090</v>
      </c>
      <c r="B4" s="60" t="s">
        <v>204</v>
      </c>
    </row>
    <row r="5" spans="1:2" ht="15" thickBot="1" x14ac:dyDescent="0.4">
      <c r="A5" s="63" t="s">
        <v>1091</v>
      </c>
      <c r="B5" s="60" t="s">
        <v>213</v>
      </c>
    </row>
    <row r="6" spans="1:2" ht="15" thickBot="1" x14ac:dyDescent="0.4">
      <c r="A6" s="63" t="s">
        <v>1092</v>
      </c>
      <c r="B6" s="60" t="s">
        <v>221</v>
      </c>
    </row>
    <row r="7" spans="1:2" ht="15" thickBot="1" x14ac:dyDescent="0.4">
      <c r="A7" s="63" t="s">
        <v>1093</v>
      </c>
      <c r="B7" s="60" t="s">
        <v>229</v>
      </c>
    </row>
    <row r="8" spans="1:2" ht="15" thickBot="1" x14ac:dyDescent="0.4">
      <c r="A8" s="63" t="s">
        <v>3307</v>
      </c>
      <c r="B8" s="63" t="s">
        <v>3306</v>
      </c>
    </row>
    <row r="9" spans="1:2" ht="15" thickBot="1" x14ac:dyDescent="0.4">
      <c r="A9" s="63" t="s">
        <v>3308</v>
      </c>
      <c r="B9" s="63" t="s">
        <v>3309</v>
      </c>
    </row>
    <row r="10" spans="1:2" ht="15" thickBot="1" x14ac:dyDescent="0.4">
      <c r="A10" s="63" t="s">
        <v>3312</v>
      </c>
      <c r="B10" s="63" t="s">
        <v>3310</v>
      </c>
    </row>
    <row r="11" spans="1:2" ht="15" thickBot="1" x14ac:dyDescent="0.4">
      <c r="A11" s="63" t="s">
        <v>3313</v>
      </c>
      <c r="B11" s="63" t="s">
        <v>3311</v>
      </c>
    </row>
    <row r="12" spans="1:2" ht="15" thickBot="1" x14ac:dyDescent="0.4">
      <c r="A12" s="60" t="s">
        <v>3315</v>
      </c>
      <c r="B12" s="60" t="s">
        <v>3316</v>
      </c>
    </row>
    <row r="13" spans="1:2" ht="15" thickBot="1" x14ac:dyDescent="0.4">
      <c r="A13" s="60" t="s">
        <v>3317</v>
      </c>
      <c r="B13" s="60" t="s">
        <v>3318</v>
      </c>
    </row>
  </sheetData>
  <pageMargins left="0.7" right="0.7" top="0.75" bottom="0.75" header="0.3" footer="0.3"/>
  <pageSetup paperSize="9" orientation="portrait" r:id="rId1"/>
  <headerFooter>
    <oddFooter>&amp;L&amp;1#&amp;"Calibri"&amp;10&amp;K000000Classification: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D3438-6515-4C4C-BA13-9F1B1C3D033D}">
  <sheetPr codeName="Sheet7"/>
  <dimension ref="A1:D1415"/>
  <sheetViews>
    <sheetView topLeftCell="A1380" workbookViewId="0">
      <selection activeCell="A1385" sqref="A1385"/>
    </sheetView>
  </sheetViews>
  <sheetFormatPr defaultRowHeight="14.5" x14ac:dyDescent="0.35"/>
  <cols>
    <col min="1" max="1" width="44.54296875" bestFit="1" customWidth="1"/>
    <col min="2" max="2" width="29.54296875" customWidth="1"/>
    <col min="4" max="4" width="12.36328125" bestFit="1" customWidth="1"/>
  </cols>
  <sheetData>
    <row r="1" spans="1:4" ht="37.5" x14ac:dyDescent="0.35">
      <c r="A1" s="25" t="s">
        <v>1083</v>
      </c>
      <c r="B1" s="25" t="s">
        <v>604</v>
      </c>
      <c r="C1" s="26" t="s">
        <v>133</v>
      </c>
    </row>
    <row r="2" spans="1:4" x14ac:dyDescent="0.35">
      <c r="A2" s="6" t="s">
        <v>2541</v>
      </c>
      <c r="B2" s="6">
        <v>100037</v>
      </c>
      <c r="C2" s="6" t="s">
        <v>3319</v>
      </c>
      <c r="D2" s="6" t="s">
        <v>3622</v>
      </c>
    </row>
    <row r="3" spans="1:4" x14ac:dyDescent="0.35">
      <c r="A3" s="6" t="s">
        <v>2471</v>
      </c>
      <c r="B3" s="6">
        <v>100048</v>
      </c>
      <c r="C3" s="6" t="s">
        <v>3319</v>
      </c>
      <c r="D3" s="6" t="s">
        <v>3622</v>
      </c>
    </row>
    <row r="4" spans="1:4" x14ac:dyDescent="0.35">
      <c r="A4" s="6" t="s">
        <v>1243</v>
      </c>
      <c r="B4" s="6">
        <v>100160</v>
      </c>
      <c r="C4" s="6" t="s">
        <v>94</v>
      </c>
      <c r="D4" s="6" t="s">
        <v>3622</v>
      </c>
    </row>
    <row r="5" spans="1:4" x14ac:dyDescent="0.35">
      <c r="A5" s="6" t="s">
        <v>1245</v>
      </c>
      <c r="B5" s="6">
        <v>100194</v>
      </c>
      <c r="C5" s="6" t="s">
        <v>1244</v>
      </c>
      <c r="D5" s="6" t="s">
        <v>3623</v>
      </c>
    </row>
    <row r="6" spans="1:4" x14ac:dyDescent="0.35">
      <c r="A6" s="6" t="s">
        <v>3320</v>
      </c>
      <c r="B6" s="6">
        <v>100219</v>
      </c>
      <c r="C6" s="6" t="s">
        <v>1242</v>
      </c>
      <c r="D6" s="6" t="s">
        <v>3622</v>
      </c>
    </row>
    <row r="7" spans="1:4" x14ac:dyDescent="0.35">
      <c r="A7" s="6" t="s">
        <v>1253</v>
      </c>
      <c r="B7" s="6">
        <v>100240</v>
      </c>
      <c r="C7" s="6" t="s">
        <v>1244</v>
      </c>
      <c r="D7" s="6" t="s">
        <v>3623</v>
      </c>
    </row>
    <row r="8" spans="1:4" x14ac:dyDescent="0.35">
      <c r="A8" s="6" t="s">
        <v>1254</v>
      </c>
      <c r="B8" s="6">
        <v>100246</v>
      </c>
      <c r="C8" s="6" t="s">
        <v>1244</v>
      </c>
      <c r="D8" s="6" t="s">
        <v>3622</v>
      </c>
    </row>
    <row r="9" spans="1:4" x14ac:dyDescent="0.35">
      <c r="A9" s="6" t="s">
        <v>1255</v>
      </c>
      <c r="B9" s="6">
        <v>100250</v>
      </c>
      <c r="C9" s="6" t="s">
        <v>1244</v>
      </c>
      <c r="D9" s="6" t="s">
        <v>3622</v>
      </c>
    </row>
    <row r="10" spans="1:4" x14ac:dyDescent="0.35">
      <c r="A10" s="6" t="s">
        <v>1256</v>
      </c>
      <c r="B10" s="6">
        <v>100259</v>
      </c>
      <c r="C10" s="6" t="s">
        <v>94</v>
      </c>
      <c r="D10" s="6" t="s">
        <v>3622</v>
      </c>
    </row>
    <row r="11" spans="1:4" x14ac:dyDescent="0.35">
      <c r="A11" s="6" t="s">
        <v>1257</v>
      </c>
      <c r="B11" s="6">
        <v>100261</v>
      </c>
      <c r="C11" s="6" t="s">
        <v>94</v>
      </c>
      <c r="D11" s="6" t="s">
        <v>3622</v>
      </c>
    </row>
    <row r="12" spans="1:4" x14ac:dyDescent="0.35">
      <c r="A12" s="6" t="s">
        <v>1258</v>
      </c>
      <c r="B12" s="6">
        <v>100263</v>
      </c>
      <c r="C12" s="6" t="s">
        <v>1244</v>
      </c>
      <c r="D12" s="6" t="s">
        <v>3623</v>
      </c>
    </row>
    <row r="13" spans="1:4" x14ac:dyDescent="0.35">
      <c r="A13" s="6" t="s">
        <v>1259</v>
      </c>
      <c r="B13" s="6">
        <v>100315</v>
      </c>
      <c r="C13" s="6" t="s">
        <v>64</v>
      </c>
      <c r="D13" s="6" t="s">
        <v>3622</v>
      </c>
    </row>
    <row r="14" spans="1:4" x14ac:dyDescent="0.35">
      <c r="A14" s="6" t="s">
        <v>1260</v>
      </c>
      <c r="B14" s="6">
        <v>100357</v>
      </c>
      <c r="C14" s="6" t="s">
        <v>1244</v>
      </c>
      <c r="D14" s="6" t="s">
        <v>3623</v>
      </c>
    </row>
    <row r="15" spans="1:4" x14ac:dyDescent="0.35">
      <c r="A15" s="6" t="s">
        <v>1261</v>
      </c>
      <c r="B15" s="6">
        <v>100365</v>
      </c>
      <c r="C15" s="6" t="s">
        <v>1244</v>
      </c>
      <c r="D15" s="6" t="s">
        <v>3623</v>
      </c>
    </row>
    <row r="16" spans="1:4" x14ac:dyDescent="0.35">
      <c r="A16" s="6" t="s">
        <v>1263</v>
      </c>
      <c r="B16" s="6">
        <v>100389</v>
      </c>
      <c r="C16" s="6" t="s">
        <v>1244</v>
      </c>
      <c r="D16" s="6" t="s">
        <v>3624</v>
      </c>
    </row>
    <row r="17" spans="1:4" x14ac:dyDescent="0.35">
      <c r="A17" s="6" t="s">
        <v>1264</v>
      </c>
      <c r="B17" s="6">
        <v>100398</v>
      </c>
      <c r="C17" s="6" t="s">
        <v>1249</v>
      </c>
      <c r="D17" s="6" t="s">
        <v>3624</v>
      </c>
    </row>
    <row r="18" spans="1:4" x14ac:dyDescent="0.35">
      <c r="A18" s="6" t="s">
        <v>3321</v>
      </c>
      <c r="B18" s="6">
        <v>100426</v>
      </c>
      <c r="C18" s="6" t="s">
        <v>1244</v>
      </c>
      <c r="D18" s="6" t="s">
        <v>3623</v>
      </c>
    </row>
    <row r="19" spans="1:4" x14ac:dyDescent="0.35">
      <c r="A19" s="6" t="s">
        <v>1266</v>
      </c>
      <c r="B19" s="6">
        <v>100443</v>
      </c>
      <c r="C19" s="6" t="s">
        <v>2472</v>
      </c>
      <c r="D19" s="6" t="s">
        <v>3623</v>
      </c>
    </row>
    <row r="20" spans="1:4" x14ac:dyDescent="0.35">
      <c r="A20" s="6" t="s">
        <v>1267</v>
      </c>
      <c r="B20" s="6">
        <v>100496</v>
      </c>
      <c r="C20" s="6" t="s">
        <v>1244</v>
      </c>
      <c r="D20" s="6" t="s">
        <v>3622</v>
      </c>
    </row>
    <row r="21" spans="1:4" x14ac:dyDescent="0.35">
      <c r="A21" s="6" t="s">
        <v>1701</v>
      </c>
      <c r="B21" s="6">
        <v>100571</v>
      </c>
      <c r="C21" s="6" t="s">
        <v>94</v>
      </c>
      <c r="D21" s="6" t="s">
        <v>3622</v>
      </c>
    </row>
    <row r="22" spans="1:4" x14ac:dyDescent="0.35">
      <c r="A22" s="6" t="s">
        <v>1268</v>
      </c>
      <c r="B22" s="6">
        <v>100610</v>
      </c>
      <c r="C22" s="6" t="s">
        <v>1244</v>
      </c>
      <c r="D22" s="6" t="s">
        <v>3622</v>
      </c>
    </row>
    <row r="23" spans="1:4" x14ac:dyDescent="0.35">
      <c r="A23" s="6" t="s">
        <v>1690</v>
      </c>
      <c r="B23" s="6">
        <v>100641</v>
      </c>
      <c r="C23" s="6" t="s">
        <v>1691</v>
      </c>
      <c r="D23" s="6" t="s">
        <v>3624</v>
      </c>
    </row>
    <row r="24" spans="1:4" x14ac:dyDescent="0.35">
      <c r="A24" s="6" t="s">
        <v>1692</v>
      </c>
      <c r="B24" s="6">
        <v>100642</v>
      </c>
      <c r="C24" s="6" t="s">
        <v>1691</v>
      </c>
      <c r="D24" s="6" t="s">
        <v>3622</v>
      </c>
    </row>
    <row r="25" spans="1:4" x14ac:dyDescent="0.35">
      <c r="A25" s="6" t="s">
        <v>2473</v>
      </c>
      <c r="B25" s="6">
        <v>100843</v>
      </c>
      <c r="C25" s="6" t="s">
        <v>3319</v>
      </c>
      <c r="D25" s="6" t="s">
        <v>3622</v>
      </c>
    </row>
    <row r="26" spans="1:4" x14ac:dyDescent="0.35">
      <c r="A26" s="6" t="s">
        <v>2474</v>
      </c>
      <c r="B26" s="6">
        <v>100844</v>
      </c>
      <c r="C26" s="6" t="s">
        <v>3319</v>
      </c>
      <c r="D26" s="6" t="s">
        <v>3622</v>
      </c>
    </row>
    <row r="27" spans="1:4" x14ac:dyDescent="0.35">
      <c r="A27" s="6" t="s">
        <v>1269</v>
      </c>
      <c r="B27" s="6">
        <v>101194</v>
      </c>
      <c r="C27" s="6" t="s">
        <v>1270</v>
      </c>
      <c r="D27" s="6" t="s">
        <v>3623</v>
      </c>
    </row>
    <row r="28" spans="1:4" x14ac:dyDescent="0.35">
      <c r="A28" s="6" t="s">
        <v>3322</v>
      </c>
      <c r="B28" s="6">
        <v>101861</v>
      </c>
      <c r="C28" s="6" t="s">
        <v>1244</v>
      </c>
      <c r="D28" s="6" t="s">
        <v>3623</v>
      </c>
    </row>
    <row r="29" spans="1:4" x14ac:dyDescent="0.35">
      <c r="A29" s="6" t="s">
        <v>1271</v>
      </c>
      <c r="B29" s="6">
        <v>102193</v>
      </c>
      <c r="C29" s="6" t="s">
        <v>1087</v>
      </c>
      <c r="D29" s="6" t="s">
        <v>3623</v>
      </c>
    </row>
    <row r="30" spans="1:4" x14ac:dyDescent="0.35">
      <c r="A30" s="6" t="s">
        <v>3323</v>
      </c>
      <c r="B30" s="6">
        <v>102422</v>
      </c>
      <c r="C30" s="6" t="s">
        <v>94</v>
      </c>
      <c r="D30" s="6" t="s">
        <v>3623</v>
      </c>
    </row>
    <row r="31" spans="1:4" x14ac:dyDescent="0.35">
      <c r="A31" s="6" t="s">
        <v>3324</v>
      </c>
      <c r="B31" s="6">
        <v>102424</v>
      </c>
      <c r="C31" s="6" t="s">
        <v>94</v>
      </c>
      <c r="D31" s="6" t="s">
        <v>3622</v>
      </c>
    </row>
    <row r="32" spans="1:4" x14ac:dyDescent="0.35">
      <c r="A32" s="6" t="s">
        <v>3325</v>
      </c>
      <c r="B32" s="6">
        <v>103062</v>
      </c>
      <c r="C32" s="6" t="s">
        <v>94</v>
      </c>
      <c r="D32" s="6" t="s">
        <v>3624</v>
      </c>
    </row>
    <row r="33" spans="1:4" x14ac:dyDescent="0.35">
      <c r="A33" s="6" t="s">
        <v>3326</v>
      </c>
      <c r="B33" s="6">
        <v>103093</v>
      </c>
      <c r="C33" s="6" t="s">
        <v>1689</v>
      </c>
      <c r="D33" s="6" t="s">
        <v>3624</v>
      </c>
    </row>
    <row r="34" spans="1:4" x14ac:dyDescent="0.35">
      <c r="A34" s="6" t="s">
        <v>1273</v>
      </c>
      <c r="B34" s="6">
        <v>103223</v>
      </c>
      <c r="C34" s="6" t="s">
        <v>1248</v>
      </c>
      <c r="D34" s="6" t="s">
        <v>3623</v>
      </c>
    </row>
    <row r="35" spans="1:4" x14ac:dyDescent="0.35">
      <c r="A35" s="6" t="s">
        <v>3327</v>
      </c>
      <c r="B35" s="6">
        <v>103227</v>
      </c>
      <c r="C35" s="6" t="s">
        <v>1244</v>
      </c>
      <c r="D35" s="6" t="s">
        <v>3623</v>
      </c>
    </row>
    <row r="36" spans="1:4" x14ac:dyDescent="0.35">
      <c r="A36" s="6" t="s">
        <v>3328</v>
      </c>
      <c r="B36" s="6">
        <v>103295</v>
      </c>
      <c r="C36" s="6" t="s">
        <v>1689</v>
      </c>
      <c r="D36" s="6" t="s">
        <v>3624</v>
      </c>
    </row>
    <row r="37" spans="1:4" x14ac:dyDescent="0.35">
      <c r="A37" s="6" t="s">
        <v>1274</v>
      </c>
      <c r="B37" s="6">
        <v>103342</v>
      </c>
      <c r="C37" s="6" t="s">
        <v>1244</v>
      </c>
      <c r="D37" s="6" t="s">
        <v>3623</v>
      </c>
    </row>
    <row r="38" spans="1:4" x14ac:dyDescent="0.35">
      <c r="A38" s="6" t="s">
        <v>3329</v>
      </c>
      <c r="B38" s="6">
        <v>103366</v>
      </c>
      <c r="C38" s="6" t="s">
        <v>1244</v>
      </c>
      <c r="D38" s="6" t="s">
        <v>3623</v>
      </c>
    </row>
    <row r="39" spans="1:4" x14ac:dyDescent="0.35">
      <c r="A39" s="6" t="s">
        <v>3330</v>
      </c>
      <c r="B39" s="6">
        <v>104187</v>
      </c>
      <c r="C39" s="6" t="s">
        <v>1689</v>
      </c>
      <c r="D39" s="6" t="s">
        <v>3624</v>
      </c>
    </row>
    <row r="40" spans="1:4" x14ac:dyDescent="0.35">
      <c r="A40" s="6" t="s">
        <v>1275</v>
      </c>
      <c r="B40" s="6">
        <v>104364</v>
      </c>
      <c r="C40" s="6" t="s">
        <v>2475</v>
      </c>
      <c r="D40" s="6" t="s">
        <v>3623</v>
      </c>
    </row>
    <row r="41" spans="1:4" x14ac:dyDescent="0.35">
      <c r="A41" s="6" t="s">
        <v>1276</v>
      </c>
      <c r="B41" s="6">
        <v>104483</v>
      </c>
      <c r="C41" s="6" t="s">
        <v>1087</v>
      </c>
      <c r="D41" s="6" t="s">
        <v>3623</v>
      </c>
    </row>
    <row r="42" spans="1:4" x14ac:dyDescent="0.35">
      <c r="A42" s="6" t="s">
        <v>1277</v>
      </c>
      <c r="B42" s="6">
        <v>104484</v>
      </c>
      <c r="C42" s="6" t="s">
        <v>1087</v>
      </c>
      <c r="D42" s="6" t="s">
        <v>3623</v>
      </c>
    </row>
    <row r="43" spans="1:4" x14ac:dyDescent="0.35">
      <c r="A43" s="6" t="s">
        <v>1278</v>
      </c>
      <c r="B43" s="6">
        <v>104485</v>
      </c>
      <c r="C43" s="6" t="s">
        <v>1087</v>
      </c>
      <c r="D43" s="6" t="s">
        <v>3623</v>
      </c>
    </row>
    <row r="44" spans="1:4" x14ac:dyDescent="0.35">
      <c r="A44" s="6" t="s">
        <v>1279</v>
      </c>
      <c r="B44" s="6">
        <v>104487</v>
      </c>
      <c r="C44" s="6" t="s">
        <v>1087</v>
      </c>
      <c r="D44" s="6" t="s">
        <v>3623</v>
      </c>
    </row>
    <row r="45" spans="1:4" x14ac:dyDescent="0.35">
      <c r="A45" s="6" t="s">
        <v>1280</v>
      </c>
      <c r="B45" s="6">
        <v>104488</v>
      </c>
      <c r="C45" s="6" t="s">
        <v>1087</v>
      </c>
      <c r="D45" s="6" t="s">
        <v>3623</v>
      </c>
    </row>
    <row r="46" spans="1:4" x14ac:dyDescent="0.35">
      <c r="A46" s="6" t="s">
        <v>1281</v>
      </c>
      <c r="B46" s="6">
        <v>104492</v>
      </c>
      <c r="C46" s="6" t="s">
        <v>1087</v>
      </c>
      <c r="D46" s="6" t="s">
        <v>3623</v>
      </c>
    </row>
    <row r="47" spans="1:4" x14ac:dyDescent="0.35">
      <c r="A47" s="6" t="s">
        <v>1282</v>
      </c>
      <c r="B47" s="6">
        <v>104493</v>
      </c>
      <c r="C47" s="6" t="s">
        <v>1087</v>
      </c>
      <c r="D47" s="6" t="s">
        <v>3623</v>
      </c>
    </row>
    <row r="48" spans="1:4" x14ac:dyDescent="0.35">
      <c r="A48" s="6" t="s">
        <v>1283</v>
      </c>
      <c r="B48" s="6">
        <v>104494</v>
      </c>
      <c r="C48" s="6" t="s">
        <v>1087</v>
      </c>
      <c r="D48" s="6" t="s">
        <v>3623</v>
      </c>
    </row>
    <row r="49" spans="1:4" x14ac:dyDescent="0.35">
      <c r="A49" s="6" t="s">
        <v>1284</v>
      </c>
      <c r="B49" s="6">
        <v>104495</v>
      </c>
      <c r="C49" s="6" t="s">
        <v>1087</v>
      </c>
      <c r="D49" s="6" t="s">
        <v>3623</v>
      </c>
    </row>
    <row r="50" spans="1:4" x14ac:dyDescent="0.35">
      <c r="A50" s="6" t="s">
        <v>1285</v>
      </c>
      <c r="B50" s="6">
        <v>104498</v>
      </c>
      <c r="C50" s="6" t="s">
        <v>1087</v>
      </c>
      <c r="D50" s="6" t="s">
        <v>3623</v>
      </c>
    </row>
    <row r="51" spans="1:4" x14ac:dyDescent="0.35">
      <c r="A51" s="6" t="s">
        <v>1286</v>
      </c>
      <c r="B51" s="6">
        <v>104499</v>
      </c>
      <c r="C51" s="6" t="s">
        <v>1087</v>
      </c>
      <c r="D51" s="6" t="s">
        <v>3623</v>
      </c>
    </row>
    <row r="52" spans="1:4" x14ac:dyDescent="0.35">
      <c r="A52" s="6" t="s">
        <v>1287</v>
      </c>
      <c r="B52" s="6">
        <v>104500</v>
      </c>
      <c r="C52" s="6" t="s">
        <v>1087</v>
      </c>
      <c r="D52" s="6" t="s">
        <v>3623</v>
      </c>
    </row>
    <row r="53" spans="1:4" x14ac:dyDescent="0.35">
      <c r="A53" s="6" t="s">
        <v>3331</v>
      </c>
      <c r="B53" s="6">
        <v>104502</v>
      </c>
      <c r="C53" s="6" t="s">
        <v>1085</v>
      </c>
      <c r="D53" s="6" t="s">
        <v>3623</v>
      </c>
    </row>
    <row r="54" spans="1:4" x14ac:dyDescent="0.35">
      <c r="A54" s="6" t="s">
        <v>1288</v>
      </c>
      <c r="B54" s="6">
        <v>104504</v>
      </c>
      <c r="C54" s="6" t="s">
        <v>1098</v>
      </c>
      <c r="D54" s="6" t="s">
        <v>3623</v>
      </c>
    </row>
    <row r="55" spans="1:4" x14ac:dyDescent="0.35">
      <c r="A55" s="6" t="s">
        <v>1289</v>
      </c>
      <c r="B55" s="6">
        <v>104513</v>
      </c>
      <c r="C55" s="6" t="s">
        <v>2475</v>
      </c>
      <c r="D55" s="6" t="s">
        <v>3623</v>
      </c>
    </row>
    <row r="56" spans="1:4" x14ac:dyDescent="0.35">
      <c r="A56" s="6" t="s">
        <v>1290</v>
      </c>
      <c r="B56" s="6">
        <v>104514</v>
      </c>
      <c r="C56" s="6" t="s">
        <v>2475</v>
      </c>
      <c r="D56" s="6" t="s">
        <v>3623</v>
      </c>
    </row>
    <row r="57" spans="1:4" x14ac:dyDescent="0.35">
      <c r="A57" s="6" t="s">
        <v>1291</v>
      </c>
      <c r="B57" s="6">
        <v>104516</v>
      </c>
      <c r="C57" s="6" t="s">
        <v>2475</v>
      </c>
      <c r="D57" s="6" t="s">
        <v>3623</v>
      </c>
    </row>
    <row r="58" spans="1:4" x14ac:dyDescent="0.35">
      <c r="A58" s="6" t="s">
        <v>1292</v>
      </c>
      <c r="B58" s="6">
        <v>104519</v>
      </c>
      <c r="C58" s="6" t="s">
        <v>2475</v>
      </c>
      <c r="D58" s="6" t="s">
        <v>3623</v>
      </c>
    </row>
    <row r="59" spans="1:4" x14ac:dyDescent="0.35">
      <c r="A59" s="6" t="s">
        <v>2476</v>
      </c>
      <c r="B59" s="6">
        <v>104520</v>
      </c>
      <c r="C59" s="6" t="s">
        <v>2475</v>
      </c>
      <c r="D59" s="6" t="s">
        <v>3623</v>
      </c>
    </row>
    <row r="60" spans="1:4" x14ac:dyDescent="0.35">
      <c r="A60" s="6" t="s">
        <v>1293</v>
      </c>
      <c r="B60" s="6">
        <v>104529</v>
      </c>
      <c r="C60" s="6" t="s">
        <v>2475</v>
      </c>
      <c r="D60" s="6" t="s">
        <v>3623</v>
      </c>
    </row>
    <row r="61" spans="1:4" x14ac:dyDescent="0.35">
      <c r="A61" s="6" t="s">
        <v>1294</v>
      </c>
      <c r="B61" s="6">
        <v>104530</v>
      </c>
      <c r="C61" s="6" t="s">
        <v>2475</v>
      </c>
      <c r="D61" s="6" t="s">
        <v>3623</v>
      </c>
    </row>
    <row r="62" spans="1:4" x14ac:dyDescent="0.35">
      <c r="A62" s="6" t="s">
        <v>2542</v>
      </c>
      <c r="B62" s="6">
        <v>1056</v>
      </c>
      <c r="C62" s="6" t="s">
        <v>1249</v>
      </c>
      <c r="D62" s="6" t="s">
        <v>1084</v>
      </c>
    </row>
    <row r="63" spans="1:4" x14ac:dyDescent="0.35">
      <c r="A63" s="6" t="s">
        <v>2543</v>
      </c>
      <c r="B63" s="6">
        <v>106174</v>
      </c>
      <c r="C63" s="6" t="s">
        <v>1098</v>
      </c>
      <c r="D63" s="6" t="s">
        <v>3623</v>
      </c>
    </row>
    <row r="64" spans="1:4" x14ac:dyDescent="0.35">
      <c r="A64" s="6" t="s">
        <v>3332</v>
      </c>
      <c r="B64" s="6">
        <v>106254</v>
      </c>
      <c r="C64" s="6" t="s">
        <v>3319</v>
      </c>
      <c r="D64" s="6" t="s">
        <v>3623</v>
      </c>
    </row>
    <row r="65" spans="1:4" x14ac:dyDescent="0.35">
      <c r="A65" s="6" t="s">
        <v>3333</v>
      </c>
      <c r="B65" s="6">
        <v>106255</v>
      </c>
      <c r="C65" s="6" t="s">
        <v>1244</v>
      </c>
      <c r="D65" s="6" t="s">
        <v>3623</v>
      </c>
    </row>
    <row r="66" spans="1:4" x14ac:dyDescent="0.35">
      <c r="A66" s="6" t="s">
        <v>2477</v>
      </c>
      <c r="B66" s="6">
        <v>106272</v>
      </c>
      <c r="C66" s="6" t="s">
        <v>3319</v>
      </c>
      <c r="D66" s="6" t="s">
        <v>3624</v>
      </c>
    </row>
    <row r="67" spans="1:4" x14ac:dyDescent="0.35">
      <c r="A67" s="6" t="s">
        <v>1295</v>
      </c>
      <c r="B67" s="6">
        <v>106382</v>
      </c>
      <c r="C67" s="6" t="s">
        <v>1244</v>
      </c>
      <c r="D67" s="6" t="s">
        <v>3623</v>
      </c>
    </row>
    <row r="68" spans="1:4" x14ac:dyDescent="0.35">
      <c r="A68" s="6" t="s">
        <v>1297</v>
      </c>
      <c r="B68" s="6">
        <v>106862</v>
      </c>
      <c r="C68" s="6" t="s">
        <v>2472</v>
      </c>
      <c r="D68" s="6" t="s">
        <v>3623</v>
      </c>
    </row>
    <row r="69" spans="1:4" x14ac:dyDescent="0.35">
      <c r="A69" s="6" t="s">
        <v>3334</v>
      </c>
      <c r="B69" s="6">
        <v>106983</v>
      </c>
      <c r="C69" s="6" t="s">
        <v>1689</v>
      </c>
      <c r="D69" s="6" t="s">
        <v>3624</v>
      </c>
    </row>
    <row r="70" spans="1:4" x14ac:dyDescent="0.35">
      <c r="A70" s="6" t="s">
        <v>1299</v>
      </c>
      <c r="B70" s="6">
        <v>107327</v>
      </c>
      <c r="C70" s="6" t="s">
        <v>1244</v>
      </c>
      <c r="D70" s="6" t="s">
        <v>3623</v>
      </c>
    </row>
    <row r="71" spans="1:4" x14ac:dyDescent="0.35">
      <c r="A71" s="6" t="s">
        <v>1300</v>
      </c>
      <c r="B71" s="6">
        <v>107328</v>
      </c>
      <c r="C71" s="6" t="s">
        <v>2472</v>
      </c>
      <c r="D71" s="6" t="s">
        <v>3623</v>
      </c>
    </row>
    <row r="72" spans="1:4" x14ac:dyDescent="0.35">
      <c r="A72" s="6" t="s">
        <v>1301</v>
      </c>
      <c r="B72" s="6">
        <v>107339</v>
      </c>
      <c r="C72" s="6" t="s">
        <v>94</v>
      </c>
      <c r="D72" s="6" t="s">
        <v>3622</v>
      </c>
    </row>
    <row r="73" spans="1:4" x14ac:dyDescent="0.35">
      <c r="A73" s="6" t="s">
        <v>1302</v>
      </c>
      <c r="B73" s="6">
        <v>107340</v>
      </c>
      <c r="C73" s="6" t="s">
        <v>94</v>
      </c>
      <c r="D73" s="6" t="s">
        <v>3622</v>
      </c>
    </row>
    <row r="74" spans="1:4" x14ac:dyDescent="0.35">
      <c r="A74" s="6" t="s">
        <v>1303</v>
      </c>
      <c r="B74" s="6">
        <v>107341</v>
      </c>
      <c r="C74" s="6" t="s">
        <v>94</v>
      </c>
      <c r="D74" s="6" t="s">
        <v>3622</v>
      </c>
    </row>
    <row r="75" spans="1:4" x14ac:dyDescent="0.35">
      <c r="A75" s="6" t="s">
        <v>1304</v>
      </c>
      <c r="B75" s="6">
        <v>107356</v>
      </c>
      <c r="C75" s="6" t="s">
        <v>1305</v>
      </c>
      <c r="D75" s="6" t="s">
        <v>3623</v>
      </c>
    </row>
    <row r="76" spans="1:4" x14ac:dyDescent="0.35">
      <c r="A76" s="6" t="s">
        <v>1306</v>
      </c>
      <c r="B76" s="6">
        <v>107357</v>
      </c>
      <c r="C76" s="6" t="s">
        <v>1305</v>
      </c>
      <c r="D76" s="6" t="s">
        <v>3623</v>
      </c>
    </row>
    <row r="77" spans="1:4" x14ac:dyDescent="0.35">
      <c r="A77" s="6" t="s">
        <v>1307</v>
      </c>
      <c r="B77" s="6">
        <v>107358</v>
      </c>
      <c r="C77" s="6" t="s">
        <v>1305</v>
      </c>
      <c r="D77" s="6" t="s">
        <v>3623</v>
      </c>
    </row>
    <row r="78" spans="1:4" x14ac:dyDescent="0.35">
      <c r="A78" s="6" t="s">
        <v>1308</v>
      </c>
      <c r="B78" s="6">
        <v>107359</v>
      </c>
      <c r="C78" s="6" t="s">
        <v>1305</v>
      </c>
      <c r="D78" s="6" t="s">
        <v>3623</v>
      </c>
    </row>
    <row r="79" spans="1:4" x14ac:dyDescent="0.35">
      <c r="A79" s="6" t="s">
        <v>1309</v>
      </c>
      <c r="B79" s="6">
        <v>107360</v>
      </c>
      <c r="C79" s="6" t="s">
        <v>1305</v>
      </c>
      <c r="D79" s="6" t="s">
        <v>3623</v>
      </c>
    </row>
    <row r="80" spans="1:4" x14ac:dyDescent="0.35">
      <c r="A80" s="6" t="s">
        <v>1310</v>
      </c>
      <c r="B80" s="6">
        <v>107361</v>
      </c>
      <c r="C80" s="6" t="s">
        <v>1305</v>
      </c>
      <c r="D80" s="6" t="s">
        <v>3623</v>
      </c>
    </row>
    <row r="81" spans="1:4" x14ac:dyDescent="0.35">
      <c r="A81" s="6" t="s">
        <v>3335</v>
      </c>
      <c r="B81" s="6">
        <v>107410</v>
      </c>
      <c r="C81" s="6" t="s">
        <v>1244</v>
      </c>
      <c r="D81" s="6" t="s">
        <v>3623</v>
      </c>
    </row>
    <row r="82" spans="1:4" x14ac:dyDescent="0.35">
      <c r="A82" s="6" t="s">
        <v>1361</v>
      </c>
      <c r="B82" s="6">
        <v>107475</v>
      </c>
      <c r="C82" s="6" t="s">
        <v>64</v>
      </c>
      <c r="D82" s="6" t="s">
        <v>3623</v>
      </c>
    </row>
    <row r="83" spans="1:4" x14ac:dyDescent="0.35">
      <c r="A83" s="6" t="s">
        <v>3336</v>
      </c>
      <c r="B83" s="6">
        <v>107525</v>
      </c>
      <c r="C83" s="6" t="s">
        <v>1244</v>
      </c>
      <c r="D83" s="6" t="s">
        <v>3623</v>
      </c>
    </row>
    <row r="84" spans="1:4" x14ac:dyDescent="0.35">
      <c r="A84" s="6" t="s">
        <v>3337</v>
      </c>
      <c r="B84" s="6">
        <v>107543</v>
      </c>
      <c r="C84" s="6" t="s">
        <v>1086</v>
      </c>
      <c r="D84" s="6" t="s">
        <v>3622</v>
      </c>
    </row>
    <row r="85" spans="1:4" x14ac:dyDescent="0.35">
      <c r="A85" s="6" t="s">
        <v>1362</v>
      </c>
      <c r="B85" s="6">
        <v>107562</v>
      </c>
      <c r="C85" s="6" t="s">
        <v>2478</v>
      </c>
      <c r="D85" s="6" t="s">
        <v>3623</v>
      </c>
    </row>
    <row r="86" spans="1:4" x14ac:dyDescent="0.35">
      <c r="A86" s="6" t="s">
        <v>1363</v>
      </c>
      <c r="B86" s="6">
        <v>107563</v>
      </c>
      <c r="C86" s="6" t="s">
        <v>2478</v>
      </c>
      <c r="D86" s="6" t="s">
        <v>3623</v>
      </c>
    </row>
    <row r="87" spans="1:4" x14ac:dyDescent="0.35">
      <c r="A87" s="6" t="s">
        <v>1424</v>
      </c>
      <c r="B87" s="6">
        <v>108582</v>
      </c>
      <c r="C87" s="6" t="s">
        <v>2475</v>
      </c>
      <c r="D87" s="6" t="s">
        <v>3623</v>
      </c>
    </row>
    <row r="88" spans="1:4" x14ac:dyDescent="0.35">
      <c r="A88" s="6" t="s">
        <v>1437</v>
      </c>
      <c r="B88" s="6">
        <v>108763</v>
      </c>
      <c r="C88" s="6" t="s">
        <v>1244</v>
      </c>
      <c r="D88" s="6" t="s">
        <v>3623</v>
      </c>
    </row>
    <row r="89" spans="1:4" x14ac:dyDescent="0.35">
      <c r="A89" s="6" t="s">
        <v>1673</v>
      </c>
      <c r="B89" s="6">
        <v>108993</v>
      </c>
      <c r="C89" s="6" t="s">
        <v>2475</v>
      </c>
      <c r="D89" s="6" t="s">
        <v>3623</v>
      </c>
    </row>
    <row r="90" spans="1:4" x14ac:dyDescent="0.35">
      <c r="A90" s="6" t="s">
        <v>2544</v>
      </c>
      <c r="B90" s="6">
        <v>108994</v>
      </c>
      <c r="C90" s="6" t="s">
        <v>2475</v>
      </c>
      <c r="D90" s="6" t="s">
        <v>3623</v>
      </c>
    </row>
    <row r="91" spans="1:4" x14ac:dyDescent="0.35">
      <c r="A91" s="6" t="s">
        <v>1450</v>
      </c>
      <c r="B91" s="6">
        <v>108995</v>
      </c>
      <c r="C91" s="6" t="s">
        <v>2475</v>
      </c>
      <c r="D91" s="6" t="s">
        <v>3623</v>
      </c>
    </row>
    <row r="92" spans="1:4" x14ac:dyDescent="0.35">
      <c r="A92" s="6" t="s">
        <v>1451</v>
      </c>
      <c r="B92" s="6">
        <v>108996</v>
      </c>
      <c r="C92" s="6" t="s">
        <v>2475</v>
      </c>
      <c r="D92" s="6" t="s">
        <v>3623</v>
      </c>
    </row>
    <row r="93" spans="1:4" x14ac:dyDescent="0.35">
      <c r="A93" s="6" t="s">
        <v>1453</v>
      </c>
      <c r="B93" s="6">
        <v>109062</v>
      </c>
      <c r="C93" s="6" t="s">
        <v>2472</v>
      </c>
      <c r="D93" s="6" t="s">
        <v>3623</v>
      </c>
    </row>
    <row r="94" spans="1:4" x14ac:dyDescent="0.35">
      <c r="A94" s="6" t="s">
        <v>1454</v>
      </c>
      <c r="B94" s="6">
        <v>109063</v>
      </c>
      <c r="C94" s="6" t="s">
        <v>2472</v>
      </c>
      <c r="D94" s="6" t="s">
        <v>3623</v>
      </c>
    </row>
    <row r="95" spans="1:4" x14ac:dyDescent="0.35">
      <c r="A95" s="6" t="s">
        <v>1702</v>
      </c>
      <c r="B95" s="6">
        <v>109160</v>
      </c>
      <c r="C95" s="6" t="s">
        <v>1689</v>
      </c>
      <c r="D95" s="6" t="s">
        <v>3624</v>
      </c>
    </row>
    <row r="96" spans="1:4" x14ac:dyDescent="0.35">
      <c r="A96" s="6" t="s">
        <v>1482</v>
      </c>
      <c r="B96" s="6">
        <v>109334</v>
      </c>
      <c r="C96" s="6" t="s">
        <v>1244</v>
      </c>
      <c r="D96" s="6" t="s">
        <v>3623</v>
      </c>
    </row>
    <row r="97" spans="1:4" x14ac:dyDescent="0.35">
      <c r="A97" s="6" t="s">
        <v>1500</v>
      </c>
      <c r="B97" s="6">
        <v>109552</v>
      </c>
      <c r="C97" s="6" t="s">
        <v>1244</v>
      </c>
      <c r="D97" s="6" t="s">
        <v>3623</v>
      </c>
    </row>
    <row r="98" spans="1:4" x14ac:dyDescent="0.35">
      <c r="A98" s="6" t="s">
        <v>1502</v>
      </c>
      <c r="B98" s="6">
        <v>109572</v>
      </c>
      <c r="C98" s="6" t="s">
        <v>1270</v>
      </c>
      <c r="D98" s="6" t="s">
        <v>3623</v>
      </c>
    </row>
    <row r="99" spans="1:4" x14ac:dyDescent="0.35">
      <c r="A99" s="6" t="s">
        <v>1506</v>
      </c>
      <c r="B99" s="6">
        <v>109643</v>
      </c>
      <c r="C99" s="6" t="s">
        <v>1244</v>
      </c>
      <c r="D99" s="6" t="s">
        <v>3624</v>
      </c>
    </row>
    <row r="100" spans="1:4" x14ac:dyDescent="0.35">
      <c r="A100" s="6" t="s">
        <v>1510</v>
      </c>
      <c r="B100" s="6">
        <v>109702</v>
      </c>
      <c r="C100" s="6" t="s">
        <v>1244</v>
      </c>
      <c r="D100" s="6" t="s">
        <v>3623</v>
      </c>
    </row>
    <row r="101" spans="1:4" x14ac:dyDescent="0.35">
      <c r="A101" s="6" t="s">
        <v>1511</v>
      </c>
      <c r="B101" s="6">
        <v>109704</v>
      </c>
      <c r="C101" s="6" t="s">
        <v>1244</v>
      </c>
      <c r="D101" s="6" t="s">
        <v>3623</v>
      </c>
    </row>
    <row r="102" spans="1:4" x14ac:dyDescent="0.35">
      <c r="A102" s="6" t="s">
        <v>1512</v>
      </c>
      <c r="B102" s="6">
        <v>109705</v>
      </c>
      <c r="C102" s="6" t="s">
        <v>1244</v>
      </c>
      <c r="D102" s="6" t="s">
        <v>3623</v>
      </c>
    </row>
    <row r="103" spans="1:4" x14ac:dyDescent="0.35">
      <c r="A103" s="6" t="s">
        <v>3338</v>
      </c>
      <c r="B103" s="6">
        <v>109722</v>
      </c>
      <c r="C103" s="6" t="s">
        <v>1244</v>
      </c>
      <c r="D103" s="6" t="s">
        <v>3623</v>
      </c>
    </row>
    <row r="104" spans="1:4" x14ac:dyDescent="0.35">
      <c r="A104" s="6" t="s">
        <v>1540</v>
      </c>
      <c r="B104" s="6">
        <v>109973</v>
      </c>
      <c r="C104" s="6" t="s">
        <v>1541</v>
      </c>
      <c r="D104" s="6" t="s">
        <v>3623</v>
      </c>
    </row>
    <row r="105" spans="1:4" x14ac:dyDescent="0.35">
      <c r="A105" s="6" t="s">
        <v>1560</v>
      </c>
      <c r="B105" s="6">
        <v>110133</v>
      </c>
      <c r="C105" s="6" t="s">
        <v>2475</v>
      </c>
      <c r="D105" s="6" t="s">
        <v>3623</v>
      </c>
    </row>
    <row r="106" spans="1:4" x14ac:dyDescent="0.35">
      <c r="A106" s="6" t="s">
        <v>1566</v>
      </c>
      <c r="B106" s="6">
        <v>110283</v>
      </c>
      <c r="C106" s="6" t="s">
        <v>1244</v>
      </c>
      <c r="D106" s="6" t="s">
        <v>3623</v>
      </c>
    </row>
    <row r="107" spans="1:4" x14ac:dyDescent="0.35">
      <c r="A107" s="6" t="s">
        <v>3339</v>
      </c>
      <c r="B107" s="6">
        <v>110382</v>
      </c>
      <c r="C107" s="6" t="s">
        <v>1244</v>
      </c>
      <c r="D107" s="6" t="s">
        <v>3623</v>
      </c>
    </row>
    <row r="108" spans="1:4" x14ac:dyDescent="0.35">
      <c r="A108" s="6" t="s">
        <v>1586</v>
      </c>
      <c r="B108" s="6">
        <v>110442</v>
      </c>
      <c r="C108" s="6" t="s">
        <v>1244</v>
      </c>
      <c r="D108" s="6" t="s">
        <v>3623</v>
      </c>
    </row>
    <row r="109" spans="1:4" x14ac:dyDescent="0.35">
      <c r="A109" s="6" t="s">
        <v>3340</v>
      </c>
      <c r="B109" s="6">
        <v>110560</v>
      </c>
      <c r="C109" s="6" t="s">
        <v>1244</v>
      </c>
      <c r="D109" s="6" t="s">
        <v>3622</v>
      </c>
    </row>
    <row r="110" spans="1:4" x14ac:dyDescent="0.35">
      <c r="A110" s="6" t="s">
        <v>1600</v>
      </c>
      <c r="B110" s="6">
        <v>110567</v>
      </c>
      <c r="C110" s="6" t="s">
        <v>1244</v>
      </c>
      <c r="D110" s="6" t="s">
        <v>3623</v>
      </c>
    </row>
    <row r="111" spans="1:4" x14ac:dyDescent="0.35">
      <c r="A111" s="6" t="s">
        <v>3341</v>
      </c>
      <c r="B111" s="6">
        <v>110602</v>
      </c>
      <c r="C111" s="6" t="s">
        <v>1244</v>
      </c>
      <c r="D111" s="6" t="s">
        <v>3624</v>
      </c>
    </row>
    <row r="112" spans="1:4" x14ac:dyDescent="0.35">
      <c r="A112" s="6" t="s">
        <v>3342</v>
      </c>
      <c r="B112" s="6">
        <v>110752</v>
      </c>
      <c r="C112" s="6" t="s">
        <v>1244</v>
      </c>
      <c r="D112" s="6" t="s">
        <v>3623</v>
      </c>
    </row>
    <row r="113" spans="1:4" x14ac:dyDescent="0.35">
      <c r="A113" s="6" t="s">
        <v>1649</v>
      </c>
      <c r="B113" s="6">
        <v>110832</v>
      </c>
      <c r="C113" s="6" t="s">
        <v>2475</v>
      </c>
      <c r="D113" s="6" t="s">
        <v>3623</v>
      </c>
    </row>
    <row r="114" spans="1:4" x14ac:dyDescent="0.35">
      <c r="A114" s="6" t="s">
        <v>1650</v>
      </c>
      <c r="B114" s="6">
        <v>110833</v>
      </c>
      <c r="C114" s="6" t="s">
        <v>2475</v>
      </c>
      <c r="D114" s="6" t="s">
        <v>3623</v>
      </c>
    </row>
    <row r="115" spans="1:4" x14ac:dyDescent="0.35">
      <c r="A115" s="6" t="s">
        <v>1651</v>
      </c>
      <c r="B115" s="6">
        <v>110834</v>
      </c>
      <c r="C115" s="6" t="s">
        <v>2475</v>
      </c>
      <c r="D115" s="6" t="s">
        <v>3623</v>
      </c>
    </row>
    <row r="116" spans="1:4" x14ac:dyDescent="0.35">
      <c r="A116" s="6" t="s">
        <v>1652</v>
      </c>
      <c r="B116" s="6">
        <v>110840</v>
      </c>
      <c r="C116" s="6" t="s">
        <v>2475</v>
      </c>
      <c r="D116" s="6" t="s">
        <v>3623</v>
      </c>
    </row>
    <row r="117" spans="1:4" x14ac:dyDescent="0.35">
      <c r="A117" s="6" t="s">
        <v>1653</v>
      </c>
      <c r="B117" s="6">
        <v>110841</v>
      </c>
      <c r="C117" s="6" t="s">
        <v>2475</v>
      </c>
      <c r="D117" s="6" t="s">
        <v>3623</v>
      </c>
    </row>
    <row r="118" spans="1:4" x14ac:dyDescent="0.35">
      <c r="A118" s="6" t="s">
        <v>1654</v>
      </c>
      <c r="B118" s="6">
        <v>110844</v>
      </c>
      <c r="C118" s="6" t="s">
        <v>2475</v>
      </c>
      <c r="D118" s="6" t="s">
        <v>3623</v>
      </c>
    </row>
    <row r="119" spans="1:4" x14ac:dyDescent="0.35">
      <c r="A119" s="6" t="s">
        <v>1655</v>
      </c>
      <c r="B119" s="6">
        <v>110854</v>
      </c>
      <c r="C119" s="6" t="s">
        <v>2475</v>
      </c>
      <c r="D119" s="6" t="s">
        <v>3623</v>
      </c>
    </row>
    <row r="120" spans="1:4" x14ac:dyDescent="0.35">
      <c r="A120" s="6" t="s">
        <v>1656</v>
      </c>
      <c r="B120" s="6">
        <v>110860</v>
      </c>
      <c r="C120" s="6" t="s">
        <v>2475</v>
      </c>
      <c r="D120" s="6" t="s">
        <v>3623</v>
      </c>
    </row>
    <row r="121" spans="1:4" x14ac:dyDescent="0.35">
      <c r="A121" s="6" t="s">
        <v>1657</v>
      </c>
      <c r="B121" s="6">
        <v>110861</v>
      </c>
      <c r="C121" s="6" t="s">
        <v>2475</v>
      </c>
      <c r="D121" s="6" t="s">
        <v>3623</v>
      </c>
    </row>
    <row r="122" spans="1:4" x14ac:dyDescent="0.35">
      <c r="A122" s="6" t="s">
        <v>1658</v>
      </c>
      <c r="B122" s="6">
        <v>110862</v>
      </c>
      <c r="C122" s="6" t="s">
        <v>2475</v>
      </c>
      <c r="D122" s="6" t="s">
        <v>3623</v>
      </c>
    </row>
    <row r="123" spans="1:4" x14ac:dyDescent="0.35">
      <c r="A123" s="6" t="s">
        <v>1659</v>
      </c>
      <c r="B123" s="6">
        <v>110863</v>
      </c>
      <c r="C123" s="6" t="s">
        <v>2475</v>
      </c>
      <c r="D123" s="6" t="s">
        <v>3623</v>
      </c>
    </row>
    <row r="124" spans="1:4" x14ac:dyDescent="0.35">
      <c r="A124" s="6" t="s">
        <v>1660</v>
      </c>
      <c r="B124" s="6">
        <v>110872</v>
      </c>
      <c r="C124" s="6" t="s">
        <v>2475</v>
      </c>
      <c r="D124" s="6" t="s">
        <v>3623</v>
      </c>
    </row>
    <row r="125" spans="1:4" x14ac:dyDescent="0.35">
      <c r="A125" s="6" t="s">
        <v>1661</v>
      </c>
      <c r="B125" s="6">
        <v>110873</v>
      </c>
      <c r="C125" s="6" t="s">
        <v>2475</v>
      </c>
      <c r="D125" s="6" t="s">
        <v>3623</v>
      </c>
    </row>
    <row r="126" spans="1:4" x14ac:dyDescent="0.35">
      <c r="A126" s="6" t="s">
        <v>1662</v>
      </c>
      <c r="B126" s="6">
        <v>110874</v>
      </c>
      <c r="C126" s="6" t="s">
        <v>2475</v>
      </c>
      <c r="D126" s="6" t="s">
        <v>3623</v>
      </c>
    </row>
    <row r="127" spans="1:4" x14ac:dyDescent="0.35">
      <c r="A127" s="6" t="s">
        <v>1663</v>
      </c>
      <c r="B127" s="6">
        <v>110875</v>
      </c>
      <c r="C127" s="6" t="s">
        <v>2475</v>
      </c>
      <c r="D127" s="6" t="s">
        <v>3623</v>
      </c>
    </row>
    <row r="128" spans="1:4" x14ac:dyDescent="0.35">
      <c r="A128" s="6" t="s">
        <v>1664</v>
      </c>
      <c r="B128" s="6">
        <v>110878</v>
      </c>
      <c r="C128" s="6" t="s">
        <v>2475</v>
      </c>
      <c r="D128" s="6" t="s">
        <v>3623</v>
      </c>
    </row>
    <row r="129" spans="1:4" x14ac:dyDescent="0.35">
      <c r="A129" s="6" t="s">
        <v>1665</v>
      </c>
      <c r="B129" s="6">
        <v>110909</v>
      </c>
      <c r="C129" s="6" t="s">
        <v>2475</v>
      </c>
      <c r="D129" s="6" t="s">
        <v>3623</v>
      </c>
    </row>
    <row r="130" spans="1:4" x14ac:dyDescent="0.35">
      <c r="A130" s="6" t="s">
        <v>1666</v>
      </c>
      <c r="B130" s="6">
        <v>110910</v>
      </c>
      <c r="C130" s="6" t="s">
        <v>2475</v>
      </c>
      <c r="D130" s="6" t="s">
        <v>3623</v>
      </c>
    </row>
    <row r="131" spans="1:4" x14ac:dyDescent="0.35">
      <c r="A131" s="6" t="s">
        <v>1667</v>
      </c>
      <c r="B131" s="6">
        <v>110953</v>
      </c>
      <c r="C131" s="6" t="s">
        <v>2475</v>
      </c>
      <c r="D131" s="6" t="s">
        <v>3623</v>
      </c>
    </row>
    <row r="132" spans="1:4" x14ac:dyDescent="0.35">
      <c r="A132" s="6" t="s">
        <v>3343</v>
      </c>
      <c r="B132" s="6">
        <v>111023</v>
      </c>
      <c r="C132" s="6" t="s">
        <v>2475</v>
      </c>
      <c r="D132" s="6" t="s">
        <v>3623</v>
      </c>
    </row>
    <row r="133" spans="1:4" x14ac:dyDescent="0.35">
      <c r="A133" s="6" t="s">
        <v>3344</v>
      </c>
      <c r="B133" s="6">
        <v>111053</v>
      </c>
      <c r="C133" s="6" t="s">
        <v>1244</v>
      </c>
      <c r="D133" s="6" t="s">
        <v>3623</v>
      </c>
    </row>
    <row r="134" spans="1:4" x14ac:dyDescent="0.35">
      <c r="A134" s="6" t="s">
        <v>3703</v>
      </c>
      <c r="B134" s="6">
        <v>111112</v>
      </c>
      <c r="C134" s="68" t="s">
        <v>1541</v>
      </c>
      <c r="D134" s="6" t="s">
        <v>3623</v>
      </c>
    </row>
    <row r="135" spans="1:4" x14ac:dyDescent="0.35">
      <c r="A135" s="6" t="s">
        <v>2545</v>
      </c>
      <c r="B135" s="6">
        <v>111153</v>
      </c>
      <c r="C135" s="6" t="s">
        <v>2475</v>
      </c>
      <c r="D135" s="6" t="s">
        <v>3623</v>
      </c>
    </row>
    <row r="136" spans="1:4" x14ac:dyDescent="0.35">
      <c r="A136" s="6" t="s">
        <v>3345</v>
      </c>
      <c r="B136" s="6">
        <v>111154</v>
      </c>
      <c r="C136" s="6" t="s">
        <v>2475</v>
      </c>
      <c r="D136" s="6" t="s">
        <v>3623</v>
      </c>
    </row>
    <row r="137" spans="1:4" x14ac:dyDescent="0.35">
      <c r="A137" s="6" t="s">
        <v>1674</v>
      </c>
      <c r="B137" s="6">
        <v>111155</v>
      </c>
      <c r="C137" s="6" t="s">
        <v>2475</v>
      </c>
      <c r="D137" s="6" t="s">
        <v>3623</v>
      </c>
    </row>
    <row r="138" spans="1:4" x14ac:dyDescent="0.35">
      <c r="A138" s="6" t="s">
        <v>1675</v>
      </c>
      <c r="B138" s="6">
        <v>111157</v>
      </c>
      <c r="C138" s="6" t="s">
        <v>2475</v>
      </c>
      <c r="D138" s="6" t="s">
        <v>3623</v>
      </c>
    </row>
    <row r="139" spans="1:4" x14ac:dyDescent="0.35">
      <c r="A139" s="6" t="s">
        <v>1676</v>
      </c>
      <c r="B139" s="6">
        <v>111158</v>
      </c>
      <c r="C139" s="6" t="s">
        <v>2475</v>
      </c>
      <c r="D139" s="6" t="s">
        <v>3623</v>
      </c>
    </row>
    <row r="140" spans="1:4" x14ac:dyDescent="0.35">
      <c r="A140" s="6" t="s">
        <v>3346</v>
      </c>
      <c r="B140" s="6">
        <v>111159</v>
      </c>
      <c r="C140" s="6" t="s">
        <v>2475</v>
      </c>
      <c r="D140" s="6" t="s">
        <v>3623</v>
      </c>
    </row>
    <row r="141" spans="1:4" x14ac:dyDescent="0.35">
      <c r="A141" s="6" t="s">
        <v>1677</v>
      </c>
      <c r="B141" s="6">
        <v>111160</v>
      </c>
      <c r="C141" s="6" t="s">
        <v>2475</v>
      </c>
      <c r="D141" s="6" t="s">
        <v>3623</v>
      </c>
    </row>
    <row r="142" spans="1:4" x14ac:dyDescent="0.35">
      <c r="A142" s="6" t="s">
        <v>1678</v>
      </c>
      <c r="B142" s="6">
        <v>111161</v>
      </c>
      <c r="C142" s="6" t="s">
        <v>2475</v>
      </c>
      <c r="D142" s="6" t="s">
        <v>3623</v>
      </c>
    </row>
    <row r="143" spans="1:4" x14ac:dyDescent="0.35">
      <c r="A143" s="6" t="s">
        <v>2479</v>
      </c>
      <c r="B143" s="6">
        <v>111202</v>
      </c>
      <c r="C143" s="6" t="s">
        <v>2475</v>
      </c>
      <c r="D143" s="6" t="s">
        <v>3623</v>
      </c>
    </row>
    <row r="144" spans="1:4" x14ac:dyDescent="0.35">
      <c r="A144" s="6" t="s">
        <v>1679</v>
      </c>
      <c r="B144" s="6">
        <v>111203</v>
      </c>
      <c r="C144" s="6" t="s">
        <v>2475</v>
      </c>
      <c r="D144" s="6" t="s">
        <v>3623</v>
      </c>
    </row>
    <row r="145" spans="1:4" x14ac:dyDescent="0.35">
      <c r="A145" s="6" t="s">
        <v>1680</v>
      </c>
      <c r="B145" s="6">
        <v>111204</v>
      </c>
      <c r="C145" s="6" t="s">
        <v>2475</v>
      </c>
      <c r="D145" s="6" t="s">
        <v>3623</v>
      </c>
    </row>
    <row r="146" spans="1:4" x14ac:dyDescent="0.35">
      <c r="A146" s="6" t="s">
        <v>3347</v>
      </c>
      <c r="B146" s="6">
        <v>200002</v>
      </c>
      <c r="C146" s="6" t="s">
        <v>1087</v>
      </c>
      <c r="D146" s="6" t="s">
        <v>3623</v>
      </c>
    </row>
    <row r="147" spans="1:4" x14ac:dyDescent="0.35">
      <c r="A147" s="6" t="s">
        <v>3348</v>
      </c>
      <c r="B147" s="6">
        <v>200008</v>
      </c>
      <c r="C147" s="6" t="s">
        <v>1086</v>
      </c>
      <c r="D147" s="6" t="s">
        <v>3622</v>
      </c>
    </row>
    <row r="148" spans="1:4" x14ac:dyDescent="0.35">
      <c r="A148" s="6" t="s">
        <v>1681</v>
      </c>
      <c r="B148" s="6">
        <v>200038</v>
      </c>
      <c r="C148" s="6" t="s">
        <v>1087</v>
      </c>
      <c r="D148" s="6" t="s">
        <v>3623</v>
      </c>
    </row>
    <row r="149" spans="1:4" x14ac:dyDescent="0.35">
      <c r="A149" s="6" t="s">
        <v>2546</v>
      </c>
      <c r="B149" s="6">
        <v>2001</v>
      </c>
      <c r="C149" s="6" t="s">
        <v>1244</v>
      </c>
      <c r="D149" s="6" t="s">
        <v>1084</v>
      </c>
    </row>
    <row r="150" spans="1:4" x14ac:dyDescent="0.35">
      <c r="A150" s="6" t="s">
        <v>3349</v>
      </c>
      <c r="B150" s="6">
        <v>200585</v>
      </c>
      <c r="C150" s="6" t="s">
        <v>1087</v>
      </c>
      <c r="D150" s="6" t="s">
        <v>3623</v>
      </c>
    </row>
    <row r="151" spans="1:4" x14ac:dyDescent="0.35">
      <c r="A151" s="6" t="s">
        <v>1682</v>
      </c>
      <c r="B151" s="6">
        <v>200588</v>
      </c>
      <c r="C151" s="6" t="s">
        <v>1087</v>
      </c>
      <c r="D151" s="6" t="s">
        <v>3623</v>
      </c>
    </row>
    <row r="152" spans="1:4" x14ac:dyDescent="0.35">
      <c r="A152" s="6" t="s">
        <v>1683</v>
      </c>
      <c r="B152" s="6">
        <v>200663</v>
      </c>
      <c r="C152" s="6" t="s">
        <v>1087</v>
      </c>
      <c r="D152" s="6" t="s">
        <v>3623</v>
      </c>
    </row>
    <row r="153" spans="1:4" x14ac:dyDescent="0.35">
      <c r="A153" s="6" t="s">
        <v>1684</v>
      </c>
      <c r="B153" s="6">
        <v>200664</v>
      </c>
      <c r="C153" s="6" t="s">
        <v>1087</v>
      </c>
      <c r="D153" s="6" t="s">
        <v>3623</v>
      </c>
    </row>
    <row r="154" spans="1:4" x14ac:dyDescent="0.35">
      <c r="A154" s="6" t="s">
        <v>3350</v>
      </c>
      <c r="B154" s="6">
        <v>200670</v>
      </c>
      <c r="C154" s="6" t="s">
        <v>1244</v>
      </c>
      <c r="D154" s="6" t="s">
        <v>3623</v>
      </c>
    </row>
    <row r="155" spans="1:4" x14ac:dyDescent="0.35">
      <c r="A155" s="6" t="s">
        <v>1685</v>
      </c>
      <c r="B155" s="6">
        <v>200682</v>
      </c>
      <c r="C155" s="6" t="s">
        <v>1087</v>
      </c>
      <c r="D155" s="6" t="s">
        <v>3623</v>
      </c>
    </row>
    <row r="156" spans="1:4" x14ac:dyDescent="0.35">
      <c r="A156" s="6" t="s">
        <v>1686</v>
      </c>
      <c r="B156" s="6">
        <v>200684</v>
      </c>
      <c r="C156" s="6" t="s">
        <v>1087</v>
      </c>
      <c r="D156" s="6" t="s">
        <v>3623</v>
      </c>
    </row>
    <row r="157" spans="1:4" x14ac:dyDescent="0.35">
      <c r="A157" s="6" t="s">
        <v>1687</v>
      </c>
      <c r="B157" s="6">
        <v>200685</v>
      </c>
      <c r="C157" s="6" t="s">
        <v>1087</v>
      </c>
      <c r="D157" s="6" t="s">
        <v>3623</v>
      </c>
    </row>
    <row r="158" spans="1:4" x14ac:dyDescent="0.35">
      <c r="A158" s="6" t="s">
        <v>1688</v>
      </c>
      <c r="B158" s="6">
        <v>203351</v>
      </c>
      <c r="C158" s="6" t="s">
        <v>1087</v>
      </c>
      <c r="D158" s="6" t="s">
        <v>3623</v>
      </c>
    </row>
    <row r="159" spans="1:4" x14ac:dyDescent="0.35">
      <c r="A159" s="6" t="s">
        <v>2547</v>
      </c>
      <c r="B159" s="6">
        <v>2218</v>
      </c>
      <c r="C159" s="6" t="s">
        <v>1244</v>
      </c>
      <c r="D159" s="6" t="s">
        <v>1084</v>
      </c>
    </row>
    <row r="160" spans="1:4" x14ac:dyDescent="0.35">
      <c r="A160" s="6" t="s">
        <v>2548</v>
      </c>
      <c r="B160" s="6">
        <v>2231</v>
      </c>
      <c r="C160" s="6" t="s">
        <v>1244</v>
      </c>
      <c r="D160" s="6" t="s">
        <v>1084</v>
      </c>
    </row>
    <row r="161" spans="1:4" x14ac:dyDescent="0.35">
      <c r="A161" s="6" t="s">
        <v>2549</v>
      </c>
      <c r="B161" s="6">
        <v>2251</v>
      </c>
      <c r="C161" s="6" t="s">
        <v>1244</v>
      </c>
      <c r="D161" s="6" t="s">
        <v>1084</v>
      </c>
    </row>
    <row r="162" spans="1:4" x14ac:dyDescent="0.35">
      <c r="A162" s="6" t="s">
        <v>3351</v>
      </c>
      <c r="B162" s="6">
        <v>2253</v>
      </c>
      <c r="C162" s="6" t="s">
        <v>1244</v>
      </c>
      <c r="D162" s="6" t="s">
        <v>1084</v>
      </c>
    </row>
    <row r="163" spans="1:4" x14ac:dyDescent="0.35">
      <c r="A163" s="6" t="s">
        <v>2550</v>
      </c>
      <c r="B163" s="6">
        <v>2256</v>
      </c>
      <c r="C163" s="6" t="s">
        <v>1244</v>
      </c>
      <c r="D163" s="6" t="s">
        <v>1084</v>
      </c>
    </row>
    <row r="164" spans="1:4" x14ac:dyDescent="0.35">
      <c r="A164" s="6" t="s">
        <v>2551</v>
      </c>
      <c r="B164" s="6">
        <v>2257</v>
      </c>
      <c r="C164" s="6" t="s">
        <v>1244</v>
      </c>
      <c r="D164" s="6" t="s">
        <v>1084</v>
      </c>
    </row>
    <row r="165" spans="1:4" x14ac:dyDescent="0.35">
      <c r="A165" s="6" t="s">
        <v>3352</v>
      </c>
      <c r="B165" s="6">
        <v>2310</v>
      </c>
      <c r="C165" s="6" t="s">
        <v>1244</v>
      </c>
      <c r="D165" s="6" t="s">
        <v>1084</v>
      </c>
    </row>
    <row r="166" spans="1:4" x14ac:dyDescent="0.35">
      <c r="A166" s="6" t="s">
        <v>2553</v>
      </c>
      <c r="B166" s="6">
        <v>2311</v>
      </c>
      <c r="C166" s="6" t="s">
        <v>1244</v>
      </c>
      <c r="D166" s="6" t="s">
        <v>1084</v>
      </c>
    </row>
    <row r="167" spans="1:4" x14ac:dyDescent="0.35">
      <c r="A167" s="6" t="s">
        <v>2554</v>
      </c>
      <c r="B167" s="6">
        <v>2312</v>
      </c>
      <c r="C167" s="6" t="s">
        <v>1244</v>
      </c>
      <c r="D167" s="6" t="s">
        <v>1084</v>
      </c>
    </row>
    <row r="168" spans="1:4" x14ac:dyDescent="0.35">
      <c r="A168" s="6" t="s">
        <v>3353</v>
      </c>
      <c r="B168" s="6">
        <v>2401</v>
      </c>
      <c r="C168" s="6" t="s">
        <v>1244</v>
      </c>
      <c r="D168" s="6" t="s">
        <v>1084</v>
      </c>
    </row>
    <row r="169" spans="1:4" x14ac:dyDescent="0.35">
      <c r="A169" s="6" t="s">
        <v>2555</v>
      </c>
      <c r="B169" s="6">
        <v>2469</v>
      </c>
      <c r="C169" s="6" t="s">
        <v>64</v>
      </c>
      <c r="D169" s="6" t="s">
        <v>1084</v>
      </c>
    </row>
    <row r="170" spans="1:4" x14ac:dyDescent="0.35">
      <c r="A170" s="6" t="s">
        <v>2556</v>
      </c>
      <c r="B170" s="6">
        <v>2471</v>
      </c>
      <c r="C170" s="6" t="s">
        <v>64</v>
      </c>
      <c r="D170" s="6" t="s">
        <v>1084</v>
      </c>
    </row>
    <row r="171" spans="1:4" x14ac:dyDescent="0.35">
      <c r="A171" s="6" t="s">
        <v>2557</v>
      </c>
      <c r="B171" s="6">
        <v>2476</v>
      </c>
      <c r="C171" s="6" t="s">
        <v>64</v>
      </c>
      <c r="D171" s="6" t="s">
        <v>1084</v>
      </c>
    </row>
    <row r="172" spans="1:4" x14ac:dyDescent="0.35">
      <c r="A172" s="6" t="s">
        <v>2558</v>
      </c>
      <c r="B172" s="6">
        <v>2490</v>
      </c>
      <c r="C172" s="6" t="s">
        <v>1244</v>
      </c>
      <c r="D172" s="6" t="s">
        <v>1084</v>
      </c>
    </row>
    <row r="173" spans="1:4" x14ac:dyDescent="0.35">
      <c r="A173" s="6" t="s">
        <v>2559</v>
      </c>
      <c r="B173" s="6">
        <v>2491</v>
      </c>
      <c r="C173" s="6" t="s">
        <v>1244</v>
      </c>
      <c r="D173" s="6" t="s">
        <v>1084</v>
      </c>
    </row>
    <row r="174" spans="1:4" x14ac:dyDescent="0.35">
      <c r="A174" s="6" t="s">
        <v>2560</v>
      </c>
      <c r="B174" s="6">
        <v>2492</v>
      </c>
      <c r="C174" s="6" t="s">
        <v>1244</v>
      </c>
      <c r="D174" s="6" t="s">
        <v>1084</v>
      </c>
    </row>
    <row r="175" spans="1:4" x14ac:dyDescent="0.35">
      <c r="A175" s="6" t="s">
        <v>2561</v>
      </c>
      <c r="B175" s="6">
        <v>2493</v>
      </c>
      <c r="C175" s="6" t="s">
        <v>1244</v>
      </c>
      <c r="D175" s="6" t="s">
        <v>1084</v>
      </c>
    </row>
    <row r="176" spans="1:4" x14ac:dyDescent="0.35">
      <c r="A176" s="6" t="s">
        <v>2562</v>
      </c>
      <c r="B176" s="6">
        <v>2504</v>
      </c>
      <c r="C176" s="6" t="s">
        <v>1249</v>
      </c>
      <c r="D176" s="6" t="s">
        <v>1084</v>
      </c>
    </row>
    <row r="177" spans="1:4" x14ac:dyDescent="0.35">
      <c r="A177" s="6" t="s">
        <v>2563</v>
      </c>
      <c r="B177" s="6">
        <v>2511</v>
      </c>
      <c r="C177" s="6" t="s">
        <v>1244</v>
      </c>
      <c r="D177" s="6" t="s">
        <v>1084</v>
      </c>
    </row>
    <row r="178" spans="1:4" x14ac:dyDescent="0.35">
      <c r="A178" s="6" t="s">
        <v>2564</v>
      </c>
      <c r="B178" s="6">
        <v>2625</v>
      </c>
      <c r="C178" s="6" t="s">
        <v>1244</v>
      </c>
      <c r="D178" s="6" t="s">
        <v>1084</v>
      </c>
    </row>
    <row r="179" spans="1:4" x14ac:dyDescent="0.35">
      <c r="A179" s="6" t="s">
        <v>3354</v>
      </c>
      <c r="B179" s="6">
        <v>2626</v>
      </c>
      <c r="C179" s="6" t="s">
        <v>1244</v>
      </c>
      <c r="D179" s="6" t="s">
        <v>1084</v>
      </c>
    </row>
    <row r="180" spans="1:4" x14ac:dyDescent="0.35">
      <c r="A180" s="6" t="s">
        <v>2565</v>
      </c>
      <c r="B180" s="6">
        <v>2627</v>
      </c>
      <c r="C180" s="6" t="s">
        <v>1244</v>
      </c>
      <c r="D180" s="6" t="s">
        <v>1084</v>
      </c>
    </row>
    <row r="181" spans="1:4" x14ac:dyDescent="0.35">
      <c r="A181" s="6" t="s">
        <v>2566</v>
      </c>
      <c r="B181" s="6">
        <v>2628</v>
      </c>
      <c r="C181" s="6" t="s">
        <v>1244</v>
      </c>
      <c r="D181" s="6" t="s">
        <v>1084</v>
      </c>
    </row>
    <row r="182" spans="1:4" x14ac:dyDescent="0.35">
      <c r="A182" s="6" t="s">
        <v>3355</v>
      </c>
      <c r="B182" s="6">
        <v>2630</v>
      </c>
      <c r="C182" s="6" t="s">
        <v>1244</v>
      </c>
      <c r="D182" s="6" t="s">
        <v>1084</v>
      </c>
    </row>
    <row r="183" spans="1:4" x14ac:dyDescent="0.35">
      <c r="A183" s="6" t="s">
        <v>3356</v>
      </c>
      <c r="B183" s="6">
        <v>2631</v>
      </c>
      <c r="C183" s="6" t="s">
        <v>1244</v>
      </c>
      <c r="D183" s="6" t="s">
        <v>1084</v>
      </c>
    </row>
    <row r="184" spans="1:4" x14ac:dyDescent="0.35">
      <c r="A184" s="6" t="s">
        <v>2567</v>
      </c>
      <c r="B184" s="6">
        <v>2632</v>
      </c>
      <c r="C184" s="6" t="s">
        <v>1244</v>
      </c>
      <c r="D184" s="6" t="s">
        <v>1084</v>
      </c>
    </row>
    <row r="185" spans="1:4" x14ac:dyDescent="0.35">
      <c r="A185" s="6" t="s">
        <v>2568</v>
      </c>
      <c r="B185" s="6">
        <v>2661</v>
      </c>
      <c r="C185" s="6" t="s">
        <v>1244</v>
      </c>
      <c r="D185" s="6" t="s">
        <v>1084</v>
      </c>
    </row>
    <row r="186" spans="1:4" x14ac:dyDescent="0.35">
      <c r="A186" s="6" t="s">
        <v>2569</v>
      </c>
      <c r="B186" s="6">
        <v>2680</v>
      </c>
      <c r="C186" s="6" t="s">
        <v>1244</v>
      </c>
      <c r="D186" s="6" t="s">
        <v>1084</v>
      </c>
    </row>
    <row r="187" spans="1:4" x14ac:dyDescent="0.35">
      <c r="A187" s="6" t="s">
        <v>3357</v>
      </c>
      <c r="B187" s="6">
        <v>2681</v>
      </c>
      <c r="C187" s="6" t="s">
        <v>1244</v>
      </c>
      <c r="D187" s="6" t="s">
        <v>1084</v>
      </c>
    </row>
    <row r="188" spans="1:4" x14ac:dyDescent="0.35">
      <c r="A188" s="6" t="s">
        <v>2570</v>
      </c>
      <c r="B188" s="6">
        <v>2717</v>
      </c>
      <c r="C188" s="6" t="s">
        <v>1244</v>
      </c>
      <c r="D188" s="6" t="s">
        <v>1084</v>
      </c>
    </row>
    <row r="189" spans="1:4" x14ac:dyDescent="0.35">
      <c r="A189" s="6" t="s">
        <v>2571</v>
      </c>
      <c r="B189" s="6">
        <v>2722</v>
      </c>
      <c r="C189" s="6" t="s">
        <v>1249</v>
      </c>
      <c r="D189" s="6" t="s">
        <v>1084</v>
      </c>
    </row>
    <row r="190" spans="1:4" x14ac:dyDescent="0.35">
      <c r="A190" s="6" t="s">
        <v>3358</v>
      </c>
      <c r="B190" s="6">
        <v>2734</v>
      </c>
      <c r="C190" s="6" t="s">
        <v>1242</v>
      </c>
      <c r="D190" s="6" t="s">
        <v>1084</v>
      </c>
    </row>
    <row r="191" spans="1:4" x14ac:dyDescent="0.35">
      <c r="A191" s="6" t="s">
        <v>2572</v>
      </c>
      <c r="B191" s="6">
        <v>2738</v>
      </c>
      <c r="C191" s="6" t="s">
        <v>1244</v>
      </c>
      <c r="D191" s="6" t="s">
        <v>1084</v>
      </c>
    </row>
    <row r="192" spans="1:4" x14ac:dyDescent="0.35">
      <c r="A192" s="6" t="s">
        <v>2573</v>
      </c>
      <c r="B192" s="6">
        <v>2759</v>
      </c>
      <c r="C192" s="6" t="s">
        <v>1242</v>
      </c>
      <c r="D192" s="6" t="s">
        <v>1084</v>
      </c>
    </row>
    <row r="193" spans="1:4" x14ac:dyDescent="0.35">
      <c r="A193" s="6" t="s">
        <v>3359</v>
      </c>
      <c r="B193" s="6">
        <v>2801</v>
      </c>
      <c r="C193" s="6" t="s">
        <v>80</v>
      </c>
      <c r="D193" s="6" t="s">
        <v>1084</v>
      </c>
    </row>
    <row r="194" spans="1:4" x14ac:dyDescent="0.35">
      <c r="A194" s="6" t="s">
        <v>3360</v>
      </c>
      <c r="B194" s="6">
        <v>2802</v>
      </c>
      <c r="C194" s="6" t="s">
        <v>80</v>
      </c>
      <c r="D194" s="6" t="s">
        <v>1084</v>
      </c>
    </row>
    <row r="195" spans="1:4" x14ac:dyDescent="0.35">
      <c r="A195" s="6" t="s">
        <v>3361</v>
      </c>
      <c r="B195" s="6">
        <v>2803</v>
      </c>
      <c r="C195" s="6" t="s">
        <v>1244</v>
      </c>
      <c r="D195" s="6" t="s">
        <v>1084</v>
      </c>
    </row>
    <row r="196" spans="1:4" x14ac:dyDescent="0.35">
      <c r="A196" s="6" t="s">
        <v>2574</v>
      </c>
      <c r="B196" s="6">
        <v>2804</v>
      </c>
      <c r="C196" s="6" t="s">
        <v>1244</v>
      </c>
      <c r="D196" s="6" t="s">
        <v>1084</v>
      </c>
    </row>
    <row r="197" spans="1:4" x14ac:dyDescent="0.35">
      <c r="A197" s="6" t="s">
        <v>2575</v>
      </c>
      <c r="B197" s="6">
        <v>2805</v>
      </c>
      <c r="C197" s="6" t="s">
        <v>45</v>
      </c>
      <c r="D197" s="6" t="s">
        <v>1084</v>
      </c>
    </row>
    <row r="198" spans="1:4" x14ac:dyDescent="0.35">
      <c r="A198" s="6" t="s">
        <v>2576</v>
      </c>
      <c r="B198" s="6">
        <v>2806</v>
      </c>
      <c r="C198" s="6" t="s">
        <v>1244</v>
      </c>
      <c r="D198" s="6" t="s">
        <v>1084</v>
      </c>
    </row>
    <row r="199" spans="1:4" x14ac:dyDescent="0.35">
      <c r="A199" s="6" t="s">
        <v>2577</v>
      </c>
      <c r="B199" s="6">
        <v>2807</v>
      </c>
      <c r="C199" s="6" t="s">
        <v>45</v>
      </c>
      <c r="D199" s="6" t="s">
        <v>1084</v>
      </c>
    </row>
    <row r="200" spans="1:4" x14ac:dyDescent="0.35">
      <c r="A200" s="6" t="s">
        <v>2578</v>
      </c>
      <c r="B200" s="6">
        <v>2808</v>
      </c>
      <c r="C200" s="6" t="s">
        <v>45</v>
      </c>
      <c r="D200" s="6" t="s">
        <v>1084</v>
      </c>
    </row>
    <row r="201" spans="1:4" x14ac:dyDescent="0.35">
      <c r="A201" s="6" t="s">
        <v>2579</v>
      </c>
      <c r="B201" s="6">
        <v>2809</v>
      </c>
      <c r="C201" s="6" t="s">
        <v>1244</v>
      </c>
      <c r="D201" s="6" t="s">
        <v>1084</v>
      </c>
    </row>
    <row r="202" spans="1:4" x14ac:dyDescent="0.35">
      <c r="A202" s="6" t="s">
        <v>2580</v>
      </c>
      <c r="B202" s="6">
        <v>2810</v>
      </c>
      <c r="C202" s="6" t="s">
        <v>45</v>
      </c>
      <c r="D202" s="6" t="s">
        <v>1084</v>
      </c>
    </row>
    <row r="203" spans="1:4" x14ac:dyDescent="0.35">
      <c r="A203" s="6" t="s">
        <v>2581</v>
      </c>
      <c r="B203" s="6">
        <v>2811</v>
      </c>
      <c r="C203" s="6" t="s">
        <v>45</v>
      </c>
      <c r="D203" s="6" t="s">
        <v>1084</v>
      </c>
    </row>
    <row r="204" spans="1:4" x14ac:dyDescent="0.35">
      <c r="A204" s="6" t="s">
        <v>2582</v>
      </c>
      <c r="B204" s="6">
        <v>2831</v>
      </c>
      <c r="C204" s="6" t="s">
        <v>1244</v>
      </c>
      <c r="D204" s="6" t="s">
        <v>1084</v>
      </c>
    </row>
    <row r="205" spans="1:4" x14ac:dyDescent="0.35">
      <c r="A205" s="6" t="s">
        <v>3362</v>
      </c>
      <c r="B205" s="6">
        <v>2832</v>
      </c>
      <c r="C205" s="6" t="s">
        <v>1244</v>
      </c>
      <c r="D205" s="6" t="s">
        <v>1084</v>
      </c>
    </row>
    <row r="206" spans="1:4" x14ac:dyDescent="0.35">
      <c r="A206" s="6" t="s">
        <v>2583</v>
      </c>
      <c r="B206" s="6">
        <v>2833</v>
      </c>
      <c r="C206" s="6" t="s">
        <v>1244</v>
      </c>
      <c r="D206" s="6" t="s">
        <v>1084</v>
      </c>
    </row>
    <row r="207" spans="1:4" x14ac:dyDescent="0.35">
      <c r="A207" s="6" t="s">
        <v>2584</v>
      </c>
      <c r="B207" s="6">
        <v>2900</v>
      </c>
      <c r="C207" s="6" t="s">
        <v>45</v>
      </c>
      <c r="D207" s="6" t="s">
        <v>1084</v>
      </c>
    </row>
    <row r="208" spans="1:4" x14ac:dyDescent="0.35">
      <c r="A208" s="6" t="s">
        <v>2435</v>
      </c>
      <c r="B208" s="6">
        <v>2901</v>
      </c>
      <c r="C208" s="6" t="s">
        <v>45</v>
      </c>
      <c r="D208" s="6" t="s">
        <v>1084</v>
      </c>
    </row>
    <row r="209" spans="1:4" x14ac:dyDescent="0.35">
      <c r="A209" s="6" t="s">
        <v>2585</v>
      </c>
      <c r="B209" s="6">
        <v>2905</v>
      </c>
      <c r="C209" s="6" t="s">
        <v>45</v>
      </c>
      <c r="D209" s="6" t="s">
        <v>1084</v>
      </c>
    </row>
    <row r="210" spans="1:4" x14ac:dyDescent="0.35">
      <c r="A210" s="6" t="s">
        <v>2586</v>
      </c>
      <c r="B210" s="6">
        <v>3008</v>
      </c>
      <c r="C210" s="6" t="s">
        <v>80</v>
      </c>
      <c r="D210" s="6" t="s">
        <v>1084</v>
      </c>
    </row>
    <row r="211" spans="1:4" x14ac:dyDescent="0.35">
      <c r="A211" s="6" t="s">
        <v>2587</v>
      </c>
      <c r="B211" s="6">
        <v>3012</v>
      </c>
      <c r="C211" s="6" t="s">
        <v>80</v>
      </c>
      <c r="D211" s="6" t="s">
        <v>1084</v>
      </c>
    </row>
    <row r="212" spans="1:4" x14ac:dyDescent="0.35">
      <c r="A212" s="6" t="s">
        <v>2588</v>
      </c>
      <c r="B212" s="6">
        <v>3013</v>
      </c>
      <c r="C212" s="6" t="s">
        <v>80</v>
      </c>
      <c r="D212" s="6" t="s">
        <v>1084</v>
      </c>
    </row>
    <row r="213" spans="1:4" x14ac:dyDescent="0.35">
      <c r="A213" s="6" t="s">
        <v>2589</v>
      </c>
      <c r="B213" s="6">
        <v>3027</v>
      </c>
      <c r="C213" s="6" t="s">
        <v>80</v>
      </c>
      <c r="D213" s="6" t="s">
        <v>1084</v>
      </c>
    </row>
    <row r="214" spans="1:4" x14ac:dyDescent="0.35">
      <c r="A214" s="6" t="s">
        <v>2590</v>
      </c>
      <c r="B214" s="6">
        <v>3050</v>
      </c>
      <c r="C214" s="6" t="s">
        <v>80</v>
      </c>
      <c r="D214" s="6" t="s">
        <v>1084</v>
      </c>
    </row>
    <row r="215" spans="1:4" x14ac:dyDescent="0.35">
      <c r="A215" s="6" t="s">
        <v>2591</v>
      </c>
      <c r="B215" s="6">
        <v>3201</v>
      </c>
      <c r="C215" s="6" t="s">
        <v>80</v>
      </c>
      <c r="D215" s="6" t="s">
        <v>1084</v>
      </c>
    </row>
    <row r="216" spans="1:4" x14ac:dyDescent="0.35">
      <c r="A216" s="6" t="s">
        <v>3363</v>
      </c>
      <c r="B216" s="6">
        <v>330476</v>
      </c>
      <c r="C216" s="6" t="s">
        <v>1244</v>
      </c>
      <c r="D216" s="6" t="s">
        <v>3623</v>
      </c>
    </row>
    <row r="217" spans="1:4" x14ac:dyDescent="0.35">
      <c r="A217" s="6" t="s">
        <v>2593</v>
      </c>
      <c r="B217" s="6" t="s">
        <v>2592</v>
      </c>
      <c r="C217" s="6" t="s">
        <v>1242</v>
      </c>
      <c r="D217" s="6" t="s">
        <v>1084</v>
      </c>
    </row>
    <row r="218" spans="1:4" x14ac:dyDescent="0.35">
      <c r="A218" s="6" t="s">
        <v>1397</v>
      </c>
      <c r="B218" s="6" t="s">
        <v>1707</v>
      </c>
      <c r="C218" s="6" t="s">
        <v>1244</v>
      </c>
      <c r="D218" s="6" t="s">
        <v>3622</v>
      </c>
    </row>
    <row r="219" spans="1:4" x14ac:dyDescent="0.35">
      <c r="A219" s="6" t="s">
        <v>2594</v>
      </c>
      <c r="B219" s="6">
        <v>4900</v>
      </c>
      <c r="C219" s="6" t="s">
        <v>1244</v>
      </c>
      <c r="D219" s="6" t="s">
        <v>1084</v>
      </c>
    </row>
    <row r="220" spans="1:4" x14ac:dyDescent="0.35">
      <c r="A220" s="6" t="s">
        <v>3364</v>
      </c>
      <c r="B220" s="6">
        <v>701054</v>
      </c>
      <c r="C220" s="6" t="s">
        <v>64</v>
      </c>
      <c r="D220" s="6" t="s">
        <v>1084</v>
      </c>
    </row>
    <row r="221" spans="1:4" x14ac:dyDescent="0.35">
      <c r="A221" s="6" t="s">
        <v>3365</v>
      </c>
      <c r="B221" s="6">
        <v>701072</v>
      </c>
      <c r="C221" s="6" t="s">
        <v>1249</v>
      </c>
      <c r="D221" s="6" t="s">
        <v>1084</v>
      </c>
    </row>
    <row r="222" spans="1:4" x14ac:dyDescent="0.35">
      <c r="A222" s="6" t="s">
        <v>3366</v>
      </c>
      <c r="B222" s="6">
        <v>703054</v>
      </c>
      <c r="C222" s="6" t="s">
        <v>64</v>
      </c>
      <c r="D222" s="6" t="s">
        <v>1084</v>
      </c>
    </row>
    <row r="223" spans="1:4" x14ac:dyDescent="0.35">
      <c r="A223" s="6" t="s">
        <v>3367</v>
      </c>
      <c r="B223" s="6">
        <v>703072</v>
      </c>
      <c r="C223" s="6" t="s">
        <v>1249</v>
      </c>
      <c r="D223" s="6" t="s">
        <v>1084</v>
      </c>
    </row>
    <row r="224" spans="1:4" x14ac:dyDescent="0.35">
      <c r="A224" s="6" t="s">
        <v>2595</v>
      </c>
      <c r="B224" s="6">
        <v>7215</v>
      </c>
      <c r="C224" s="6" t="s">
        <v>1244</v>
      </c>
      <c r="D224" s="6" t="s">
        <v>1084</v>
      </c>
    </row>
    <row r="225" spans="1:4" x14ac:dyDescent="0.35">
      <c r="A225" s="6" t="s">
        <v>3368</v>
      </c>
      <c r="B225" s="6">
        <v>7234</v>
      </c>
      <c r="C225" s="6" t="s">
        <v>1242</v>
      </c>
      <c r="D225" s="6" t="s">
        <v>1084</v>
      </c>
    </row>
    <row r="226" spans="1:4" x14ac:dyDescent="0.35">
      <c r="A226" s="6" t="s">
        <v>3369</v>
      </c>
      <c r="B226" s="6">
        <v>7310</v>
      </c>
      <c r="C226" s="6" t="s">
        <v>1244</v>
      </c>
      <c r="D226" s="6" t="s">
        <v>1084</v>
      </c>
    </row>
    <row r="227" spans="1:4" x14ac:dyDescent="0.35">
      <c r="A227" s="6" t="s">
        <v>2596</v>
      </c>
      <c r="B227" s="6">
        <v>7455</v>
      </c>
      <c r="C227" s="6" t="s">
        <v>64</v>
      </c>
      <c r="D227" s="6" t="s">
        <v>1084</v>
      </c>
    </row>
    <row r="228" spans="1:4" x14ac:dyDescent="0.35">
      <c r="A228" s="6" t="s">
        <v>2597</v>
      </c>
      <c r="B228" s="6">
        <v>7471</v>
      </c>
      <c r="C228" s="6" t="s">
        <v>64</v>
      </c>
      <c r="D228" s="6" t="s">
        <v>1084</v>
      </c>
    </row>
    <row r="229" spans="1:4" x14ac:dyDescent="0.35">
      <c r="A229" s="6" t="s">
        <v>2598</v>
      </c>
      <c r="B229" s="6">
        <v>7493</v>
      </c>
      <c r="C229" s="6" t="s">
        <v>1244</v>
      </c>
      <c r="D229" s="6" t="s">
        <v>1084</v>
      </c>
    </row>
    <row r="230" spans="1:4" x14ac:dyDescent="0.35">
      <c r="A230" s="6" t="s">
        <v>2599</v>
      </c>
      <c r="B230" s="6">
        <v>7504</v>
      </c>
      <c r="C230" s="6" t="s">
        <v>1244</v>
      </c>
      <c r="D230" s="6" t="s">
        <v>1084</v>
      </c>
    </row>
    <row r="231" spans="1:4" x14ac:dyDescent="0.35">
      <c r="A231" s="6" t="s">
        <v>3370</v>
      </c>
      <c r="B231" s="6">
        <v>7630</v>
      </c>
      <c r="C231" s="6" t="s">
        <v>1244</v>
      </c>
      <c r="D231" s="6" t="s">
        <v>1084</v>
      </c>
    </row>
    <row r="232" spans="1:4" x14ac:dyDescent="0.35">
      <c r="A232" s="6" t="s">
        <v>3371</v>
      </c>
      <c r="B232" s="6">
        <v>7631</v>
      </c>
      <c r="C232" s="6" t="s">
        <v>1244</v>
      </c>
      <c r="D232" s="6" t="s">
        <v>1084</v>
      </c>
    </row>
    <row r="233" spans="1:4" x14ac:dyDescent="0.35">
      <c r="A233" s="6" t="s">
        <v>2600</v>
      </c>
      <c r="B233" s="6">
        <v>7633</v>
      </c>
      <c r="C233" s="6" t="s">
        <v>1244</v>
      </c>
      <c r="D233" s="6" t="s">
        <v>1084</v>
      </c>
    </row>
    <row r="234" spans="1:4" x14ac:dyDescent="0.35">
      <c r="A234" s="6" t="s">
        <v>2601</v>
      </c>
      <c r="B234" s="6">
        <v>7680</v>
      </c>
      <c r="C234" s="6" t="s">
        <v>1244</v>
      </c>
      <c r="D234" s="6" t="s">
        <v>1084</v>
      </c>
    </row>
    <row r="235" spans="1:4" x14ac:dyDescent="0.35">
      <c r="A235" s="6" t="s">
        <v>3372</v>
      </c>
      <c r="B235" s="6">
        <v>7681</v>
      </c>
      <c r="C235" s="6" t="s">
        <v>1244</v>
      </c>
      <c r="D235" s="6" t="s">
        <v>1084</v>
      </c>
    </row>
    <row r="236" spans="1:4" x14ac:dyDescent="0.35">
      <c r="A236" s="6" t="s">
        <v>2602</v>
      </c>
      <c r="B236" s="6">
        <v>7712</v>
      </c>
      <c r="C236" s="6" t="s">
        <v>1242</v>
      </c>
      <c r="D236" s="6" t="s">
        <v>1084</v>
      </c>
    </row>
    <row r="237" spans="1:4" x14ac:dyDescent="0.35">
      <c r="A237" s="6" t="s">
        <v>2603</v>
      </c>
      <c r="B237" s="6">
        <v>7747</v>
      </c>
      <c r="C237" s="6" t="s">
        <v>1242</v>
      </c>
      <c r="D237" s="6" t="s">
        <v>1084</v>
      </c>
    </row>
    <row r="238" spans="1:4" x14ac:dyDescent="0.35">
      <c r="A238" s="6" t="s">
        <v>2604</v>
      </c>
      <c r="B238" s="6">
        <v>7748</v>
      </c>
      <c r="C238" s="6" t="s">
        <v>1242</v>
      </c>
      <c r="D238" s="6" t="s">
        <v>1084</v>
      </c>
    </row>
    <row r="239" spans="1:4" x14ac:dyDescent="0.35">
      <c r="A239" s="6" t="s">
        <v>2605</v>
      </c>
      <c r="B239" s="6">
        <v>7749</v>
      </c>
      <c r="C239" s="6" t="s">
        <v>1242</v>
      </c>
      <c r="D239" s="6" t="s">
        <v>1084</v>
      </c>
    </row>
    <row r="240" spans="1:4" x14ac:dyDescent="0.35">
      <c r="A240" s="6" t="s">
        <v>3373</v>
      </c>
      <c r="B240" s="6">
        <v>7801</v>
      </c>
      <c r="C240" s="6" t="s">
        <v>80</v>
      </c>
      <c r="D240" s="6" t="s">
        <v>1084</v>
      </c>
    </row>
    <row r="241" spans="1:4" x14ac:dyDescent="0.35">
      <c r="A241" s="6" t="s">
        <v>3374</v>
      </c>
      <c r="B241" s="6">
        <v>7802</v>
      </c>
      <c r="C241" s="6" t="s">
        <v>80</v>
      </c>
      <c r="D241" s="6" t="s">
        <v>1084</v>
      </c>
    </row>
    <row r="242" spans="1:4" x14ac:dyDescent="0.35">
      <c r="A242" s="6" t="s">
        <v>2606</v>
      </c>
      <c r="B242" s="6">
        <v>7810</v>
      </c>
      <c r="C242" s="6" t="s">
        <v>80</v>
      </c>
      <c r="D242" s="6" t="s">
        <v>1084</v>
      </c>
    </row>
    <row r="243" spans="1:4" x14ac:dyDescent="0.35">
      <c r="A243" s="6" t="s">
        <v>2607</v>
      </c>
      <c r="B243" s="6">
        <v>7902</v>
      </c>
      <c r="C243" s="6" t="s">
        <v>64</v>
      </c>
      <c r="D243" s="6" t="s">
        <v>1084</v>
      </c>
    </row>
    <row r="244" spans="1:4" x14ac:dyDescent="0.35">
      <c r="A244" s="6" t="s">
        <v>1247</v>
      </c>
      <c r="B244" s="6" t="s">
        <v>1708</v>
      </c>
      <c r="C244" s="6" t="s">
        <v>64</v>
      </c>
      <c r="D244" s="6" t="s">
        <v>3622</v>
      </c>
    </row>
    <row r="245" spans="1:4" x14ac:dyDescent="0.35">
      <c r="A245" s="6" t="s">
        <v>2609</v>
      </c>
      <c r="B245" s="6" t="s">
        <v>2608</v>
      </c>
      <c r="C245" s="6" t="s">
        <v>1244</v>
      </c>
      <c r="D245" s="6" t="s">
        <v>1084</v>
      </c>
    </row>
    <row r="246" spans="1:4" x14ac:dyDescent="0.35">
      <c r="A246" s="6" t="s">
        <v>2611</v>
      </c>
      <c r="B246" s="6" t="s">
        <v>2610</v>
      </c>
      <c r="C246" s="6" t="s">
        <v>64</v>
      </c>
      <c r="D246" s="6" t="s">
        <v>1084</v>
      </c>
    </row>
    <row r="247" spans="1:4" x14ac:dyDescent="0.35">
      <c r="A247" s="6" t="s">
        <v>1710</v>
      </c>
      <c r="B247" s="6" t="s">
        <v>1709</v>
      </c>
      <c r="C247" s="6" t="s">
        <v>1244</v>
      </c>
      <c r="D247" s="6" t="s">
        <v>3622</v>
      </c>
    </row>
    <row r="248" spans="1:4" x14ac:dyDescent="0.35">
      <c r="A248" s="6" t="s">
        <v>1712</v>
      </c>
      <c r="B248" s="6" t="s">
        <v>1711</v>
      </c>
      <c r="C248" s="6" t="s">
        <v>1244</v>
      </c>
      <c r="D248" s="6" t="s">
        <v>3622</v>
      </c>
    </row>
    <row r="249" spans="1:4" x14ac:dyDescent="0.35">
      <c r="A249" s="6" t="s">
        <v>1714</v>
      </c>
      <c r="B249" s="6" t="s">
        <v>1713</v>
      </c>
      <c r="C249" s="6" t="s">
        <v>1244</v>
      </c>
      <c r="D249" s="6" t="s">
        <v>3624</v>
      </c>
    </row>
    <row r="250" spans="1:4" x14ac:dyDescent="0.35">
      <c r="A250" s="6" t="s">
        <v>3375</v>
      </c>
      <c r="B250" s="6" t="s">
        <v>1715</v>
      </c>
      <c r="C250" s="6" t="s">
        <v>1242</v>
      </c>
      <c r="D250" s="6" t="s">
        <v>3622</v>
      </c>
    </row>
    <row r="251" spans="1:4" x14ac:dyDescent="0.35">
      <c r="A251" s="6" t="s">
        <v>3376</v>
      </c>
      <c r="B251" s="6" t="s">
        <v>2612</v>
      </c>
      <c r="C251" s="6" t="s">
        <v>1242</v>
      </c>
      <c r="D251" s="6" t="s">
        <v>3622</v>
      </c>
    </row>
    <row r="252" spans="1:4" x14ac:dyDescent="0.35">
      <c r="A252" s="6" t="s">
        <v>2614</v>
      </c>
      <c r="B252" s="6" t="s">
        <v>2613</v>
      </c>
      <c r="C252" s="6" t="s">
        <v>64</v>
      </c>
      <c r="D252" s="6" t="s">
        <v>1084</v>
      </c>
    </row>
    <row r="253" spans="1:4" x14ac:dyDescent="0.35">
      <c r="A253" s="6" t="s">
        <v>1503</v>
      </c>
      <c r="B253" s="6" t="s">
        <v>1716</v>
      </c>
      <c r="C253" s="6" t="s">
        <v>1242</v>
      </c>
      <c r="D253" s="6" t="s">
        <v>3622</v>
      </c>
    </row>
    <row r="254" spans="1:4" x14ac:dyDescent="0.35">
      <c r="A254" s="6" t="s">
        <v>1535</v>
      </c>
      <c r="B254" s="6" t="s">
        <v>1717</v>
      </c>
      <c r="C254" s="6" t="s">
        <v>1244</v>
      </c>
      <c r="D254" s="6" t="s">
        <v>3623</v>
      </c>
    </row>
    <row r="255" spans="1:4" x14ac:dyDescent="0.35">
      <c r="A255" s="6" t="s">
        <v>2616</v>
      </c>
      <c r="B255" s="6" t="s">
        <v>2615</v>
      </c>
      <c r="C255" s="6" t="s">
        <v>1244</v>
      </c>
      <c r="D255" s="6" t="s">
        <v>1084</v>
      </c>
    </row>
    <row r="256" spans="1:4" x14ac:dyDescent="0.35">
      <c r="A256" s="6" t="s">
        <v>2618</v>
      </c>
      <c r="B256" s="6" t="s">
        <v>2617</v>
      </c>
      <c r="C256" s="6" t="s">
        <v>1244</v>
      </c>
      <c r="D256" s="6" t="s">
        <v>1084</v>
      </c>
    </row>
    <row r="257" spans="1:4" x14ac:dyDescent="0.35">
      <c r="A257" s="6" t="s">
        <v>2620</v>
      </c>
      <c r="B257" s="6" t="s">
        <v>2619</v>
      </c>
      <c r="C257" s="6" t="s">
        <v>1244</v>
      </c>
      <c r="D257" s="6" t="s">
        <v>1084</v>
      </c>
    </row>
    <row r="258" spans="1:4" x14ac:dyDescent="0.35">
      <c r="A258" s="6" t="s">
        <v>1719</v>
      </c>
      <c r="B258" s="6" t="s">
        <v>1718</v>
      </c>
      <c r="C258" s="6" t="s">
        <v>1244</v>
      </c>
      <c r="D258" s="6" t="s">
        <v>3622</v>
      </c>
    </row>
    <row r="259" spans="1:4" x14ac:dyDescent="0.35">
      <c r="A259" s="6" t="s">
        <v>2622</v>
      </c>
      <c r="B259" s="6" t="s">
        <v>2621</v>
      </c>
      <c r="C259" s="6" t="s">
        <v>64</v>
      </c>
      <c r="D259" s="6" t="s">
        <v>1084</v>
      </c>
    </row>
    <row r="260" spans="1:4" x14ac:dyDescent="0.35">
      <c r="A260" s="6" t="s">
        <v>1380</v>
      </c>
      <c r="B260" s="6" t="s">
        <v>1720</v>
      </c>
      <c r="C260" s="6" t="s">
        <v>1244</v>
      </c>
      <c r="D260" s="6" t="s">
        <v>3622</v>
      </c>
    </row>
    <row r="261" spans="1:4" x14ac:dyDescent="0.35">
      <c r="A261" s="6" t="s">
        <v>2624</v>
      </c>
      <c r="B261" s="6" t="s">
        <v>2623</v>
      </c>
      <c r="C261" s="6" t="s">
        <v>1242</v>
      </c>
      <c r="D261" s="6" t="s">
        <v>3622</v>
      </c>
    </row>
    <row r="262" spans="1:4" x14ac:dyDescent="0.35">
      <c r="A262" s="6" t="s">
        <v>1722</v>
      </c>
      <c r="B262" s="6" t="s">
        <v>1721</v>
      </c>
      <c r="C262" s="6" t="s">
        <v>1244</v>
      </c>
      <c r="D262" s="6" t="s">
        <v>3622</v>
      </c>
    </row>
    <row r="263" spans="1:4" x14ac:dyDescent="0.35">
      <c r="A263" s="6" t="s">
        <v>1379</v>
      </c>
      <c r="B263" s="6" t="s">
        <v>1723</v>
      </c>
      <c r="C263" s="6" t="s">
        <v>1244</v>
      </c>
      <c r="D263" s="6" t="s">
        <v>3624</v>
      </c>
    </row>
    <row r="264" spans="1:4" x14ac:dyDescent="0.35">
      <c r="A264" s="6" t="s">
        <v>1725</v>
      </c>
      <c r="B264" s="6" t="s">
        <v>1724</v>
      </c>
      <c r="C264" s="6" t="s">
        <v>1244</v>
      </c>
      <c r="D264" s="6" t="s">
        <v>3622</v>
      </c>
    </row>
    <row r="265" spans="1:4" x14ac:dyDescent="0.35">
      <c r="A265" s="6" t="s">
        <v>2626</v>
      </c>
      <c r="B265" s="6" t="s">
        <v>2625</v>
      </c>
      <c r="C265" s="6" t="s">
        <v>1244</v>
      </c>
      <c r="D265" s="6" t="s">
        <v>1084</v>
      </c>
    </row>
    <row r="266" spans="1:4" x14ac:dyDescent="0.35">
      <c r="A266" s="6" t="s">
        <v>1398</v>
      </c>
      <c r="B266" s="6" t="s">
        <v>1726</v>
      </c>
      <c r="C266" s="6" t="s">
        <v>1244</v>
      </c>
      <c r="D266" s="6" t="s">
        <v>3623</v>
      </c>
    </row>
    <row r="267" spans="1:4" x14ac:dyDescent="0.35">
      <c r="A267" s="6" t="s">
        <v>1534</v>
      </c>
      <c r="B267" s="6" t="s">
        <v>1727</v>
      </c>
      <c r="C267" s="6" t="s">
        <v>1244</v>
      </c>
      <c r="D267" s="6" t="s">
        <v>3624</v>
      </c>
    </row>
    <row r="268" spans="1:4" x14ac:dyDescent="0.35">
      <c r="A268" s="6" t="s">
        <v>2628</v>
      </c>
      <c r="B268" s="6" t="s">
        <v>2627</v>
      </c>
      <c r="C268" s="6" t="s">
        <v>1244</v>
      </c>
      <c r="D268" s="6" t="s">
        <v>1084</v>
      </c>
    </row>
    <row r="269" spans="1:4" x14ac:dyDescent="0.35">
      <c r="A269" s="6" t="s">
        <v>1369</v>
      </c>
      <c r="B269" s="6" t="s">
        <v>1728</v>
      </c>
      <c r="C269" s="6" t="s">
        <v>1244</v>
      </c>
      <c r="D269" s="6" t="s">
        <v>3623</v>
      </c>
    </row>
    <row r="270" spans="1:4" x14ac:dyDescent="0.35">
      <c r="A270" s="6" t="s">
        <v>1730</v>
      </c>
      <c r="B270" s="6" t="s">
        <v>1729</v>
      </c>
      <c r="C270" s="6" t="s">
        <v>1244</v>
      </c>
      <c r="D270" s="6" t="s">
        <v>3624</v>
      </c>
    </row>
    <row r="271" spans="1:4" x14ac:dyDescent="0.35">
      <c r="A271" s="6" t="s">
        <v>1732</v>
      </c>
      <c r="B271" s="6" t="s">
        <v>1731</v>
      </c>
      <c r="C271" s="6" t="s">
        <v>1244</v>
      </c>
      <c r="D271" s="6" t="s">
        <v>3622</v>
      </c>
    </row>
    <row r="272" spans="1:4" x14ac:dyDescent="0.35">
      <c r="A272" s="6" t="s">
        <v>1734</v>
      </c>
      <c r="B272" s="6" t="s">
        <v>1733</v>
      </c>
      <c r="C272" s="6" t="s">
        <v>1244</v>
      </c>
      <c r="D272" s="6" t="s">
        <v>3624</v>
      </c>
    </row>
    <row r="273" spans="1:4" x14ac:dyDescent="0.35">
      <c r="A273" s="6" t="s">
        <v>1338</v>
      </c>
      <c r="B273" s="6" t="s">
        <v>1735</v>
      </c>
      <c r="C273" s="6" t="s">
        <v>1244</v>
      </c>
      <c r="D273" s="6" t="s">
        <v>3622</v>
      </c>
    </row>
    <row r="274" spans="1:4" x14ac:dyDescent="0.35">
      <c r="A274" s="6" t="s">
        <v>2629</v>
      </c>
      <c r="B274" s="6" t="s">
        <v>1154</v>
      </c>
      <c r="C274" s="6" t="s">
        <v>1086</v>
      </c>
      <c r="D274" s="6" t="s">
        <v>3622</v>
      </c>
    </row>
    <row r="275" spans="1:4" x14ac:dyDescent="0.35">
      <c r="A275" s="6" t="s">
        <v>2630</v>
      </c>
      <c r="B275" s="6" t="s">
        <v>1152</v>
      </c>
      <c r="C275" s="6" t="s">
        <v>1086</v>
      </c>
      <c r="D275" s="6" t="s">
        <v>3622</v>
      </c>
    </row>
    <row r="276" spans="1:4" x14ac:dyDescent="0.35">
      <c r="A276" s="6" t="s">
        <v>2631</v>
      </c>
      <c r="B276" s="6" t="s">
        <v>1156</v>
      </c>
      <c r="C276" s="6" t="s">
        <v>1086</v>
      </c>
      <c r="D276" s="6" t="s">
        <v>3622</v>
      </c>
    </row>
    <row r="277" spans="1:4" x14ac:dyDescent="0.35">
      <c r="A277" s="6" t="s">
        <v>2632</v>
      </c>
      <c r="B277" s="6" t="s">
        <v>1155</v>
      </c>
      <c r="C277" s="6" t="s">
        <v>1086</v>
      </c>
      <c r="D277" s="6" t="s">
        <v>3622</v>
      </c>
    </row>
    <row r="278" spans="1:4" x14ac:dyDescent="0.35">
      <c r="A278" s="6" t="s">
        <v>2633</v>
      </c>
      <c r="B278" s="6" t="s">
        <v>1157</v>
      </c>
      <c r="C278" s="6" t="s">
        <v>1086</v>
      </c>
      <c r="D278" s="6" t="s">
        <v>3622</v>
      </c>
    </row>
    <row r="279" spans="1:4" x14ac:dyDescent="0.35">
      <c r="A279" s="6" t="s">
        <v>2635</v>
      </c>
      <c r="B279" s="6" t="s">
        <v>2634</v>
      </c>
      <c r="C279" s="6" t="s">
        <v>1086</v>
      </c>
      <c r="D279" s="6" t="s">
        <v>3622</v>
      </c>
    </row>
    <row r="280" spans="1:4" x14ac:dyDescent="0.35">
      <c r="A280" s="6" t="s">
        <v>2636</v>
      </c>
      <c r="B280" s="6" t="s">
        <v>1153</v>
      </c>
      <c r="C280" s="6" t="s">
        <v>1086</v>
      </c>
      <c r="D280" s="6" t="s">
        <v>3622</v>
      </c>
    </row>
    <row r="281" spans="1:4" x14ac:dyDescent="0.35">
      <c r="A281" s="6" t="s">
        <v>1246</v>
      </c>
      <c r="B281" s="6" t="s">
        <v>1736</v>
      </c>
      <c r="C281" s="6" t="s">
        <v>1244</v>
      </c>
      <c r="D281" s="6" t="s">
        <v>3622</v>
      </c>
    </row>
    <row r="282" spans="1:4" x14ac:dyDescent="0.35">
      <c r="A282" s="6" t="s">
        <v>3377</v>
      </c>
      <c r="B282" s="6" t="s">
        <v>1737</v>
      </c>
      <c r="C282" s="6" t="s">
        <v>1244</v>
      </c>
      <c r="D282" s="6" t="s">
        <v>3623</v>
      </c>
    </row>
    <row r="283" spans="1:4" x14ac:dyDescent="0.35">
      <c r="A283" s="6" t="s">
        <v>1739</v>
      </c>
      <c r="B283" s="6" t="s">
        <v>1738</v>
      </c>
      <c r="C283" s="6" t="s">
        <v>1248</v>
      </c>
      <c r="D283" s="6" t="s">
        <v>3623</v>
      </c>
    </row>
    <row r="284" spans="1:4" x14ac:dyDescent="0.35">
      <c r="A284" s="6" t="s">
        <v>2638</v>
      </c>
      <c r="B284" s="6" t="s">
        <v>2637</v>
      </c>
      <c r="C284" s="6" t="s">
        <v>64</v>
      </c>
      <c r="D284" s="6" t="s">
        <v>1084</v>
      </c>
    </row>
    <row r="285" spans="1:4" x14ac:dyDescent="0.35">
      <c r="A285" s="6" t="s">
        <v>1741</v>
      </c>
      <c r="B285" s="6" t="s">
        <v>1740</v>
      </c>
      <c r="C285" s="6" t="s">
        <v>45</v>
      </c>
      <c r="D285" s="6" t="s">
        <v>3623</v>
      </c>
    </row>
    <row r="286" spans="1:4" x14ac:dyDescent="0.35">
      <c r="A286" s="6" t="s">
        <v>1743</v>
      </c>
      <c r="B286" s="6" t="s">
        <v>1742</v>
      </c>
      <c r="C286" s="6" t="s">
        <v>45</v>
      </c>
      <c r="D286" s="6" t="s">
        <v>3623</v>
      </c>
    </row>
    <row r="287" spans="1:4" x14ac:dyDescent="0.35">
      <c r="A287" s="6" t="s">
        <v>1610</v>
      </c>
      <c r="B287" s="6" t="s">
        <v>1744</v>
      </c>
      <c r="C287" s="6" t="s">
        <v>1244</v>
      </c>
      <c r="D287" s="6" t="s">
        <v>3623</v>
      </c>
    </row>
    <row r="288" spans="1:4" x14ac:dyDescent="0.35">
      <c r="A288" s="6" t="s">
        <v>3379</v>
      </c>
      <c r="B288" s="6" t="s">
        <v>3378</v>
      </c>
      <c r="C288" s="6" t="s">
        <v>1244</v>
      </c>
      <c r="D288" s="6" t="s">
        <v>3623</v>
      </c>
    </row>
    <row r="289" spans="1:4" x14ac:dyDescent="0.35">
      <c r="A289" s="6" t="s">
        <v>3381</v>
      </c>
      <c r="B289" s="6" t="s">
        <v>3380</v>
      </c>
      <c r="C289" s="6" t="s">
        <v>1244</v>
      </c>
      <c r="D289" s="6" t="s">
        <v>3623</v>
      </c>
    </row>
    <row r="290" spans="1:4" x14ac:dyDescent="0.35">
      <c r="A290" s="6" t="s">
        <v>1609</v>
      </c>
      <c r="B290" s="6" t="s">
        <v>1745</v>
      </c>
      <c r="C290" s="6" t="s">
        <v>1244</v>
      </c>
      <c r="D290" s="6" t="s">
        <v>3622</v>
      </c>
    </row>
    <row r="291" spans="1:4" x14ac:dyDescent="0.35">
      <c r="A291" s="6" t="s">
        <v>1608</v>
      </c>
      <c r="B291" s="6" t="s">
        <v>1746</v>
      </c>
      <c r="C291" s="6" t="s">
        <v>1244</v>
      </c>
      <c r="D291" s="6" t="s">
        <v>3624</v>
      </c>
    </row>
    <row r="292" spans="1:4" x14ac:dyDescent="0.35">
      <c r="A292" s="6" t="s">
        <v>1748</v>
      </c>
      <c r="B292" s="6" t="s">
        <v>1747</v>
      </c>
      <c r="C292" s="6" t="s">
        <v>1244</v>
      </c>
      <c r="D292" s="6" t="s">
        <v>3623</v>
      </c>
    </row>
    <row r="293" spans="1:4" x14ac:dyDescent="0.35">
      <c r="A293" s="6" t="s">
        <v>3383</v>
      </c>
      <c r="B293" s="6" t="s">
        <v>3382</v>
      </c>
      <c r="C293" s="6" t="s">
        <v>1242</v>
      </c>
      <c r="D293" s="6" t="s">
        <v>3622</v>
      </c>
    </row>
    <row r="294" spans="1:4" x14ac:dyDescent="0.35">
      <c r="A294" s="6" t="s">
        <v>3385</v>
      </c>
      <c r="B294" s="6" t="s">
        <v>3384</v>
      </c>
      <c r="C294" s="6" t="s">
        <v>1244</v>
      </c>
      <c r="D294" s="6" t="s">
        <v>3623</v>
      </c>
    </row>
    <row r="295" spans="1:4" x14ac:dyDescent="0.35">
      <c r="A295" s="6" t="s">
        <v>2640</v>
      </c>
      <c r="B295" s="6" t="s">
        <v>2639</v>
      </c>
      <c r="C295" s="6" t="s">
        <v>1244</v>
      </c>
      <c r="D295" s="6" t="s">
        <v>3623</v>
      </c>
    </row>
    <row r="296" spans="1:4" x14ac:dyDescent="0.35">
      <c r="A296" s="6" t="s">
        <v>3387</v>
      </c>
      <c r="B296" s="6" t="s">
        <v>3386</v>
      </c>
      <c r="C296" s="6" t="s">
        <v>1244</v>
      </c>
      <c r="D296" s="6" t="s">
        <v>3623</v>
      </c>
    </row>
    <row r="297" spans="1:4" x14ac:dyDescent="0.35">
      <c r="A297" s="6" t="s">
        <v>1750</v>
      </c>
      <c r="B297" s="6" t="s">
        <v>1749</v>
      </c>
      <c r="C297" s="6" t="s">
        <v>1244</v>
      </c>
      <c r="D297" s="6" t="s">
        <v>3622</v>
      </c>
    </row>
    <row r="298" spans="1:4" x14ac:dyDescent="0.35">
      <c r="A298" s="6" t="s">
        <v>1752</v>
      </c>
      <c r="B298" s="6" t="s">
        <v>1751</v>
      </c>
      <c r="C298" s="6" t="s">
        <v>1244</v>
      </c>
      <c r="D298" s="6" t="s">
        <v>3622</v>
      </c>
    </row>
    <row r="299" spans="1:4" x14ac:dyDescent="0.35">
      <c r="A299" s="6" t="s">
        <v>1754</v>
      </c>
      <c r="B299" s="6" t="s">
        <v>1753</v>
      </c>
      <c r="C299" s="6" t="s">
        <v>1244</v>
      </c>
      <c r="D299" s="6" t="s">
        <v>3622</v>
      </c>
    </row>
    <row r="300" spans="1:4" x14ac:dyDescent="0.35">
      <c r="A300" s="6" t="s">
        <v>3389</v>
      </c>
      <c r="B300" s="6" t="s">
        <v>3388</v>
      </c>
      <c r="C300" s="6" t="s">
        <v>1244</v>
      </c>
      <c r="D300" s="6" t="s">
        <v>3623</v>
      </c>
    </row>
    <row r="301" spans="1:4" x14ac:dyDescent="0.35">
      <c r="A301" s="6" t="s">
        <v>3390</v>
      </c>
      <c r="B301" s="6" t="s">
        <v>1755</v>
      </c>
      <c r="C301" s="6" t="s">
        <v>1244</v>
      </c>
      <c r="D301" s="6" t="s">
        <v>3623</v>
      </c>
    </row>
    <row r="302" spans="1:4" x14ac:dyDescent="0.35">
      <c r="A302" s="6" t="s">
        <v>2642</v>
      </c>
      <c r="B302" s="6" t="s">
        <v>2641</v>
      </c>
      <c r="C302" s="6" t="s">
        <v>1244</v>
      </c>
      <c r="D302" s="6" t="s">
        <v>3623</v>
      </c>
    </row>
    <row r="303" spans="1:4" x14ac:dyDescent="0.35">
      <c r="A303" s="6" t="s">
        <v>1467</v>
      </c>
      <c r="B303" s="6" t="s">
        <v>1756</v>
      </c>
      <c r="C303" s="6" t="s">
        <v>1248</v>
      </c>
      <c r="D303" s="6" t="s">
        <v>3623</v>
      </c>
    </row>
    <row r="304" spans="1:4" x14ac:dyDescent="0.35">
      <c r="A304" s="6" t="s">
        <v>1542</v>
      </c>
      <c r="B304" s="6" t="s">
        <v>1757</v>
      </c>
      <c r="C304" s="6" t="s">
        <v>1244</v>
      </c>
      <c r="D304" s="6" t="s">
        <v>3622</v>
      </c>
    </row>
    <row r="305" spans="1:4" x14ac:dyDescent="0.35">
      <c r="A305" s="6" t="s">
        <v>1759</v>
      </c>
      <c r="B305" s="6" t="s">
        <v>1758</v>
      </c>
      <c r="C305" s="6" t="s">
        <v>1244</v>
      </c>
      <c r="D305" s="6" t="s">
        <v>3622</v>
      </c>
    </row>
    <row r="306" spans="1:4" x14ac:dyDescent="0.35">
      <c r="A306" s="6" t="s">
        <v>1761</v>
      </c>
      <c r="B306" s="6" t="s">
        <v>1760</v>
      </c>
      <c r="C306" s="6" t="s">
        <v>1244</v>
      </c>
      <c r="D306" s="6" t="s">
        <v>3622</v>
      </c>
    </row>
    <row r="307" spans="1:4" x14ac:dyDescent="0.35">
      <c r="A307" s="6" t="s">
        <v>2644</v>
      </c>
      <c r="B307" s="6" t="s">
        <v>2643</v>
      </c>
      <c r="C307" s="6" t="s">
        <v>1244</v>
      </c>
      <c r="D307" s="6" t="s">
        <v>3622</v>
      </c>
    </row>
    <row r="308" spans="1:4" x14ac:dyDescent="0.35">
      <c r="A308" s="6" t="s">
        <v>2646</v>
      </c>
      <c r="B308" s="6" t="s">
        <v>2645</v>
      </c>
      <c r="C308" s="6" t="s">
        <v>1244</v>
      </c>
      <c r="D308" s="6" t="s">
        <v>3622</v>
      </c>
    </row>
    <row r="309" spans="1:4" x14ac:dyDescent="0.35">
      <c r="A309" s="6" t="s">
        <v>2648</v>
      </c>
      <c r="B309" s="6" t="s">
        <v>2647</v>
      </c>
      <c r="C309" s="6" t="s">
        <v>1242</v>
      </c>
      <c r="D309" s="6" t="s">
        <v>1084</v>
      </c>
    </row>
    <row r="310" spans="1:4" x14ac:dyDescent="0.35">
      <c r="A310" s="6" t="s">
        <v>1458</v>
      </c>
      <c r="B310" s="6" t="s">
        <v>1762</v>
      </c>
      <c r="C310" s="6" t="s">
        <v>1244</v>
      </c>
      <c r="D310" s="6" t="s">
        <v>3622</v>
      </c>
    </row>
    <row r="311" spans="1:4" x14ac:dyDescent="0.35">
      <c r="A311" s="6" t="s">
        <v>1764</v>
      </c>
      <c r="B311" s="6" t="s">
        <v>1763</v>
      </c>
      <c r="C311" s="6" t="s">
        <v>1244</v>
      </c>
      <c r="D311" s="6" t="s">
        <v>3622</v>
      </c>
    </row>
    <row r="312" spans="1:4" x14ac:dyDescent="0.35">
      <c r="A312" s="6" t="s">
        <v>1459</v>
      </c>
      <c r="B312" s="6" t="s">
        <v>1765</v>
      </c>
      <c r="C312" s="6" t="s">
        <v>1244</v>
      </c>
      <c r="D312" s="6" t="s">
        <v>3624</v>
      </c>
    </row>
    <row r="313" spans="1:4" x14ac:dyDescent="0.35">
      <c r="A313" s="6" t="s">
        <v>2650</v>
      </c>
      <c r="B313" s="6" t="s">
        <v>2649</v>
      </c>
      <c r="C313" s="6" t="s">
        <v>1242</v>
      </c>
      <c r="D313" s="6" t="s">
        <v>3623</v>
      </c>
    </row>
    <row r="314" spans="1:4" x14ac:dyDescent="0.35">
      <c r="A314" s="6" t="s">
        <v>1767</v>
      </c>
      <c r="B314" s="6" t="s">
        <v>1766</v>
      </c>
      <c r="C314" s="6" t="s">
        <v>1242</v>
      </c>
      <c r="D314" s="6" t="s">
        <v>3622</v>
      </c>
    </row>
    <row r="315" spans="1:4" x14ac:dyDescent="0.35">
      <c r="A315" s="6" t="s">
        <v>2652</v>
      </c>
      <c r="B315" s="6" t="s">
        <v>2651</v>
      </c>
      <c r="C315" s="6" t="s">
        <v>1242</v>
      </c>
      <c r="D315" s="6" t="s">
        <v>1084</v>
      </c>
    </row>
    <row r="316" spans="1:4" x14ac:dyDescent="0.35">
      <c r="A316" s="6" t="s">
        <v>3391</v>
      </c>
      <c r="B316" s="6" t="s">
        <v>2653</v>
      </c>
      <c r="C316" s="6" t="s">
        <v>1244</v>
      </c>
      <c r="D316" s="6" t="s">
        <v>1084</v>
      </c>
    </row>
    <row r="317" spans="1:4" x14ac:dyDescent="0.35">
      <c r="A317" s="6" t="s">
        <v>1486</v>
      </c>
      <c r="B317" s="6" t="s">
        <v>1768</v>
      </c>
      <c r="C317" s="6" t="s">
        <v>1244</v>
      </c>
      <c r="D317" s="6" t="s">
        <v>3623</v>
      </c>
    </row>
    <row r="318" spans="1:4" x14ac:dyDescent="0.35">
      <c r="A318" s="6" t="s">
        <v>3392</v>
      </c>
      <c r="B318" s="6" t="s">
        <v>2654</v>
      </c>
      <c r="C318" s="6" t="s">
        <v>64</v>
      </c>
      <c r="D318" s="6" t="s">
        <v>1084</v>
      </c>
    </row>
    <row r="319" spans="1:4" x14ac:dyDescent="0.35">
      <c r="A319" s="6" t="s">
        <v>3393</v>
      </c>
      <c r="B319" s="6" t="s">
        <v>2655</v>
      </c>
      <c r="C319" s="6" t="s">
        <v>64</v>
      </c>
      <c r="D319" s="6" t="s">
        <v>3624</v>
      </c>
    </row>
    <row r="320" spans="1:4" x14ac:dyDescent="0.35">
      <c r="A320" s="6" t="s">
        <v>2657</v>
      </c>
      <c r="B320" s="6" t="s">
        <v>2656</v>
      </c>
      <c r="C320" s="6" t="s">
        <v>1244</v>
      </c>
      <c r="D320" s="6" t="s">
        <v>3623</v>
      </c>
    </row>
    <row r="321" spans="1:4" x14ac:dyDescent="0.35">
      <c r="A321" s="6" t="s">
        <v>2659</v>
      </c>
      <c r="B321" s="6" t="s">
        <v>2658</v>
      </c>
      <c r="C321" s="6" t="s">
        <v>1244</v>
      </c>
      <c r="D321" s="6" t="s">
        <v>3622</v>
      </c>
    </row>
    <row r="322" spans="1:4" x14ac:dyDescent="0.35">
      <c r="A322" s="6" t="s">
        <v>2661</v>
      </c>
      <c r="B322" s="6" t="s">
        <v>2660</v>
      </c>
      <c r="C322" s="6" t="s">
        <v>64</v>
      </c>
      <c r="D322" s="6" t="s">
        <v>1084</v>
      </c>
    </row>
    <row r="323" spans="1:4" x14ac:dyDescent="0.35">
      <c r="A323" s="6" t="s">
        <v>1628</v>
      </c>
      <c r="B323" s="6" t="s">
        <v>1769</v>
      </c>
      <c r="C323" s="6" t="s">
        <v>1244</v>
      </c>
      <c r="D323" s="6" t="s">
        <v>3622</v>
      </c>
    </row>
    <row r="324" spans="1:4" x14ac:dyDescent="0.35">
      <c r="A324" s="6" t="s">
        <v>1629</v>
      </c>
      <c r="B324" s="6" t="s">
        <v>1770</v>
      </c>
      <c r="C324" s="6" t="s">
        <v>1244</v>
      </c>
      <c r="D324" s="6" t="s">
        <v>3624</v>
      </c>
    </row>
    <row r="325" spans="1:4" x14ac:dyDescent="0.35">
      <c r="A325" s="6" t="s">
        <v>1448</v>
      </c>
      <c r="B325" s="6" t="s">
        <v>329</v>
      </c>
      <c r="C325" s="6" t="s">
        <v>1244</v>
      </c>
      <c r="D325" s="6" t="s">
        <v>3622</v>
      </c>
    </row>
    <row r="326" spans="1:4" x14ac:dyDescent="0.35">
      <c r="A326" s="6" t="s">
        <v>2663</v>
      </c>
      <c r="B326" s="6" t="s">
        <v>2662</v>
      </c>
      <c r="C326" s="6" t="s">
        <v>1242</v>
      </c>
      <c r="D326" s="6" t="s">
        <v>3624</v>
      </c>
    </row>
    <row r="327" spans="1:4" x14ac:dyDescent="0.35">
      <c r="A327" s="6" t="s">
        <v>1551</v>
      </c>
      <c r="B327" s="6" t="s">
        <v>1771</v>
      </c>
      <c r="C327" s="6" t="s">
        <v>1244</v>
      </c>
      <c r="D327" s="6" t="s">
        <v>3622</v>
      </c>
    </row>
    <row r="328" spans="1:4" x14ac:dyDescent="0.35">
      <c r="A328" s="6" t="s">
        <v>1773</v>
      </c>
      <c r="B328" s="6" t="s">
        <v>1772</v>
      </c>
      <c r="C328" s="6" t="s">
        <v>1244</v>
      </c>
      <c r="D328" s="6" t="s">
        <v>3623</v>
      </c>
    </row>
    <row r="329" spans="1:4" x14ac:dyDescent="0.35">
      <c r="A329" s="6" t="s">
        <v>1552</v>
      </c>
      <c r="B329" s="6" t="s">
        <v>1774</v>
      </c>
      <c r="C329" s="6" t="s">
        <v>1244</v>
      </c>
      <c r="D329" s="6" t="s">
        <v>3624</v>
      </c>
    </row>
    <row r="330" spans="1:4" x14ac:dyDescent="0.35">
      <c r="A330" s="6" t="s">
        <v>1776</v>
      </c>
      <c r="B330" s="6" t="s">
        <v>1775</v>
      </c>
      <c r="C330" s="6" t="s">
        <v>1242</v>
      </c>
      <c r="D330" s="6" t="s">
        <v>3622</v>
      </c>
    </row>
    <row r="331" spans="1:4" x14ac:dyDescent="0.35">
      <c r="A331" s="6" t="s">
        <v>1778</v>
      </c>
      <c r="B331" s="6" t="s">
        <v>1777</v>
      </c>
      <c r="C331" s="6" t="s">
        <v>1249</v>
      </c>
      <c r="D331" s="6" t="s">
        <v>3623</v>
      </c>
    </row>
    <row r="332" spans="1:4" x14ac:dyDescent="0.35">
      <c r="A332" s="6" t="s">
        <v>2665</v>
      </c>
      <c r="B332" s="6" t="s">
        <v>2664</v>
      </c>
      <c r="C332" s="6" t="s">
        <v>1249</v>
      </c>
      <c r="D332" s="6" t="s">
        <v>3622</v>
      </c>
    </row>
    <row r="333" spans="1:4" x14ac:dyDescent="0.35">
      <c r="A333" s="6" t="s">
        <v>2667</v>
      </c>
      <c r="B333" s="6" t="s">
        <v>2666</v>
      </c>
      <c r="C333" s="6" t="s">
        <v>1249</v>
      </c>
      <c r="D333" s="6" t="s">
        <v>3624</v>
      </c>
    </row>
    <row r="334" spans="1:4" x14ac:dyDescent="0.35">
      <c r="A334" s="6" t="s">
        <v>2669</v>
      </c>
      <c r="B334" s="6" t="s">
        <v>2668</v>
      </c>
      <c r="C334" s="6" t="s">
        <v>1244</v>
      </c>
      <c r="D334" s="6" t="s">
        <v>1084</v>
      </c>
    </row>
    <row r="335" spans="1:4" x14ac:dyDescent="0.35">
      <c r="A335" s="6" t="s">
        <v>2671</v>
      </c>
      <c r="B335" s="6" t="s">
        <v>2670</v>
      </c>
      <c r="C335" s="6" t="s">
        <v>64</v>
      </c>
      <c r="D335" s="6" t="s">
        <v>1084</v>
      </c>
    </row>
    <row r="336" spans="1:4" x14ac:dyDescent="0.35">
      <c r="A336" s="6" t="s">
        <v>1780</v>
      </c>
      <c r="B336" s="6" t="s">
        <v>1779</v>
      </c>
      <c r="C336" s="6" t="s">
        <v>1244</v>
      </c>
      <c r="D336" s="6" t="s">
        <v>3622</v>
      </c>
    </row>
    <row r="337" spans="1:4" x14ac:dyDescent="0.35">
      <c r="A337" s="6" t="s">
        <v>2672</v>
      </c>
      <c r="B337" s="6" t="s">
        <v>1781</v>
      </c>
      <c r="C337" s="6" t="s">
        <v>64</v>
      </c>
      <c r="D337" s="6" t="s">
        <v>1084</v>
      </c>
    </row>
    <row r="338" spans="1:4" x14ac:dyDescent="0.35">
      <c r="A338" s="6" t="s">
        <v>2674</v>
      </c>
      <c r="B338" s="6" t="s">
        <v>2673</v>
      </c>
      <c r="C338" s="6" t="s">
        <v>64</v>
      </c>
      <c r="D338" s="6" t="s">
        <v>3622</v>
      </c>
    </row>
    <row r="339" spans="1:4" x14ac:dyDescent="0.35">
      <c r="A339" s="6" t="s">
        <v>2676</v>
      </c>
      <c r="B339" s="6" t="s">
        <v>2675</v>
      </c>
      <c r="C339" s="6" t="s">
        <v>64</v>
      </c>
      <c r="D339" s="6" t="s">
        <v>3624</v>
      </c>
    </row>
    <row r="340" spans="1:4" x14ac:dyDescent="0.35">
      <c r="A340" s="6" t="s">
        <v>1782</v>
      </c>
      <c r="B340" s="6" t="s">
        <v>2677</v>
      </c>
      <c r="C340" s="6" t="s">
        <v>1244</v>
      </c>
      <c r="D340" s="6" t="s">
        <v>3623</v>
      </c>
    </row>
    <row r="341" spans="1:4" x14ac:dyDescent="0.35">
      <c r="A341" s="6" t="s">
        <v>2679</v>
      </c>
      <c r="B341" s="6" t="s">
        <v>2678</v>
      </c>
      <c r="C341" s="6" t="s">
        <v>1244</v>
      </c>
      <c r="D341" s="6" t="s">
        <v>3623</v>
      </c>
    </row>
    <row r="342" spans="1:4" x14ac:dyDescent="0.35">
      <c r="A342" s="6" t="s">
        <v>1520</v>
      </c>
      <c r="B342" s="6" t="s">
        <v>1783</v>
      </c>
      <c r="C342" s="6" t="s">
        <v>1244</v>
      </c>
      <c r="D342" s="6" t="s">
        <v>3622</v>
      </c>
    </row>
    <row r="343" spans="1:4" x14ac:dyDescent="0.35">
      <c r="A343" s="6" t="s">
        <v>3394</v>
      </c>
      <c r="B343" s="6" t="s">
        <v>2680</v>
      </c>
      <c r="C343" s="6" t="s">
        <v>1242</v>
      </c>
      <c r="D343" s="6" t="s">
        <v>1084</v>
      </c>
    </row>
    <row r="344" spans="1:4" x14ac:dyDescent="0.35">
      <c r="A344" s="6" t="s">
        <v>1321</v>
      </c>
      <c r="B344" s="6" t="s">
        <v>1784</v>
      </c>
      <c r="C344" s="6" t="s">
        <v>1244</v>
      </c>
      <c r="D344" s="6" t="s">
        <v>3624</v>
      </c>
    </row>
    <row r="345" spans="1:4" x14ac:dyDescent="0.35">
      <c r="A345" s="6" t="s">
        <v>1616</v>
      </c>
      <c r="B345" s="6" t="s">
        <v>1785</v>
      </c>
      <c r="C345" s="6" t="s">
        <v>1244</v>
      </c>
      <c r="D345" s="6" t="s">
        <v>3624</v>
      </c>
    </row>
    <row r="346" spans="1:4" x14ac:dyDescent="0.35">
      <c r="A346" s="6" t="s">
        <v>1787</v>
      </c>
      <c r="B346" s="6" t="s">
        <v>1786</v>
      </c>
      <c r="C346" s="6" t="s">
        <v>1244</v>
      </c>
      <c r="D346" s="6" t="s">
        <v>3622</v>
      </c>
    </row>
    <row r="347" spans="1:4" x14ac:dyDescent="0.35">
      <c r="A347" s="6" t="s">
        <v>1789</v>
      </c>
      <c r="B347" s="6" t="s">
        <v>1788</v>
      </c>
      <c r="C347" s="6" t="s">
        <v>1244</v>
      </c>
      <c r="D347" s="6" t="s">
        <v>3623</v>
      </c>
    </row>
    <row r="348" spans="1:4" x14ac:dyDescent="0.35">
      <c r="A348" s="6" t="s">
        <v>1791</v>
      </c>
      <c r="B348" s="6" t="s">
        <v>1790</v>
      </c>
      <c r="C348" s="6" t="s">
        <v>64</v>
      </c>
      <c r="D348" s="6" t="s">
        <v>3622</v>
      </c>
    </row>
    <row r="349" spans="1:4" x14ac:dyDescent="0.35">
      <c r="A349" s="6" t="s">
        <v>1793</v>
      </c>
      <c r="B349" s="6" t="s">
        <v>1792</v>
      </c>
      <c r="C349" s="6" t="s">
        <v>1244</v>
      </c>
      <c r="D349" s="6" t="s">
        <v>3624</v>
      </c>
    </row>
    <row r="350" spans="1:4" x14ac:dyDescent="0.35">
      <c r="A350" s="6" t="s">
        <v>1795</v>
      </c>
      <c r="B350" s="6" t="s">
        <v>1794</v>
      </c>
      <c r="C350" s="6" t="s">
        <v>1244</v>
      </c>
      <c r="D350" s="6" t="s">
        <v>3622</v>
      </c>
    </row>
    <row r="351" spans="1:4" x14ac:dyDescent="0.35">
      <c r="A351" s="6" t="s">
        <v>1320</v>
      </c>
      <c r="B351" s="6" t="s">
        <v>1796</v>
      </c>
      <c r="C351" s="6" t="s">
        <v>1244</v>
      </c>
      <c r="D351" s="6" t="s">
        <v>3622</v>
      </c>
    </row>
    <row r="352" spans="1:4" x14ac:dyDescent="0.35">
      <c r="A352" s="6" t="s">
        <v>1615</v>
      </c>
      <c r="B352" s="6" t="s">
        <v>1797</v>
      </c>
      <c r="C352" s="6" t="s">
        <v>1244</v>
      </c>
      <c r="D352" s="6" t="s">
        <v>3622</v>
      </c>
    </row>
    <row r="353" spans="1:4" x14ac:dyDescent="0.35">
      <c r="A353" s="6" t="s">
        <v>3395</v>
      </c>
      <c r="B353" s="6" t="s">
        <v>2681</v>
      </c>
      <c r="C353" s="6" t="s">
        <v>1242</v>
      </c>
      <c r="D353" s="6" t="s">
        <v>1084</v>
      </c>
    </row>
    <row r="354" spans="1:4" x14ac:dyDescent="0.35">
      <c r="A354" s="6" t="s">
        <v>1556</v>
      </c>
      <c r="B354" s="6" t="s">
        <v>1798</v>
      </c>
      <c r="C354" s="6" t="s">
        <v>1244</v>
      </c>
      <c r="D354" s="6" t="s">
        <v>3624</v>
      </c>
    </row>
    <row r="355" spans="1:4" x14ac:dyDescent="0.35">
      <c r="A355" s="6" t="s">
        <v>1555</v>
      </c>
      <c r="B355" s="6" t="s">
        <v>1799</v>
      </c>
      <c r="C355" s="6" t="s">
        <v>1244</v>
      </c>
      <c r="D355" s="6" t="s">
        <v>3622</v>
      </c>
    </row>
    <row r="356" spans="1:4" x14ac:dyDescent="0.35">
      <c r="A356" s="6" t="s">
        <v>1481</v>
      </c>
      <c r="B356" s="6" t="s">
        <v>1800</v>
      </c>
      <c r="C356" s="6" t="s">
        <v>1244</v>
      </c>
      <c r="D356" s="6" t="s">
        <v>3622</v>
      </c>
    </row>
    <row r="357" spans="1:4" x14ac:dyDescent="0.35">
      <c r="A357" s="6" t="s">
        <v>2683</v>
      </c>
      <c r="B357" s="6" t="s">
        <v>2682</v>
      </c>
      <c r="C357" s="6" t="s">
        <v>1244</v>
      </c>
      <c r="D357" s="6" t="s">
        <v>1084</v>
      </c>
    </row>
    <row r="358" spans="1:4" x14ac:dyDescent="0.35">
      <c r="A358" s="6" t="s">
        <v>1449</v>
      </c>
      <c r="B358" s="6" t="s">
        <v>1801</v>
      </c>
      <c r="C358" s="6" t="s">
        <v>1244</v>
      </c>
      <c r="D358" s="6" t="s">
        <v>3624</v>
      </c>
    </row>
    <row r="359" spans="1:4" x14ac:dyDescent="0.35">
      <c r="A359" s="6" t="s">
        <v>2685</v>
      </c>
      <c r="B359" s="6" t="s">
        <v>2684</v>
      </c>
      <c r="C359" s="6" t="s">
        <v>1242</v>
      </c>
      <c r="D359" s="6" t="s">
        <v>3624</v>
      </c>
    </row>
    <row r="360" spans="1:4" x14ac:dyDescent="0.35">
      <c r="A360" s="6" t="s">
        <v>1803</v>
      </c>
      <c r="B360" s="6" t="s">
        <v>1802</v>
      </c>
      <c r="C360" s="6" t="s">
        <v>1244</v>
      </c>
      <c r="D360" s="6" t="s">
        <v>3622</v>
      </c>
    </row>
    <row r="361" spans="1:4" x14ac:dyDescent="0.35">
      <c r="A361" s="6" t="s">
        <v>2687</v>
      </c>
      <c r="B361" s="6" t="s">
        <v>2686</v>
      </c>
      <c r="C361" s="6" t="s">
        <v>1242</v>
      </c>
      <c r="D361" s="6" t="s">
        <v>1084</v>
      </c>
    </row>
    <row r="362" spans="1:4" x14ac:dyDescent="0.35">
      <c r="A362" s="6" t="s">
        <v>3396</v>
      </c>
      <c r="B362" s="6" t="s">
        <v>2688</v>
      </c>
      <c r="C362" s="6" t="s">
        <v>1244</v>
      </c>
      <c r="D362" s="6" t="s">
        <v>1084</v>
      </c>
    </row>
    <row r="363" spans="1:4" x14ac:dyDescent="0.35">
      <c r="A363" s="6" t="s">
        <v>2690</v>
      </c>
      <c r="B363" s="6" t="s">
        <v>2689</v>
      </c>
      <c r="C363" s="6" t="s">
        <v>1244</v>
      </c>
      <c r="D363" s="6" t="s">
        <v>1084</v>
      </c>
    </row>
    <row r="364" spans="1:4" x14ac:dyDescent="0.35">
      <c r="A364" s="6" t="s">
        <v>1805</v>
      </c>
      <c r="B364" s="6" t="s">
        <v>1804</v>
      </c>
      <c r="C364" s="6" t="s">
        <v>1244</v>
      </c>
      <c r="D364" s="6" t="s">
        <v>3624</v>
      </c>
    </row>
    <row r="365" spans="1:4" x14ac:dyDescent="0.35">
      <c r="A365" s="6" t="s">
        <v>1419</v>
      </c>
      <c r="B365" s="6" t="s">
        <v>1806</v>
      </c>
      <c r="C365" s="6" t="s">
        <v>64</v>
      </c>
      <c r="D365" s="6" t="s">
        <v>3622</v>
      </c>
    </row>
    <row r="366" spans="1:4" x14ac:dyDescent="0.35">
      <c r="A366" s="6" t="s">
        <v>1420</v>
      </c>
      <c r="B366" s="6" t="s">
        <v>1807</v>
      </c>
      <c r="C366" s="6" t="s">
        <v>64</v>
      </c>
      <c r="D366" s="6" t="s">
        <v>3624</v>
      </c>
    </row>
    <row r="367" spans="1:4" x14ac:dyDescent="0.35">
      <c r="A367" s="6" t="s">
        <v>1809</v>
      </c>
      <c r="B367" s="6" t="s">
        <v>1808</v>
      </c>
      <c r="C367" s="6" t="s">
        <v>1244</v>
      </c>
      <c r="D367" s="6" t="s">
        <v>3622</v>
      </c>
    </row>
    <row r="368" spans="1:4" x14ac:dyDescent="0.35">
      <c r="A368" s="6" t="s">
        <v>1811</v>
      </c>
      <c r="B368" s="6" t="s">
        <v>1810</v>
      </c>
      <c r="C368" s="6" t="s">
        <v>1244</v>
      </c>
      <c r="D368" s="6" t="s">
        <v>3622</v>
      </c>
    </row>
    <row r="369" spans="1:4" x14ac:dyDescent="0.35">
      <c r="A369" s="6" t="s">
        <v>2692</v>
      </c>
      <c r="B369" s="6" t="s">
        <v>2691</v>
      </c>
      <c r="C369" s="6" t="s">
        <v>64</v>
      </c>
      <c r="D369" s="6" t="s">
        <v>1084</v>
      </c>
    </row>
    <row r="370" spans="1:4" x14ac:dyDescent="0.35">
      <c r="A370" s="6" t="s">
        <v>1813</v>
      </c>
      <c r="B370" s="6" t="s">
        <v>1812</v>
      </c>
      <c r="C370" s="6" t="s">
        <v>1244</v>
      </c>
      <c r="D370" s="6" t="s">
        <v>3623</v>
      </c>
    </row>
    <row r="371" spans="1:4" x14ac:dyDescent="0.35">
      <c r="A371" s="6" t="s">
        <v>2694</v>
      </c>
      <c r="B371" s="6" t="s">
        <v>2693</v>
      </c>
      <c r="C371" s="6" t="s">
        <v>1242</v>
      </c>
      <c r="D371" s="6" t="s">
        <v>1084</v>
      </c>
    </row>
    <row r="372" spans="1:4" x14ac:dyDescent="0.35">
      <c r="A372" s="6" t="s">
        <v>3397</v>
      </c>
      <c r="B372" s="6" t="s">
        <v>2695</v>
      </c>
      <c r="C372" s="6" t="s">
        <v>1242</v>
      </c>
      <c r="D372" s="6" t="s">
        <v>3624</v>
      </c>
    </row>
    <row r="373" spans="1:4" x14ac:dyDescent="0.35">
      <c r="A373" s="6" t="s">
        <v>2697</v>
      </c>
      <c r="B373" s="6" t="s">
        <v>2696</v>
      </c>
      <c r="C373" s="6" t="s">
        <v>1244</v>
      </c>
      <c r="D373" s="6" t="s">
        <v>3623</v>
      </c>
    </row>
    <row r="374" spans="1:4" x14ac:dyDescent="0.35">
      <c r="A374" s="6" t="s">
        <v>1624</v>
      </c>
      <c r="B374" s="6" t="s">
        <v>1814</v>
      </c>
      <c r="C374" s="6" t="s">
        <v>1244</v>
      </c>
      <c r="D374" s="6" t="s">
        <v>3622</v>
      </c>
    </row>
    <row r="375" spans="1:4" x14ac:dyDescent="0.35">
      <c r="A375" s="6" t="s">
        <v>1598</v>
      </c>
      <c r="B375" s="6" t="s">
        <v>1815</v>
      </c>
      <c r="C375" s="6" t="s">
        <v>1244</v>
      </c>
      <c r="D375" s="6" t="s">
        <v>3624</v>
      </c>
    </row>
    <row r="376" spans="1:4" x14ac:dyDescent="0.35">
      <c r="A376" s="6" t="s">
        <v>2699</v>
      </c>
      <c r="B376" s="6" t="s">
        <v>2698</v>
      </c>
      <c r="C376" s="6" t="s">
        <v>1244</v>
      </c>
      <c r="D376" s="6" t="s">
        <v>1084</v>
      </c>
    </row>
    <row r="377" spans="1:4" x14ac:dyDescent="0.35">
      <c r="A377" s="6" t="s">
        <v>2701</v>
      </c>
      <c r="B377" s="6" t="s">
        <v>2700</v>
      </c>
      <c r="C377" s="6" t="s">
        <v>1242</v>
      </c>
      <c r="D377" s="6" t="s">
        <v>1084</v>
      </c>
    </row>
    <row r="378" spans="1:4" x14ac:dyDescent="0.35">
      <c r="A378" s="6" t="s">
        <v>2703</v>
      </c>
      <c r="B378" s="6" t="s">
        <v>2702</v>
      </c>
      <c r="C378" s="6" t="s">
        <v>1244</v>
      </c>
      <c r="D378" s="6" t="s">
        <v>3623</v>
      </c>
    </row>
    <row r="379" spans="1:4" x14ac:dyDescent="0.35">
      <c r="A379" s="6" t="s">
        <v>1817</v>
      </c>
      <c r="B379" s="6" t="s">
        <v>1816</v>
      </c>
      <c r="C379" s="6" t="s">
        <v>1244</v>
      </c>
      <c r="D379" s="6" t="s">
        <v>3623</v>
      </c>
    </row>
    <row r="380" spans="1:4" x14ac:dyDescent="0.35">
      <c r="A380" s="6" t="s">
        <v>3398</v>
      </c>
      <c r="B380" s="6" t="s">
        <v>1818</v>
      </c>
      <c r="C380" s="6" t="s">
        <v>64</v>
      </c>
      <c r="D380" s="6" t="s">
        <v>3624</v>
      </c>
    </row>
    <row r="381" spans="1:4" x14ac:dyDescent="0.35">
      <c r="A381" s="6" t="s">
        <v>3399</v>
      </c>
      <c r="B381" s="6" t="s">
        <v>2704</v>
      </c>
      <c r="C381" s="6" t="s">
        <v>1242</v>
      </c>
      <c r="D381" s="6" t="s">
        <v>3624</v>
      </c>
    </row>
    <row r="382" spans="1:4" x14ac:dyDescent="0.35">
      <c r="A382" s="6" t="s">
        <v>1599</v>
      </c>
      <c r="B382" s="6" t="s">
        <v>1819</v>
      </c>
      <c r="C382" s="6" t="s">
        <v>1244</v>
      </c>
      <c r="D382" s="6" t="s">
        <v>3622</v>
      </c>
    </row>
    <row r="383" spans="1:4" x14ac:dyDescent="0.35">
      <c r="A383" s="6" t="s">
        <v>3400</v>
      </c>
      <c r="B383" s="6" t="s">
        <v>1820</v>
      </c>
      <c r="C383" s="6" t="s">
        <v>1242</v>
      </c>
      <c r="D383" s="6" t="s">
        <v>1084</v>
      </c>
    </row>
    <row r="384" spans="1:4" x14ac:dyDescent="0.35">
      <c r="A384" s="6" t="s">
        <v>1250</v>
      </c>
      <c r="B384" s="6" t="s">
        <v>2705</v>
      </c>
      <c r="C384" s="6" t="s">
        <v>1244</v>
      </c>
      <c r="D384" s="6" t="s">
        <v>3623</v>
      </c>
    </row>
    <row r="385" spans="1:4" x14ac:dyDescent="0.35">
      <c r="A385" s="6" t="s">
        <v>1595</v>
      </c>
      <c r="B385" s="6" t="s">
        <v>1821</v>
      </c>
      <c r="C385" s="6" t="s">
        <v>1244</v>
      </c>
      <c r="D385" s="6" t="s">
        <v>3624</v>
      </c>
    </row>
    <row r="386" spans="1:4" x14ac:dyDescent="0.35">
      <c r="A386" s="6" t="s">
        <v>1251</v>
      </c>
      <c r="B386" s="6" t="s">
        <v>1822</v>
      </c>
      <c r="C386" s="6" t="s">
        <v>1244</v>
      </c>
      <c r="D386" s="6" t="s">
        <v>3623</v>
      </c>
    </row>
    <row r="387" spans="1:4" x14ac:dyDescent="0.35">
      <c r="A387" s="6" t="s">
        <v>2707</v>
      </c>
      <c r="B387" s="6" t="s">
        <v>2706</v>
      </c>
      <c r="C387" s="6" t="s">
        <v>1244</v>
      </c>
      <c r="D387" s="6" t="s">
        <v>1084</v>
      </c>
    </row>
    <row r="388" spans="1:4" x14ac:dyDescent="0.35">
      <c r="A388" s="6" t="s">
        <v>2709</v>
      </c>
      <c r="B388" s="6" t="s">
        <v>2708</v>
      </c>
      <c r="C388" s="6" t="s">
        <v>1244</v>
      </c>
      <c r="D388" s="6" t="s">
        <v>1084</v>
      </c>
    </row>
    <row r="389" spans="1:4" x14ac:dyDescent="0.35">
      <c r="A389" s="6" t="s">
        <v>1824</v>
      </c>
      <c r="B389" s="6" t="s">
        <v>1823</v>
      </c>
      <c r="C389" s="6" t="s">
        <v>1244</v>
      </c>
      <c r="D389" s="6" t="s">
        <v>3624</v>
      </c>
    </row>
    <row r="390" spans="1:4" x14ac:dyDescent="0.35">
      <c r="A390" s="6" t="s">
        <v>1399</v>
      </c>
      <c r="B390" s="6" t="s">
        <v>1825</v>
      </c>
      <c r="C390" s="6" t="s">
        <v>1244</v>
      </c>
      <c r="D390" s="6" t="s">
        <v>3622</v>
      </c>
    </row>
    <row r="391" spans="1:4" x14ac:dyDescent="0.35">
      <c r="A391" s="6" t="s">
        <v>3401</v>
      </c>
      <c r="B391" s="6" t="s">
        <v>2710</v>
      </c>
      <c r="C391" s="6" t="s">
        <v>1242</v>
      </c>
      <c r="D391" s="6" t="s">
        <v>1084</v>
      </c>
    </row>
    <row r="392" spans="1:4" x14ac:dyDescent="0.35">
      <c r="A392" s="6" t="s">
        <v>3402</v>
      </c>
      <c r="B392" s="6" t="s">
        <v>2711</v>
      </c>
      <c r="C392" s="6" t="s">
        <v>1242</v>
      </c>
      <c r="D392" s="6" t="s">
        <v>3624</v>
      </c>
    </row>
    <row r="393" spans="1:4" x14ac:dyDescent="0.35">
      <c r="A393" s="6" t="s">
        <v>2713</v>
      </c>
      <c r="B393" s="6" t="s">
        <v>2712</v>
      </c>
      <c r="C393" s="6" t="s">
        <v>1242</v>
      </c>
      <c r="D393" s="6" t="s">
        <v>3624</v>
      </c>
    </row>
    <row r="394" spans="1:4" x14ac:dyDescent="0.35">
      <c r="A394" s="6" t="s">
        <v>1827</v>
      </c>
      <c r="B394" s="6" t="s">
        <v>1826</v>
      </c>
      <c r="C394" s="6" t="s">
        <v>1244</v>
      </c>
      <c r="D394" s="6" t="s">
        <v>3622</v>
      </c>
    </row>
    <row r="395" spans="1:4" x14ac:dyDescent="0.35">
      <c r="A395" s="6" t="s">
        <v>1400</v>
      </c>
      <c r="B395" s="6" t="s">
        <v>1828</v>
      </c>
      <c r="C395" s="6" t="s">
        <v>1244</v>
      </c>
      <c r="D395" s="6" t="s">
        <v>3624</v>
      </c>
    </row>
    <row r="396" spans="1:4" x14ac:dyDescent="0.35">
      <c r="A396" s="6" t="s">
        <v>1830</v>
      </c>
      <c r="B396" s="6" t="s">
        <v>1829</v>
      </c>
      <c r="C396" s="6" t="s">
        <v>1244</v>
      </c>
      <c r="D396" s="6" t="s">
        <v>3622</v>
      </c>
    </row>
    <row r="397" spans="1:4" x14ac:dyDescent="0.35">
      <c r="A397" s="6" t="s">
        <v>1832</v>
      </c>
      <c r="B397" s="6" t="s">
        <v>1831</v>
      </c>
      <c r="C397" s="6" t="s">
        <v>1244</v>
      </c>
      <c r="D397" s="6" t="s">
        <v>3622</v>
      </c>
    </row>
    <row r="398" spans="1:4" x14ac:dyDescent="0.35">
      <c r="A398" s="6" t="s">
        <v>1384</v>
      </c>
      <c r="B398" s="6" t="s">
        <v>1833</v>
      </c>
      <c r="C398" s="6" t="s">
        <v>2714</v>
      </c>
      <c r="D398" s="6" t="s">
        <v>3622</v>
      </c>
    </row>
    <row r="399" spans="1:4" x14ac:dyDescent="0.35">
      <c r="A399" s="6" t="s">
        <v>1382</v>
      </c>
      <c r="B399" s="6" t="s">
        <v>1834</v>
      </c>
      <c r="C399" s="6" t="s">
        <v>2714</v>
      </c>
      <c r="D399" s="6" t="s">
        <v>3624</v>
      </c>
    </row>
    <row r="400" spans="1:4" x14ac:dyDescent="0.35">
      <c r="A400" s="6" t="s">
        <v>1836</v>
      </c>
      <c r="B400" s="6" t="s">
        <v>1835</v>
      </c>
      <c r="C400" s="6" t="s">
        <v>1244</v>
      </c>
      <c r="D400" s="6" t="s">
        <v>3624</v>
      </c>
    </row>
    <row r="401" spans="1:4" x14ac:dyDescent="0.35">
      <c r="A401" s="6" t="s">
        <v>1838</v>
      </c>
      <c r="B401" s="6" t="s">
        <v>1837</v>
      </c>
      <c r="C401" s="6" t="s">
        <v>1244</v>
      </c>
      <c r="D401" s="6" t="s">
        <v>3622</v>
      </c>
    </row>
    <row r="402" spans="1:4" x14ac:dyDescent="0.35">
      <c r="A402" s="6" t="s">
        <v>1840</v>
      </c>
      <c r="B402" s="6" t="s">
        <v>1839</v>
      </c>
      <c r="C402" s="6" t="s">
        <v>1244</v>
      </c>
      <c r="D402" s="6" t="s">
        <v>3622</v>
      </c>
    </row>
    <row r="403" spans="1:4" x14ac:dyDescent="0.35">
      <c r="A403" s="6" t="s">
        <v>2716</v>
      </c>
      <c r="B403" s="6" t="s">
        <v>2715</v>
      </c>
      <c r="C403" s="6" t="s">
        <v>1242</v>
      </c>
      <c r="D403" s="6" t="s">
        <v>1084</v>
      </c>
    </row>
    <row r="404" spans="1:4" x14ac:dyDescent="0.35">
      <c r="A404" s="6" t="s">
        <v>3403</v>
      </c>
      <c r="B404" s="6" t="s">
        <v>2717</v>
      </c>
      <c r="C404" s="6" t="s">
        <v>1244</v>
      </c>
      <c r="D404" s="6" t="s">
        <v>3624</v>
      </c>
    </row>
    <row r="405" spans="1:4" x14ac:dyDescent="0.35">
      <c r="A405" s="6" t="s">
        <v>2719</v>
      </c>
      <c r="B405" s="6" t="s">
        <v>2718</v>
      </c>
      <c r="C405" s="6" t="s">
        <v>1242</v>
      </c>
      <c r="D405" s="6" t="s">
        <v>1084</v>
      </c>
    </row>
    <row r="406" spans="1:4" x14ac:dyDescent="0.35">
      <c r="A406" s="6" t="s">
        <v>2721</v>
      </c>
      <c r="B406" s="6" t="s">
        <v>2720</v>
      </c>
      <c r="C406" s="6" t="s">
        <v>1249</v>
      </c>
      <c r="D406" s="6" t="s">
        <v>1084</v>
      </c>
    </row>
    <row r="407" spans="1:4" x14ac:dyDescent="0.35">
      <c r="A407" s="6" t="s">
        <v>2723</v>
      </c>
      <c r="B407" s="6" t="s">
        <v>2722</v>
      </c>
      <c r="C407" s="6" t="s">
        <v>1244</v>
      </c>
      <c r="D407" s="6" t="s">
        <v>1084</v>
      </c>
    </row>
    <row r="408" spans="1:4" x14ac:dyDescent="0.35">
      <c r="A408" s="6" t="s">
        <v>1842</v>
      </c>
      <c r="B408" s="6" t="s">
        <v>1841</v>
      </c>
      <c r="C408" s="6" t="s">
        <v>1244</v>
      </c>
      <c r="D408" s="6" t="s">
        <v>3622</v>
      </c>
    </row>
    <row r="409" spans="1:4" x14ac:dyDescent="0.35">
      <c r="A409" s="6" t="s">
        <v>2725</v>
      </c>
      <c r="B409" s="6" t="s">
        <v>2724</v>
      </c>
      <c r="C409" s="6" t="s">
        <v>1242</v>
      </c>
      <c r="D409" s="6" t="s">
        <v>3623</v>
      </c>
    </row>
    <row r="410" spans="1:4" x14ac:dyDescent="0.35">
      <c r="A410" s="6" t="s">
        <v>2727</v>
      </c>
      <c r="B410" s="6" t="s">
        <v>2726</v>
      </c>
      <c r="C410" s="6" t="s">
        <v>1242</v>
      </c>
      <c r="D410" s="6" t="s">
        <v>3624</v>
      </c>
    </row>
    <row r="411" spans="1:4" x14ac:dyDescent="0.35">
      <c r="A411" s="6" t="s">
        <v>3404</v>
      </c>
      <c r="B411" s="6" t="s">
        <v>2728</v>
      </c>
      <c r="C411" s="6" t="s">
        <v>1244</v>
      </c>
      <c r="D411" s="6" t="s">
        <v>1084</v>
      </c>
    </row>
    <row r="412" spans="1:4" x14ac:dyDescent="0.35">
      <c r="A412" s="6" t="s">
        <v>3405</v>
      </c>
      <c r="B412" s="6" t="s">
        <v>2729</v>
      </c>
      <c r="C412" s="6" t="s">
        <v>1244</v>
      </c>
      <c r="D412" s="6" t="s">
        <v>3622</v>
      </c>
    </row>
    <row r="413" spans="1:4" x14ac:dyDescent="0.35">
      <c r="A413" s="6" t="s">
        <v>2731</v>
      </c>
      <c r="B413" s="6" t="s">
        <v>2730</v>
      </c>
      <c r="C413" s="6" t="s">
        <v>1242</v>
      </c>
      <c r="D413" s="6" t="s">
        <v>1084</v>
      </c>
    </row>
    <row r="414" spans="1:4" x14ac:dyDescent="0.35">
      <c r="A414" s="6" t="s">
        <v>2733</v>
      </c>
      <c r="B414" s="6" t="s">
        <v>2732</v>
      </c>
      <c r="C414" s="6" t="s">
        <v>1244</v>
      </c>
      <c r="D414" s="6" t="s">
        <v>1084</v>
      </c>
    </row>
    <row r="415" spans="1:4" x14ac:dyDescent="0.35">
      <c r="A415" s="6" t="s">
        <v>2735</v>
      </c>
      <c r="B415" s="6" t="s">
        <v>2734</v>
      </c>
      <c r="C415" s="6" t="s">
        <v>1242</v>
      </c>
      <c r="D415" s="6" t="s">
        <v>1084</v>
      </c>
    </row>
    <row r="416" spans="1:4" x14ac:dyDescent="0.35">
      <c r="A416" s="6" t="s">
        <v>2737</v>
      </c>
      <c r="B416" s="6" t="s">
        <v>2736</v>
      </c>
      <c r="C416" s="6" t="s">
        <v>1244</v>
      </c>
      <c r="D416" s="6" t="s">
        <v>3622</v>
      </c>
    </row>
    <row r="417" spans="1:4" x14ac:dyDescent="0.35">
      <c r="A417" s="6" t="s">
        <v>1844</v>
      </c>
      <c r="B417" s="6" t="s">
        <v>1843</v>
      </c>
      <c r="C417" s="6" t="s">
        <v>1244</v>
      </c>
      <c r="D417" s="6" t="s">
        <v>3623</v>
      </c>
    </row>
    <row r="418" spans="1:4" x14ac:dyDescent="0.35">
      <c r="A418" s="6" t="s">
        <v>2739</v>
      </c>
      <c r="B418" s="6" t="s">
        <v>2738</v>
      </c>
      <c r="C418" s="6" t="s">
        <v>1244</v>
      </c>
      <c r="D418" s="6" t="s">
        <v>3624</v>
      </c>
    </row>
    <row r="419" spans="1:4" x14ac:dyDescent="0.35">
      <c r="A419" s="6" t="s">
        <v>2741</v>
      </c>
      <c r="B419" s="6" t="s">
        <v>2740</v>
      </c>
      <c r="C419" s="6" t="s">
        <v>1244</v>
      </c>
      <c r="D419" s="6" t="s">
        <v>1084</v>
      </c>
    </row>
    <row r="420" spans="1:4" x14ac:dyDescent="0.35">
      <c r="A420" s="6" t="s">
        <v>2743</v>
      </c>
      <c r="B420" s="6" t="s">
        <v>2742</v>
      </c>
      <c r="C420" s="6" t="s">
        <v>45</v>
      </c>
      <c r="D420" s="6" t="s">
        <v>3623</v>
      </c>
    </row>
    <row r="421" spans="1:4" x14ac:dyDescent="0.35">
      <c r="A421" s="6" t="s">
        <v>2745</v>
      </c>
      <c r="B421" s="6" t="s">
        <v>2744</v>
      </c>
      <c r="C421" s="6" t="s">
        <v>1242</v>
      </c>
      <c r="D421" s="6" t="s">
        <v>1084</v>
      </c>
    </row>
    <row r="422" spans="1:4" x14ac:dyDescent="0.35">
      <c r="A422" s="6" t="s">
        <v>2747</v>
      </c>
      <c r="B422" s="6" t="s">
        <v>2746</v>
      </c>
      <c r="C422" s="6" t="s">
        <v>1242</v>
      </c>
      <c r="D422" s="6" t="s">
        <v>1084</v>
      </c>
    </row>
    <row r="423" spans="1:4" x14ac:dyDescent="0.35">
      <c r="A423" s="6" t="s">
        <v>2749</v>
      </c>
      <c r="B423" s="6" t="s">
        <v>2748</v>
      </c>
      <c r="C423" s="6" t="s">
        <v>1242</v>
      </c>
      <c r="D423" s="6" t="s">
        <v>1084</v>
      </c>
    </row>
    <row r="424" spans="1:4" x14ac:dyDescent="0.35">
      <c r="A424" s="6" t="s">
        <v>1537</v>
      </c>
      <c r="B424" s="6" t="s">
        <v>368</v>
      </c>
      <c r="C424" s="6" t="s">
        <v>1244</v>
      </c>
      <c r="D424" s="6" t="s">
        <v>3623</v>
      </c>
    </row>
    <row r="425" spans="1:4" x14ac:dyDescent="0.35">
      <c r="A425" s="6" t="s">
        <v>2751</v>
      </c>
      <c r="B425" s="6" t="s">
        <v>2750</v>
      </c>
      <c r="C425" s="6" t="s">
        <v>1242</v>
      </c>
      <c r="D425" s="6" t="s">
        <v>1084</v>
      </c>
    </row>
    <row r="426" spans="1:4" x14ac:dyDescent="0.35">
      <c r="A426" s="6" t="s">
        <v>3406</v>
      </c>
      <c r="B426" s="6" t="s">
        <v>1845</v>
      </c>
      <c r="C426" s="6" t="s">
        <v>1242</v>
      </c>
      <c r="D426" s="6" t="s">
        <v>3622</v>
      </c>
    </row>
    <row r="427" spans="1:4" x14ac:dyDescent="0.35">
      <c r="A427" s="6" t="s">
        <v>2752</v>
      </c>
      <c r="B427" s="6" t="s">
        <v>1529</v>
      </c>
      <c r="C427" s="6" t="s">
        <v>1244</v>
      </c>
      <c r="D427" s="6" t="s">
        <v>1084</v>
      </c>
    </row>
    <row r="428" spans="1:4" x14ac:dyDescent="0.35">
      <c r="A428" s="6" t="s">
        <v>1847</v>
      </c>
      <c r="B428" s="6" t="s">
        <v>1846</v>
      </c>
      <c r="C428" s="6" t="s">
        <v>1244</v>
      </c>
      <c r="D428" s="6" t="s">
        <v>3622</v>
      </c>
    </row>
    <row r="429" spans="1:4" x14ac:dyDescent="0.35">
      <c r="A429" s="6" t="s">
        <v>1645</v>
      </c>
      <c r="B429" s="6" t="s">
        <v>1848</v>
      </c>
      <c r="C429" s="6" t="s">
        <v>1242</v>
      </c>
      <c r="D429" s="6" t="s">
        <v>3624</v>
      </c>
    </row>
    <row r="430" spans="1:4" x14ac:dyDescent="0.35">
      <c r="A430" s="6" t="s">
        <v>2754</v>
      </c>
      <c r="B430" s="6" t="s">
        <v>2753</v>
      </c>
      <c r="C430" s="6" t="s">
        <v>45</v>
      </c>
      <c r="D430" s="6" t="s">
        <v>3624</v>
      </c>
    </row>
    <row r="431" spans="1:4" x14ac:dyDescent="0.35">
      <c r="A431" s="6" t="s">
        <v>3407</v>
      </c>
      <c r="B431" s="6" t="s">
        <v>1849</v>
      </c>
      <c r="C431" s="6" t="s">
        <v>1244</v>
      </c>
      <c r="D431" s="6" t="s">
        <v>3623</v>
      </c>
    </row>
    <row r="432" spans="1:4" x14ac:dyDescent="0.35">
      <c r="A432" s="6" t="s">
        <v>1646</v>
      </c>
      <c r="B432" s="6" t="s">
        <v>1850</v>
      </c>
      <c r="C432" s="6" t="s">
        <v>1242</v>
      </c>
      <c r="D432" s="6" t="s">
        <v>3624</v>
      </c>
    </row>
    <row r="433" spans="1:4" x14ac:dyDescent="0.35">
      <c r="A433" s="6" t="s">
        <v>2756</v>
      </c>
      <c r="B433" s="6" t="s">
        <v>2755</v>
      </c>
      <c r="C433" s="6" t="s">
        <v>1242</v>
      </c>
      <c r="D433" s="6" t="s">
        <v>3624</v>
      </c>
    </row>
    <row r="434" spans="1:4" x14ac:dyDescent="0.35">
      <c r="A434" s="6" t="s">
        <v>1647</v>
      </c>
      <c r="B434" s="6" t="s">
        <v>1851</v>
      </c>
      <c r="C434" s="6" t="s">
        <v>1242</v>
      </c>
      <c r="D434" s="6" t="s">
        <v>3624</v>
      </c>
    </row>
    <row r="435" spans="1:4" x14ac:dyDescent="0.35">
      <c r="A435" s="6" t="s">
        <v>1562</v>
      </c>
      <c r="B435" s="6" t="s">
        <v>1852</v>
      </c>
      <c r="C435" s="6" t="s">
        <v>1244</v>
      </c>
      <c r="D435" s="6" t="s">
        <v>3622</v>
      </c>
    </row>
    <row r="436" spans="1:4" x14ac:dyDescent="0.35">
      <c r="A436" s="6" t="s">
        <v>1559</v>
      </c>
      <c r="B436" s="6" t="s">
        <v>1853</v>
      </c>
      <c r="C436" s="6" t="s">
        <v>1244</v>
      </c>
      <c r="D436" s="6" t="s">
        <v>3624</v>
      </c>
    </row>
    <row r="437" spans="1:4" x14ac:dyDescent="0.35">
      <c r="A437" s="6" t="s">
        <v>3409</v>
      </c>
      <c r="B437" s="6" t="s">
        <v>3408</v>
      </c>
      <c r="C437" s="6" t="s">
        <v>1244</v>
      </c>
      <c r="D437" s="6" t="s">
        <v>3623</v>
      </c>
    </row>
    <row r="438" spans="1:4" x14ac:dyDescent="0.35">
      <c r="A438" s="6" t="s">
        <v>3411</v>
      </c>
      <c r="B438" s="6" t="s">
        <v>3410</v>
      </c>
      <c r="C438" s="6" t="s">
        <v>1244</v>
      </c>
      <c r="D438" s="6" t="s">
        <v>3623</v>
      </c>
    </row>
    <row r="439" spans="1:4" x14ac:dyDescent="0.35">
      <c r="A439" s="6" t="s">
        <v>1558</v>
      </c>
      <c r="B439" s="6" t="s">
        <v>1854</v>
      </c>
      <c r="C439" s="6" t="s">
        <v>1244</v>
      </c>
      <c r="D439" s="6" t="s">
        <v>3622</v>
      </c>
    </row>
    <row r="440" spans="1:4" x14ac:dyDescent="0.35">
      <c r="A440" s="6" t="s">
        <v>1430</v>
      </c>
      <c r="B440" s="6" t="s">
        <v>1855</v>
      </c>
      <c r="C440" s="6" t="s">
        <v>1244</v>
      </c>
      <c r="D440" s="6" t="s">
        <v>3622</v>
      </c>
    </row>
    <row r="441" spans="1:4" x14ac:dyDescent="0.35">
      <c r="A441" s="6" t="s">
        <v>2758</v>
      </c>
      <c r="B441" s="6" t="s">
        <v>2757</v>
      </c>
      <c r="C441" s="6" t="s">
        <v>1244</v>
      </c>
      <c r="D441" s="6" t="s">
        <v>3622</v>
      </c>
    </row>
    <row r="442" spans="1:4" x14ac:dyDescent="0.35">
      <c r="A442" s="6" t="s">
        <v>2760</v>
      </c>
      <c r="B442" s="6" t="s">
        <v>2759</v>
      </c>
      <c r="C442" s="6" t="s">
        <v>64</v>
      </c>
      <c r="D442" s="6" t="s">
        <v>1084</v>
      </c>
    </row>
    <row r="443" spans="1:4" x14ac:dyDescent="0.35">
      <c r="A443" s="6" t="s">
        <v>3413</v>
      </c>
      <c r="B443" s="6" t="s">
        <v>3412</v>
      </c>
      <c r="C443" s="6" t="s">
        <v>1244</v>
      </c>
      <c r="D443" s="6" t="s">
        <v>3623</v>
      </c>
    </row>
    <row r="444" spans="1:4" x14ac:dyDescent="0.35">
      <c r="A444" s="6" t="s">
        <v>3415</v>
      </c>
      <c r="B444" s="6" t="s">
        <v>3414</v>
      </c>
      <c r="C444" s="6" t="s">
        <v>1244</v>
      </c>
      <c r="D444" s="6" t="s">
        <v>3624</v>
      </c>
    </row>
    <row r="445" spans="1:4" x14ac:dyDescent="0.35">
      <c r="A445" s="6" t="s">
        <v>3417</v>
      </c>
      <c r="B445" s="6" t="s">
        <v>3416</v>
      </c>
      <c r="C445" s="6" t="s">
        <v>1244</v>
      </c>
      <c r="D445" s="6" t="s">
        <v>3624</v>
      </c>
    </row>
    <row r="446" spans="1:4" x14ac:dyDescent="0.35">
      <c r="A446" s="6" t="s">
        <v>3419</v>
      </c>
      <c r="B446" s="6" t="s">
        <v>3418</v>
      </c>
      <c r="C446" s="6" t="s">
        <v>1244</v>
      </c>
      <c r="D446" s="6" t="s">
        <v>3624</v>
      </c>
    </row>
    <row r="447" spans="1:4" x14ac:dyDescent="0.35">
      <c r="A447" s="6" t="s">
        <v>3421</v>
      </c>
      <c r="B447" s="6" t="s">
        <v>3420</v>
      </c>
      <c r="C447" s="6" t="s">
        <v>1244</v>
      </c>
      <c r="D447" s="6" t="s">
        <v>3624</v>
      </c>
    </row>
    <row r="448" spans="1:4" x14ac:dyDescent="0.35">
      <c r="A448" s="6" t="s">
        <v>2761</v>
      </c>
      <c r="B448" s="6" t="s">
        <v>373</v>
      </c>
      <c r="C448" s="6" t="s">
        <v>1249</v>
      </c>
      <c r="D448" s="6" t="s">
        <v>1084</v>
      </c>
    </row>
    <row r="449" spans="1:4" x14ac:dyDescent="0.35">
      <c r="A449" s="6" t="s">
        <v>3422</v>
      </c>
      <c r="B449" s="6" t="s">
        <v>2762</v>
      </c>
      <c r="C449" s="6" t="s">
        <v>1242</v>
      </c>
      <c r="D449" s="6" t="s">
        <v>1084</v>
      </c>
    </row>
    <row r="450" spans="1:4" x14ac:dyDescent="0.35">
      <c r="A450" s="6" t="s">
        <v>2764</v>
      </c>
      <c r="B450" s="6" t="s">
        <v>2763</v>
      </c>
      <c r="C450" s="6" t="s">
        <v>64</v>
      </c>
      <c r="D450" s="6" t="s">
        <v>1084</v>
      </c>
    </row>
    <row r="451" spans="1:4" x14ac:dyDescent="0.35">
      <c r="A451" s="6" t="s">
        <v>1857</v>
      </c>
      <c r="B451" s="6" t="s">
        <v>1856</v>
      </c>
      <c r="C451" s="6" t="s">
        <v>1244</v>
      </c>
      <c r="D451" s="6" t="s">
        <v>3623</v>
      </c>
    </row>
    <row r="452" spans="1:4" x14ac:dyDescent="0.35">
      <c r="A452" s="6" t="s">
        <v>1317</v>
      </c>
      <c r="B452" s="6" t="s">
        <v>377</v>
      </c>
      <c r="C452" s="6" t="s">
        <v>1244</v>
      </c>
      <c r="D452" s="6" t="s">
        <v>3624</v>
      </c>
    </row>
    <row r="453" spans="1:4" x14ac:dyDescent="0.35">
      <c r="A453" s="6" t="s">
        <v>3423</v>
      </c>
      <c r="B453" s="6" t="s">
        <v>1858</v>
      </c>
      <c r="C453" s="6" t="s">
        <v>1244</v>
      </c>
      <c r="D453" s="6" t="s">
        <v>3622</v>
      </c>
    </row>
    <row r="454" spans="1:4" x14ac:dyDescent="0.35">
      <c r="A454" s="6" t="s">
        <v>2766</v>
      </c>
      <c r="B454" s="6" t="s">
        <v>2765</v>
      </c>
      <c r="C454" s="6" t="s">
        <v>1244</v>
      </c>
      <c r="D454" s="6" t="s">
        <v>1084</v>
      </c>
    </row>
    <row r="455" spans="1:4" x14ac:dyDescent="0.35">
      <c r="A455" s="6" t="s">
        <v>1860</v>
      </c>
      <c r="B455" s="6" t="s">
        <v>1859</v>
      </c>
      <c r="C455" s="6" t="s">
        <v>1244</v>
      </c>
      <c r="D455" s="6" t="s">
        <v>3623</v>
      </c>
    </row>
    <row r="456" spans="1:4" x14ac:dyDescent="0.35">
      <c r="A456" s="6" t="s">
        <v>3424</v>
      </c>
      <c r="B456" s="6" t="s">
        <v>1861</v>
      </c>
      <c r="C456" s="6" t="s">
        <v>1244</v>
      </c>
      <c r="D456" s="6" t="s">
        <v>3624</v>
      </c>
    </row>
    <row r="457" spans="1:4" x14ac:dyDescent="0.35">
      <c r="A457" s="6" t="s">
        <v>1316</v>
      </c>
      <c r="B457" s="6" t="s">
        <v>1862</v>
      </c>
      <c r="C457" s="6" t="s">
        <v>1244</v>
      </c>
      <c r="D457" s="6" t="s">
        <v>3622</v>
      </c>
    </row>
    <row r="458" spans="1:4" x14ac:dyDescent="0.35">
      <c r="A458" s="6" t="s">
        <v>1864</v>
      </c>
      <c r="B458" s="6" t="s">
        <v>1863</v>
      </c>
      <c r="C458" s="6" t="s">
        <v>1244</v>
      </c>
      <c r="D458" s="6" t="s">
        <v>3624</v>
      </c>
    </row>
    <row r="459" spans="1:4" x14ac:dyDescent="0.35">
      <c r="A459" s="6" t="s">
        <v>1476</v>
      </c>
      <c r="B459" s="6" t="s">
        <v>1865</v>
      </c>
      <c r="C459" s="6" t="s">
        <v>1244</v>
      </c>
      <c r="D459" s="6" t="s">
        <v>3623</v>
      </c>
    </row>
    <row r="460" spans="1:4" x14ac:dyDescent="0.35">
      <c r="A460" s="6" t="s">
        <v>3425</v>
      </c>
      <c r="B460" s="6" t="s">
        <v>2767</v>
      </c>
      <c r="C460" s="6" t="s">
        <v>1244</v>
      </c>
      <c r="D460" s="6" t="s">
        <v>1084</v>
      </c>
    </row>
    <row r="461" spans="1:4" x14ac:dyDescent="0.35">
      <c r="A461" s="6" t="s">
        <v>1617</v>
      </c>
      <c r="B461" s="6" t="s">
        <v>1866</v>
      </c>
      <c r="C461" s="6" t="s">
        <v>1244</v>
      </c>
      <c r="D461" s="6" t="s">
        <v>3622</v>
      </c>
    </row>
    <row r="462" spans="1:4" x14ac:dyDescent="0.35">
      <c r="A462" s="6" t="s">
        <v>1618</v>
      </c>
      <c r="B462" s="6" t="s">
        <v>1867</v>
      </c>
      <c r="C462" s="6" t="s">
        <v>1244</v>
      </c>
      <c r="D462" s="6" t="s">
        <v>3624</v>
      </c>
    </row>
    <row r="463" spans="1:4" x14ac:dyDescent="0.35">
      <c r="A463" s="6" t="s">
        <v>2769</v>
      </c>
      <c r="B463" s="6" t="s">
        <v>2768</v>
      </c>
      <c r="C463" s="6" t="s">
        <v>1244</v>
      </c>
      <c r="D463" s="6" t="s">
        <v>3623</v>
      </c>
    </row>
    <row r="464" spans="1:4" x14ac:dyDescent="0.35">
      <c r="A464" s="6" t="s">
        <v>1553</v>
      </c>
      <c r="B464" s="6" t="s">
        <v>1868</v>
      </c>
      <c r="C464" s="6" t="s">
        <v>1244</v>
      </c>
      <c r="D464" s="6" t="s">
        <v>3624</v>
      </c>
    </row>
    <row r="465" spans="1:4" x14ac:dyDescent="0.35">
      <c r="A465" s="6" t="s">
        <v>2770</v>
      </c>
      <c r="B465" s="6" t="s">
        <v>1869</v>
      </c>
      <c r="C465" s="6" t="s">
        <v>64</v>
      </c>
      <c r="D465" s="6" t="s">
        <v>1084</v>
      </c>
    </row>
    <row r="466" spans="1:4" x14ac:dyDescent="0.35">
      <c r="A466" s="6" t="s">
        <v>1465</v>
      </c>
      <c r="B466" s="6" t="s">
        <v>2771</v>
      </c>
      <c r="C466" s="6" t="s">
        <v>64</v>
      </c>
      <c r="D466" s="6" t="s">
        <v>3622</v>
      </c>
    </row>
    <row r="467" spans="1:4" x14ac:dyDescent="0.35">
      <c r="A467" s="6" t="s">
        <v>2773</v>
      </c>
      <c r="B467" s="6" t="s">
        <v>2772</v>
      </c>
      <c r="C467" s="6" t="s">
        <v>1242</v>
      </c>
      <c r="D467" s="6" t="s">
        <v>1084</v>
      </c>
    </row>
    <row r="468" spans="1:4" x14ac:dyDescent="0.35">
      <c r="A468" s="6" t="s">
        <v>1464</v>
      </c>
      <c r="B468" s="6" t="s">
        <v>1870</v>
      </c>
      <c r="C468" s="6" t="s">
        <v>64</v>
      </c>
      <c r="D468" s="6" t="s">
        <v>3624</v>
      </c>
    </row>
    <row r="469" spans="1:4" x14ac:dyDescent="0.35">
      <c r="A469" s="6" t="s">
        <v>3426</v>
      </c>
      <c r="B469" s="6" t="s">
        <v>2774</v>
      </c>
      <c r="C469" s="6" t="s">
        <v>1244</v>
      </c>
      <c r="D469" s="6" t="s">
        <v>1084</v>
      </c>
    </row>
    <row r="470" spans="1:4" x14ac:dyDescent="0.35">
      <c r="A470" s="6" t="s">
        <v>1872</v>
      </c>
      <c r="B470" s="6" t="s">
        <v>1871</v>
      </c>
      <c r="C470" s="6" t="s">
        <v>1244</v>
      </c>
      <c r="D470" s="6" t="s">
        <v>3623</v>
      </c>
    </row>
    <row r="471" spans="1:4" x14ac:dyDescent="0.35">
      <c r="A471" s="6" t="s">
        <v>1554</v>
      </c>
      <c r="B471" s="6" t="s">
        <v>1873</v>
      </c>
      <c r="C471" s="6" t="s">
        <v>1244</v>
      </c>
      <c r="D471" s="6" t="s">
        <v>3622</v>
      </c>
    </row>
    <row r="472" spans="1:4" x14ac:dyDescent="0.35">
      <c r="A472" s="6" t="s">
        <v>2776</v>
      </c>
      <c r="B472" s="6" t="s">
        <v>2775</v>
      </c>
      <c r="C472" s="6" t="s">
        <v>64</v>
      </c>
      <c r="D472" s="6" t="s">
        <v>1084</v>
      </c>
    </row>
    <row r="473" spans="1:4" x14ac:dyDescent="0.35">
      <c r="A473" s="6" t="s">
        <v>1875</v>
      </c>
      <c r="B473" s="6" t="s">
        <v>1874</v>
      </c>
      <c r="C473" s="6" t="s">
        <v>1244</v>
      </c>
      <c r="D473" s="6" t="s">
        <v>3624</v>
      </c>
    </row>
    <row r="474" spans="1:4" x14ac:dyDescent="0.35">
      <c r="A474" s="6" t="s">
        <v>1425</v>
      </c>
      <c r="B474" s="6" t="s">
        <v>1876</v>
      </c>
      <c r="C474" s="6" t="s">
        <v>1244</v>
      </c>
      <c r="D474" s="6" t="s">
        <v>3623</v>
      </c>
    </row>
    <row r="475" spans="1:4" x14ac:dyDescent="0.35">
      <c r="A475" s="6" t="s">
        <v>3428</v>
      </c>
      <c r="B475" s="6" t="s">
        <v>3427</v>
      </c>
      <c r="C475" s="6" t="s">
        <v>64</v>
      </c>
      <c r="D475" s="6" t="s">
        <v>3624</v>
      </c>
    </row>
    <row r="476" spans="1:4" x14ac:dyDescent="0.35">
      <c r="A476" s="6" t="s">
        <v>1426</v>
      </c>
      <c r="B476" s="6" t="s">
        <v>1877</v>
      </c>
      <c r="C476" s="6" t="s">
        <v>1244</v>
      </c>
      <c r="D476" s="6" t="s">
        <v>3622</v>
      </c>
    </row>
    <row r="477" spans="1:4" x14ac:dyDescent="0.35">
      <c r="A477" s="6" t="s">
        <v>3429</v>
      </c>
      <c r="B477" s="6" t="s">
        <v>2777</v>
      </c>
      <c r="C477" s="6" t="s">
        <v>1244</v>
      </c>
      <c r="D477" s="6" t="s">
        <v>3623</v>
      </c>
    </row>
    <row r="478" spans="1:4" x14ac:dyDescent="0.35">
      <c r="A478" s="6" t="s">
        <v>1879</v>
      </c>
      <c r="B478" s="6" t="s">
        <v>1878</v>
      </c>
      <c r="C478" s="6" t="s">
        <v>1244</v>
      </c>
      <c r="D478" s="6" t="s">
        <v>3622</v>
      </c>
    </row>
    <row r="479" spans="1:4" x14ac:dyDescent="0.35">
      <c r="A479" s="6" t="s">
        <v>2779</v>
      </c>
      <c r="B479" s="6" t="s">
        <v>2778</v>
      </c>
      <c r="C479" s="6" t="s">
        <v>1244</v>
      </c>
      <c r="D479" s="6" t="s">
        <v>1084</v>
      </c>
    </row>
    <row r="480" spans="1:4" x14ac:dyDescent="0.35">
      <c r="A480" s="6" t="s">
        <v>2781</v>
      </c>
      <c r="B480" s="6" t="s">
        <v>2780</v>
      </c>
      <c r="C480" s="6" t="s">
        <v>1244</v>
      </c>
      <c r="D480" s="6" t="s">
        <v>3622</v>
      </c>
    </row>
    <row r="481" spans="1:4" x14ac:dyDescent="0.35">
      <c r="A481" s="6" t="s">
        <v>2783</v>
      </c>
      <c r="B481" s="6" t="s">
        <v>2782</v>
      </c>
      <c r="C481" s="6" t="s">
        <v>1244</v>
      </c>
      <c r="D481" s="6" t="s">
        <v>3624</v>
      </c>
    </row>
    <row r="482" spans="1:4" x14ac:dyDescent="0.35">
      <c r="A482" s="6" t="s">
        <v>2785</v>
      </c>
      <c r="B482" s="6" t="s">
        <v>2784</v>
      </c>
      <c r="C482" s="6" t="s">
        <v>1244</v>
      </c>
      <c r="D482" s="6" t="s">
        <v>1084</v>
      </c>
    </row>
    <row r="483" spans="1:4" x14ac:dyDescent="0.35">
      <c r="A483" s="6" t="s">
        <v>2787</v>
      </c>
      <c r="B483" s="6" t="s">
        <v>2786</v>
      </c>
      <c r="C483" s="6" t="s">
        <v>1244</v>
      </c>
      <c r="D483" s="6" t="s">
        <v>3624</v>
      </c>
    </row>
    <row r="484" spans="1:4" x14ac:dyDescent="0.35">
      <c r="A484" s="6" t="s">
        <v>3430</v>
      </c>
      <c r="B484" s="6" t="s">
        <v>2788</v>
      </c>
      <c r="C484" s="6" t="s">
        <v>1244</v>
      </c>
      <c r="D484" s="6" t="s">
        <v>1084</v>
      </c>
    </row>
    <row r="485" spans="1:4" x14ac:dyDescent="0.35">
      <c r="A485" s="6" t="s">
        <v>2790</v>
      </c>
      <c r="B485" s="6" t="s">
        <v>2789</v>
      </c>
      <c r="C485" s="6" t="s">
        <v>1244</v>
      </c>
      <c r="D485" s="6" t="s">
        <v>3624</v>
      </c>
    </row>
    <row r="486" spans="1:4" x14ac:dyDescent="0.35">
      <c r="A486" s="6" t="s">
        <v>1670</v>
      </c>
      <c r="B486" s="6" t="s">
        <v>1880</v>
      </c>
      <c r="C486" s="6" t="s">
        <v>1242</v>
      </c>
      <c r="D486" s="6" t="s">
        <v>3622</v>
      </c>
    </row>
    <row r="487" spans="1:4" x14ac:dyDescent="0.35">
      <c r="A487" s="6" t="s">
        <v>1623</v>
      </c>
      <c r="B487" s="6" t="s">
        <v>394</v>
      </c>
      <c r="C487" s="6" t="s">
        <v>1244</v>
      </c>
      <c r="D487" s="6" t="s">
        <v>3622</v>
      </c>
    </row>
    <row r="488" spans="1:4" x14ac:dyDescent="0.35">
      <c r="A488" s="6" t="s">
        <v>1597</v>
      </c>
      <c r="B488" s="6" t="s">
        <v>1881</v>
      </c>
      <c r="C488" s="6" t="s">
        <v>1244</v>
      </c>
      <c r="D488" s="6" t="s">
        <v>3624</v>
      </c>
    </row>
    <row r="489" spans="1:4" x14ac:dyDescent="0.35">
      <c r="A489" s="6" t="s">
        <v>1578</v>
      </c>
      <c r="B489" s="6" t="s">
        <v>1882</v>
      </c>
      <c r="C489" s="6" t="s">
        <v>1244</v>
      </c>
      <c r="D489" s="6" t="s">
        <v>3624</v>
      </c>
    </row>
    <row r="490" spans="1:4" x14ac:dyDescent="0.35">
      <c r="A490" s="6" t="s">
        <v>1519</v>
      </c>
      <c r="B490" s="6" t="s">
        <v>1883</v>
      </c>
      <c r="C490" s="6" t="s">
        <v>1244</v>
      </c>
      <c r="D490" s="6" t="s">
        <v>3623</v>
      </c>
    </row>
    <row r="491" spans="1:4" x14ac:dyDescent="0.35">
      <c r="A491" s="6" t="s">
        <v>3431</v>
      </c>
      <c r="B491" s="6" t="s">
        <v>2791</v>
      </c>
      <c r="C491" s="6" t="s">
        <v>64</v>
      </c>
      <c r="D491" s="6" t="s">
        <v>3624</v>
      </c>
    </row>
    <row r="492" spans="1:4" x14ac:dyDescent="0.35">
      <c r="A492" s="6" t="s">
        <v>1587</v>
      </c>
      <c r="B492" s="6" t="s">
        <v>1884</v>
      </c>
      <c r="C492" s="6" t="s">
        <v>1244</v>
      </c>
      <c r="D492" s="6" t="s">
        <v>3622</v>
      </c>
    </row>
    <row r="493" spans="1:4" x14ac:dyDescent="0.35">
      <c r="A493" s="6" t="s">
        <v>1588</v>
      </c>
      <c r="B493" s="6" t="s">
        <v>1885</v>
      </c>
      <c r="C493" s="6" t="s">
        <v>1244</v>
      </c>
      <c r="D493" s="6" t="s">
        <v>3624</v>
      </c>
    </row>
    <row r="494" spans="1:4" x14ac:dyDescent="0.35">
      <c r="A494" s="6" t="s">
        <v>1887</v>
      </c>
      <c r="B494" s="6" t="s">
        <v>1886</v>
      </c>
      <c r="C494" s="6" t="s">
        <v>1244</v>
      </c>
      <c r="D494" s="6" t="s">
        <v>3622</v>
      </c>
    </row>
    <row r="495" spans="1:4" x14ac:dyDescent="0.35">
      <c r="A495" s="6" t="s">
        <v>1584</v>
      </c>
      <c r="B495" s="6" t="s">
        <v>1888</v>
      </c>
      <c r="C495" s="6" t="s">
        <v>1244</v>
      </c>
      <c r="D495" s="6" t="s">
        <v>3624</v>
      </c>
    </row>
    <row r="496" spans="1:4" x14ac:dyDescent="0.35">
      <c r="A496" s="6" t="s">
        <v>1606</v>
      </c>
      <c r="B496" s="6" t="s">
        <v>1889</v>
      </c>
      <c r="C496" s="6" t="s">
        <v>1244</v>
      </c>
      <c r="D496" s="6" t="s">
        <v>3624</v>
      </c>
    </row>
    <row r="497" spans="1:4" x14ac:dyDescent="0.35">
      <c r="A497" s="6" t="s">
        <v>1891</v>
      </c>
      <c r="B497" s="6" t="s">
        <v>1890</v>
      </c>
      <c r="C497" s="6" t="s">
        <v>1244</v>
      </c>
      <c r="D497" s="6" t="s">
        <v>3622</v>
      </c>
    </row>
    <row r="498" spans="1:4" x14ac:dyDescent="0.35">
      <c r="A498" s="6" t="s">
        <v>1893</v>
      </c>
      <c r="B498" s="6" t="s">
        <v>1892</v>
      </c>
      <c r="C498" s="6" t="s">
        <v>1244</v>
      </c>
      <c r="D498" s="6" t="s">
        <v>3624</v>
      </c>
    </row>
    <row r="499" spans="1:4" x14ac:dyDescent="0.35">
      <c r="A499" s="6" t="s">
        <v>1895</v>
      </c>
      <c r="B499" s="6" t="s">
        <v>1894</v>
      </c>
      <c r="C499" s="6" t="s">
        <v>64</v>
      </c>
      <c r="D499" s="6" t="s">
        <v>3622</v>
      </c>
    </row>
    <row r="500" spans="1:4" x14ac:dyDescent="0.35">
      <c r="A500" s="6" t="s">
        <v>1897</v>
      </c>
      <c r="B500" s="6" t="s">
        <v>1896</v>
      </c>
      <c r="C500" s="6" t="s">
        <v>1244</v>
      </c>
      <c r="D500" s="6" t="s">
        <v>3624</v>
      </c>
    </row>
    <row r="501" spans="1:4" x14ac:dyDescent="0.35">
      <c r="A501" s="6" t="s">
        <v>1605</v>
      </c>
      <c r="B501" s="6" t="s">
        <v>1898</v>
      </c>
      <c r="C501" s="6" t="s">
        <v>1244</v>
      </c>
      <c r="D501" s="6" t="s">
        <v>3622</v>
      </c>
    </row>
    <row r="502" spans="1:4" x14ac:dyDescent="0.35">
      <c r="A502" s="6" t="s">
        <v>3432</v>
      </c>
      <c r="B502" s="6" t="s">
        <v>1899</v>
      </c>
      <c r="C502" s="6" t="s">
        <v>1244</v>
      </c>
      <c r="D502" s="6" t="s">
        <v>3624</v>
      </c>
    </row>
    <row r="503" spans="1:4" x14ac:dyDescent="0.35">
      <c r="A503" s="6" t="s">
        <v>1319</v>
      </c>
      <c r="B503" s="6" t="s">
        <v>1900</v>
      </c>
      <c r="C503" s="6" t="s">
        <v>1244</v>
      </c>
      <c r="D503" s="6" t="s">
        <v>3624</v>
      </c>
    </row>
    <row r="504" spans="1:4" x14ac:dyDescent="0.35">
      <c r="A504" s="6" t="s">
        <v>1323</v>
      </c>
      <c r="B504" s="6" t="s">
        <v>1901</v>
      </c>
      <c r="C504" s="6" t="s">
        <v>64</v>
      </c>
      <c r="D504" s="6" t="s">
        <v>3624</v>
      </c>
    </row>
    <row r="505" spans="1:4" x14ac:dyDescent="0.35">
      <c r="A505" s="6" t="s">
        <v>1903</v>
      </c>
      <c r="B505" s="6" t="s">
        <v>1902</v>
      </c>
      <c r="C505" s="6" t="s">
        <v>1244</v>
      </c>
      <c r="D505" s="6" t="s">
        <v>3624</v>
      </c>
    </row>
    <row r="506" spans="1:4" x14ac:dyDescent="0.35">
      <c r="A506" s="6" t="s">
        <v>3433</v>
      </c>
      <c r="B506" s="6" t="s">
        <v>2792</v>
      </c>
      <c r="C506" s="6" t="s">
        <v>1244</v>
      </c>
      <c r="D506" s="6" t="s">
        <v>1084</v>
      </c>
    </row>
    <row r="507" spans="1:4" x14ac:dyDescent="0.35">
      <c r="A507" s="6" t="s">
        <v>2794</v>
      </c>
      <c r="B507" s="6" t="s">
        <v>2793</v>
      </c>
      <c r="C507" s="6" t="s">
        <v>94</v>
      </c>
      <c r="D507" s="6" t="s">
        <v>3622</v>
      </c>
    </row>
    <row r="508" spans="1:4" x14ac:dyDescent="0.35">
      <c r="A508" s="6" t="s">
        <v>3434</v>
      </c>
      <c r="B508" s="6" t="s">
        <v>2795</v>
      </c>
      <c r="C508" s="6" t="s">
        <v>94</v>
      </c>
      <c r="D508" s="6" t="s">
        <v>3624</v>
      </c>
    </row>
    <row r="509" spans="1:4" x14ac:dyDescent="0.35">
      <c r="A509" s="6" t="s">
        <v>3435</v>
      </c>
      <c r="B509" s="6" t="s">
        <v>2796</v>
      </c>
      <c r="C509" s="6" t="s">
        <v>94</v>
      </c>
      <c r="D509" s="6" t="s">
        <v>1084</v>
      </c>
    </row>
    <row r="510" spans="1:4" x14ac:dyDescent="0.35">
      <c r="A510" s="6" t="s">
        <v>2798</v>
      </c>
      <c r="B510" s="6" t="s">
        <v>2797</v>
      </c>
      <c r="C510" s="6" t="s">
        <v>1242</v>
      </c>
      <c r="D510" s="6" t="s">
        <v>1084</v>
      </c>
    </row>
    <row r="511" spans="1:4" x14ac:dyDescent="0.35">
      <c r="A511" s="6" t="s">
        <v>3436</v>
      </c>
      <c r="B511" s="6" t="s">
        <v>1698</v>
      </c>
      <c r="C511" s="6" t="s">
        <v>94</v>
      </c>
      <c r="D511" s="6" t="s">
        <v>3624</v>
      </c>
    </row>
    <row r="512" spans="1:4" x14ac:dyDescent="0.35">
      <c r="A512" s="6" t="s">
        <v>2800</v>
      </c>
      <c r="B512" s="6" t="s">
        <v>2799</v>
      </c>
      <c r="C512" s="6" t="s">
        <v>94</v>
      </c>
      <c r="D512" s="6" t="s">
        <v>3622</v>
      </c>
    </row>
    <row r="513" spans="1:4" x14ac:dyDescent="0.35">
      <c r="A513" s="6" t="s">
        <v>2802</v>
      </c>
      <c r="B513" s="6" t="s">
        <v>2801</v>
      </c>
      <c r="C513" s="6" t="s">
        <v>94</v>
      </c>
      <c r="D513" s="6" t="s">
        <v>1084</v>
      </c>
    </row>
    <row r="514" spans="1:4" x14ac:dyDescent="0.35">
      <c r="A514" s="6" t="s">
        <v>2804</v>
      </c>
      <c r="B514" s="6" t="s">
        <v>2803</v>
      </c>
      <c r="C514" s="6" t="s">
        <v>94</v>
      </c>
      <c r="D514" s="6" t="s">
        <v>1084</v>
      </c>
    </row>
    <row r="515" spans="1:4" x14ac:dyDescent="0.35">
      <c r="A515" s="6" t="s">
        <v>1455</v>
      </c>
      <c r="B515" s="6" t="s">
        <v>1904</v>
      </c>
      <c r="C515" s="6" t="s">
        <v>1244</v>
      </c>
      <c r="D515" s="6" t="s">
        <v>3623</v>
      </c>
    </row>
    <row r="516" spans="1:4" x14ac:dyDescent="0.35">
      <c r="A516" s="6" t="s">
        <v>2806</v>
      </c>
      <c r="B516" s="6" t="s">
        <v>2805</v>
      </c>
      <c r="C516" s="6" t="s">
        <v>1244</v>
      </c>
      <c r="D516" s="6" t="s">
        <v>3623</v>
      </c>
    </row>
    <row r="517" spans="1:4" x14ac:dyDescent="0.35">
      <c r="A517" s="6" t="s">
        <v>3437</v>
      </c>
      <c r="B517" s="6" t="s">
        <v>2807</v>
      </c>
      <c r="C517" s="6" t="s">
        <v>1244</v>
      </c>
      <c r="D517" s="6" t="s">
        <v>1084</v>
      </c>
    </row>
    <row r="518" spans="1:4" x14ac:dyDescent="0.35">
      <c r="A518" s="6" t="s">
        <v>2809</v>
      </c>
      <c r="B518" s="6" t="s">
        <v>2808</v>
      </c>
      <c r="C518" s="6" t="s">
        <v>1244</v>
      </c>
      <c r="D518" s="6" t="s">
        <v>3622</v>
      </c>
    </row>
    <row r="519" spans="1:4" x14ac:dyDescent="0.35">
      <c r="A519" s="6" t="s">
        <v>1538</v>
      </c>
      <c r="B519" s="6" t="s">
        <v>1905</v>
      </c>
      <c r="C519" s="6" t="s">
        <v>1244</v>
      </c>
      <c r="D519" s="6" t="s">
        <v>3624</v>
      </c>
    </row>
    <row r="520" spans="1:4" x14ac:dyDescent="0.35">
      <c r="A520" s="6" t="s">
        <v>3438</v>
      </c>
      <c r="B520" s="6" t="s">
        <v>2810</v>
      </c>
      <c r="C520" s="6" t="s">
        <v>1244</v>
      </c>
      <c r="D520" s="6" t="s">
        <v>3622</v>
      </c>
    </row>
    <row r="521" spans="1:4" x14ac:dyDescent="0.35">
      <c r="A521" s="6" t="s">
        <v>3439</v>
      </c>
      <c r="B521" s="6" t="s">
        <v>2811</v>
      </c>
      <c r="C521" s="6" t="s">
        <v>1244</v>
      </c>
      <c r="D521" s="6" t="s">
        <v>3624</v>
      </c>
    </row>
    <row r="522" spans="1:4" x14ac:dyDescent="0.35">
      <c r="A522" s="6" t="s">
        <v>1907</v>
      </c>
      <c r="B522" s="6" t="s">
        <v>1906</v>
      </c>
      <c r="C522" s="6" t="s">
        <v>1244</v>
      </c>
      <c r="D522" s="6" t="s">
        <v>3624</v>
      </c>
    </row>
    <row r="523" spans="1:4" x14ac:dyDescent="0.35">
      <c r="A523" s="6" t="s">
        <v>1909</v>
      </c>
      <c r="B523" s="6" t="s">
        <v>1908</v>
      </c>
      <c r="C523" s="6" t="s">
        <v>64</v>
      </c>
      <c r="D523" s="6" t="s">
        <v>3624</v>
      </c>
    </row>
    <row r="524" spans="1:4" x14ac:dyDescent="0.35">
      <c r="A524" s="6" t="s">
        <v>1911</v>
      </c>
      <c r="B524" s="6" t="s">
        <v>1910</v>
      </c>
      <c r="C524" s="6" t="s">
        <v>1249</v>
      </c>
      <c r="D524" s="6" t="s">
        <v>3624</v>
      </c>
    </row>
    <row r="525" spans="1:4" x14ac:dyDescent="0.35">
      <c r="A525" s="6" t="s">
        <v>2813</v>
      </c>
      <c r="B525" s="6" t="s">
        <v>2812</v>
      </c>
      <c r="C525" s="6" t="s">
        <v>1244</v>
      </c>
      <c r="D525" s="6" t="s">
        <v>1084</v>
      </c>
    </row>
    <row r="526" spans="1:4" x14ac:dyDescent="0.35">
      <c r="A526" s="6" t="s">
        <v>2815</v>
      </c>
      <c r="B526" s="6" t="s">
        <v>2814</v>
      </c>
      <c r="C526" s="6" t="s">
        <v>1242</v>
      </c>
      <c r="D526" s="6" t="s">
        <v>3624</v>
      </c>
    </row>
    <row r="527" spans="1:4" x14ac:dyDescent="0.35">
      <c r="A527" s="6" t="s">
        <v>3440</v>
      </c>
      <c r="B527" s="6" t="s">
        <v>1912</v>
      </c>
      <c r="C527" s="6" t="s">
        <v>94</v>
      </c>
      <c r="D527" s="6" t="s">
        <v>3623</v>
      </c>
    </row>
    <row r="528" spans="1:4" x14ac:dyDescent="0.35">
      <c r="A528" s="6" t="s">
        <v>1370</v>
      </c>
      <c r="B528" s="6" t="s">
        <v>1913</v>
      </c>
      <c r="C528" s="6" t="s">
        <v>1244</v>
      </c>
      <c r="D528" s="6" t="s">
        <v>3623</v>
      </c>
    </row>
    <row r="529" spans="1:4" x14ac:dyDescent="0.35">
      <c r="A529" s="6" t="s">
        <v>1494</v>
      </c>
      <c r="B529" s="6" t="s">
        <v>1914</v>
      </c>
      <c r="C529" s="6" t="s">
        <v>1244</v>
      </c>
      <c r="D529" s="6" t="s">
        <v>3624</v>
      </c>
    </row>
    <row r="530" spans="1:4" x14ac:dyDescent="0.35">
      <c r="A530" s="6" t="s">
        <v>1916</v>
      </c>
      <c r="B530" s="6" t="s">
        <v>1915</v>
      </c>
      <c r="C530" s="6" t="s">
        <v>1244</v>
      </c>
      <c r="D530" s="6" t="s">
        <v>3623</v>
      </c>
    </row>
    <row r="531" spans="1:4" x14ac:dyDescent="0.35">
      <c r="A531" s="6" t="s">
        <v>1385</v>
      </c>
      <c r="B531" s="6" t="s">
        <v>1917</v>
      </c>
      <c r="C531" s="6" t="s">
        <v>2714</v>
      </c>
      <c r="D531" s="6" t="s">
        <v>3622</v>
      </c>
    </row>
    <row r="532" spans="1:4" x14ac:dyDescent="0.35">
      <c r="A532" s="6" t="s">
        <v>1700</v>
      </c>
      <c r="B532" s="6" t="s">
        <v>1699</v>
      </c>
      <c r="C532" s="6" t="s">
        <v>94</v>
      </c>
      <c r="D532" s="6" t="s">
        <v>3624</v>
      </c>
    </row>
    <row r="533" spans="1:4" x14ac:dyDescent="0.35">
      <c r="A533" s="6" t="s">
        <v>2817</v>
      </c>
      <c r="B533" s="6" t="s">
        <v>2816</v>
      </c>
      <c r="C533" s="6" t="s">
        <v>94</v>
      </c>
      <c r="D533" s="6" t="s">
        <v>3622</v>
      </c>
    </row>
    <row r="534" spans="1:4" x14ac:dyDescent="0.35">
      <c r="A534" s="6" t="s">
        <v>2819</v>
      </c>
      <c r="B534" s="6" t="s">
        <v>2818</v>
      </c>
      <c r="C534" s="6" t="s">
        <v>94</v>
      </c>
      <c r="D534" s="6" t="s">
        <v>1084</v>
      </c>
    </row>
    <row r="535" spans="1:4" x14ac:dyDescent="0.35">
      <c r="A535" s="6" t="s">
        <v>1539</v>
      </c>
      <c r="B535" s="6" t="s">
        <v>1918</v>
      </c>
      <c r="C535" s="6" t="s">
        <v>1244</v>
      </c>
      <c r="D535" s="6" t="s">
        <v>3624</v>
      </c>
    </row>
    <row r="536" spans="1:4" x14ac:dyDescent="0.35">
      <c r="A536" s="6" t="s">
        <v>2821</v>
      </c>
      <c r="B536" s="6" t="s">
        <v>2820</v>
      </c>
      <c r="C536" s="6" t="s">
        <v>64</v>
      </c>
      <c r="D536" s="6" t="s">
        <v>1084</v>
      </c>
    </row>
    <row r="537" spans="1:4" x14ac:dyDescent="0.35">
      <c r="A537" s="6" t="s">
        <v>2823</v>
      </c>
      <c r="B537" s="6" t="s">
        <v>2822</v>
      </c>
      <c r="C537" s="6" t="s">
        <v>1242</v>
      </c>
      <c r="D537" s="6" t="s">
        <v>1084</v>
      </c>
    </row>
    <row r="538" spans="1:4" x14ac:dyDescent="0.35">
      <c r="A538" s="6" t="s">
        <v>2825</v>
      </c>
      <c r="B538" s="6" t="s">
        <v>2824</v>
      </c>
      <c r="C538" s="6" t="s">
        <v>1244</v>
      </c>
      <c r="D538" s="6" t="s">
        <v>3622</v>
      </c>
    </row>
    <row r="539" spans="1:4" x14ac:dyDescent="0.35">
      <c r="A539" s="6" t="s">
        <v>2827</v>
      </c>
      <c r="B539" s="6" t="s">
        <v>2826</v>
      </c>
      <c r="C539" s="6" t="s">
        <v>1244</v>
      </c>
      <c r="D539" s="6" t="s">
        <v>3624</v>
      </c>
    </row>
    <row r="540" spans="1:4" x14ac:dyDescent="0.35">
      <c r="A540" s="6" t="s">
        <v>2829</v>
      </c>
      <c r="B540" s="6" t="s">
        <v>2828</v>
      </c>
      <c r="C540" s="6" t="s">
        <v>1244</v>
      </c>
      <c r="D540" s="6" t="s">
        <v>3623</v>
      </c>
    </row>
    <row r="541" spans="1:4" x14ac:dyDescent="0.35">
      <c r="A541" s="6" t="s">
        <v>2831</v>
      </c>
      <c r="B541" s="6" t="s">
        <v>2830</v>
      </c>
      <c r="C541" s="6" t="s">
        <v>1244</v>
      </c>
      <c r="D541" s="6" t="s">
        <v>3623</v>
      </c>
    </row>
    <row r="542" spans="1:4" x14ac:dyDescent="0.35">
      <c r="A542" s="6" t="s">
        <v>3441</v>
      </c>
      <c r="B542" s="6" t="s">
        <v>1919</v>
      </c>
      <c r="C542" s="6" t="s">
        <v>1244</v>
      </c>
      <c r="D542" s="6" t="s">
        <v>3622</v>
      </c>
    </row>
    <row r="543" spans="1:4" x14ac:dyDescent="0.35">
      <c r="A543" s="6" t="s">
        <v>1497</v>
      </c>
      <c r="B543" s="6" t="s">
        <v>1920</v>
      </c>
      <c r="C543" s="6" t="s">
        <v>1244</v>
      </c>
      <c r="D543" s="6" t="s">
        <v>3624</v>
      </c>
    </row>
    <row r="544" spans="1:4" x14ac:dyDescent="0.35">
      <c r="A544" s="6" t="s">
        <v>1922</v>
      </c>
      <c r="B544" s="6" t="s">
        <v>1921</v>
      </c>
      <c r="C544" s="6" t="s">
        <v>1244</v>
      </c>
      <c r="D544" s="6" t="s">
        <v>3624</v>
      </c>
    </row>
    <row r="545" spans="1:4" x14ac:dyDescent="0.35">
      <c r="A545" s="6" t="s">
        <v>1591</v>
      </c>
      <c r="B545" s="6" t="s">
        <v>1923</v>
      </c>
      <c r="C545" s="6" t="s">
        <v>1244</v>
      </c>
      <c r="D545" s="6" t="s">
        <v>3624</v>
      </c>
    </row>
    <row r="546" spans="1:4" x14ac:dyDescent="0.35">
      <c r="A546" s="6" t="s">
        <v>1401</v>
      </c>
      <c r="B546" s="6" t="s">
        <v>1924</v>
      </c>
      <c r="C546" s="6" t="s">
        <v>1244</v>
      </c>
      <c r="D546" s="6" t="s">
        <v>3623</v>
      </c>
    </row>
    <row r="547" spans="1:4" x14ac:dyDescent="0.35">
      <c r="A547" s="6" t="s">
        <v>1364</v>
      </c>
      <c r="B547" s="6" t="s">
        <v>1925</v>
      </c>
      <c r="C547" s="6" t="s">
        <v>1244</v>
      </c>
      <c r="D547" s="6" t="s">
        <v>3622</v>
      </c>
    </row>
    <row r="548" spans="1:4" x14ac:dyDescent="0.35">
      <c r="A548" s="6" t="s">
        <v>2833</v>
      </c>
      <c r="B548" s="6" t="s">
        <v>2832</v>
      </c>
      <c r="C548" s="6" t="s">
        <v>64</v>
      </c>
      <c r="D548" s="6" t="s">
        <v>1084</v>
      </c>
    </row>
    <row r="549" spans="1:4" x14ac:dyDescent="0.35">
      <c r="A549" s="6" t="s">
        <v>2835</v>
      </c>
      <c r="B549" s="6" t="s">
        <v>2834</v>
      </c>
      <c r="C549" s="6" t="s">
        <v>1244</v>
      </c>
      <c r="D549" s="6" t="s">
        <v>1084</v>
      </c>
    </row>
    <row r="550" spans="1:4" x14ac:dyDescent="0.35">
      <c r="A550" s="6" t="s">
        <v>3442</v>
      </c>
      <c r="B550" s="6" t="s">
        <v>2836</v>
      </c>
      <c r="C550" s="6" t="s">
        <v>64</v>
      </c>
      <c r="D550" s="6" t="s">
        <v>3624</v>
      </c>
    </row>
    <row r="551" spans="1:4" x14ac:dyDescent="0.35">
      <c r="A551" s="6" t="s">
        <v>3443</v>
      </c>
      <c r="B551" s="6" t="s">
        <v>2837</v>
      </c>
      <c r="C551" s="6" t="s">
        <v>64</v>
      </c>
      <c r="D551" s="6" t="s">
        <v>1084</v>
      </c>
    </row>
    <row r="552" spans="1:4" x14ac:dyDescent="0.35">
      <c r="A552" s="6" t="s">
        <v>3444</v>
      </c>
      <c r="B552" s="6" t="s">
        <v>2838</v>
      </c>
      <c r="C552" s="6" t="s">
        <v>64</v>
      </c>
      <c r="D552" s="6" t="s">
        <v>1084</v>
      </c>
    </row>
    <row r="553" spans="1:4" x14ac:dyDescent="0.35">
      <c r="A553" s="6" t="s">
        <v>3445</v>
      </c>
      <c r="B553" s="6" t="s">
        <v>2839</v>
      </c>
      <c r="C553" s="6" t="s">
        <v>64</v>
      </c>
      <c r="D553" s="6" t="s">
        <v>3622</v>
      </c>
    </row>
    <row r="554" spans="1:4" x14ac:dyDescent="0.35">
      <c r="A554" s="6" t="s">
        <v>1927</v>
      </c>
      <c r="B554" s="6" t="s">
        <v>1926</v>
      </c>
      <c r="C554" s="6" t="s">
        <v>64</v>
      </c>
      <c r="D554" s="6" t="s">
        <v>3624</v>
      </c>
    </row>
    <row r="555" spans="1:4" x14ac:dyDescent="0.35">
      <c r="A555" s="6" t="s">
        <v>3446</v>
      </c>
      <c r="B555" s="6" t="s">
        <v>2840</v>
      </c>
      <c r="C555" s="6" t="s">
        <v>64</v>
      </c>
      <c r="D555" s="6" t="s">
        <v>1084</v>
      </c>
    </row>
    <row r="556" spans="1:4" x14ac:dyDescent="0.35">
      <c r="A556" s="6" t="s">
        <v>1436</v>
      </c>
      <c r="B556" s="6" t="s">
        <v>1928</v>
      </c>
      <c r="C556" s="6" t="s">
        <v>64</v>
      </c>
      <c r="D556" s="6" t="s">
        <v>3624</v>
      </c>
    </row>
    <row r="557" spans="1:4" x14ac:dyDescent="0.35">
      <c r="A557" s="6" t="s">
        <v>1669</v>
      </c>
      <c r="B557" s="6" t="s">
        <v>1929</v>
      </c>
      <c r="C557" s="6" t="s">
        <v>1244</v>
      </c>
      <c r="D557" s="6" t="s">
        <v>3624</v>
      </c>
    </row>
    <row r="558" spans="1:4" x14ac:dyDescent="0.35">
      <c r="A558" s="6" t="s">
        <v>1367</v>
      </c>
      <c r="B558" s="6" t="s">
        <v>1930</v>
      </c>
      <c r="C558" s="6" t="s">
        <v>1244</v>
      </c>
      <c r="D558" s="6" t="s">
        <v>3622</v>
      </c>
    </row>
    <row r="559" spans="1:4" x14ac:dyDescent="0.35">
      <c r="A559" s="6" t="s">
        <v>1368</v>
      </c>
      <c r="B559" s="6" t="s">
        <v>1931</v>
      </c>
      <c r="C559" s="6" t="s">
        <v>1244</v>
      </c>
      <c r="D559" s="6" t="s">
        <v>3624</v>
      </c>
    </row>
    <row r="560" spans="1:4" x14ac:dyDescent="0.35">
      <c r="A560" s="6" t="s">
        <v>1668</v>
      </c>
      <c r="B560" s="6" t="s">
        <v>1932</v>
      </c>
      <c r="C560" s="6" t="s">
        <v>1244</v>
      </c>
      <c r="D560" s="6" t="s">
        <v>3622</v>
      </c>
    </row>
    <row r="561" spans="1:4" x14ac:dyDescent="0.35">
      <c r="A561" s="6" t="s">
        <v>1934</v>
      </c>
      <c r="B561" s="6" t="s">
        <v>1933</v>
      </c>
      <c r="C561" s="6" t="s">
        <v>1244</v>
      </c>
      <c r="D561" s="6" t="s">
        <v>3622</v>
      </c>
    </row>
    <row r="562" spans="1:4" x14ac:dyDescent="0.35">
      <c r="A562" s="6" t="s">
        <v>1936</v>
      </c>
      <c r="B562" s="6" t="s">
        <v>1935</v>
      </c>
      <c r="C562" s="6" t="s">
        <v>1244</v>
      </c>
      <c r="D562" s="6" t="s">
        <v>3622</v>
      </c>
    </row>
    <row r="563" spans="1:4" x14ac:dyDescent="0.35">
      <c r="A563" s="6" t="s">
        <v>1938</v>
      </c>
      <c r="B563" s="6" t="s">
        <v>1937</v>
      </c>
      <c r="C563" s="6" t="s">
        <v>2714</v>
      </c>
      <c r="D563" s="6" t="s">
        <v>3622</v>
      </c>
    </row>
    <row r="564" spans="1:4" x14ac:dyDescent="0.35">
      <c r="A564" s="6" t="s">
        <v>1402</v>
      </c>
      <c r="B564" s="6" t="s">
        <v>1939</v>
      </c>
      <c r="C564" s="6" t="s">
        <v>1244</v>
      </c>
      <c r="D564" s="6" t="s">
        <v>3623</v>
      </c>
    </row>
    <row r="565" spans="1:4" x14ac:dyDescent="0.35">
      <c r="A565" s="6" t="s">
        <v>1527</v>
      </c>
      <c r="B565" s="6" t="s">
        <v>1940</v>
      </c>
      <c r="C565" s="6" t="s">
        <v>1244</v>
      </c>
      <c r="D565" s="6" t="s">
        <v>3622</v>
      </c>
    </row>
    <row r="566" spans="1:4" x14ac:dyDescent="0.35">
      <c r="A566" s="6" t="s">
        <v>1561</v>
      </c>
      <c r="B566" s="6" t="s">
        <v>1941</v>
      </c>
      <c r="C566" s="6" t="s">
        <v>1244</v>
      </c>
      <c r="D566" s="6" t="s">
        <v>3624</v>
      </c>
    </row>
    <row r="567" spans="1:4" x14ac:dyDescent="0.35">
      <c r="A567" s="6" t="s">
        <v>1557</v>
      </c>
      <c r="B567" s="6" t="s">
        <v>1942</v>
      </c>
      <c r="C567" s="6" t="s">
        <v>1244</v>
      </c>
      <c r="D567" s="6" t="s">
        <v>3622</v>
      </c>
    </row>
    <row r="568" spans="1:4" x14ac:dyDescent="0.35">
      <c r="A568" s="6" t="s">
        <v>1944</v>
      </c>
      <c r="B568" s="6" t="s">
        <v>1943</v>
      </c>
      <c r="C568" s="6" t="s">
        <v>1244</v>
      </c>
      <c r="D568" s="6" t="s">
        <v>3623</v>
      </c>
    </row>
    <row r="569" spans="1:4" x14ac:dyDescent="0.35">
      <c r="A569" s="6" t="s">
        <v>2842</v>
      </c>
      <c r="B569" s="6" t="s">
        <v>2841</v>
      </c>
      <c r="C569" s="6" t="s">
        <v>1248</v>
      </c>
      <c r="D569" s="6" t="s">
        <v>3623</v>
      </c>
    </row>
    <row r="570" spans="1:4" x14ac:dyDescent="0.35">
      <c r="A570" s="6" t="s">
        <v>2844</v>
      </c>
      <c r="B570" s="6" t="s">
        <v>2843</v>
      </c>
      <c r="C570" s="6" t="s">
        <v>1244</v>
      </c>
      <c r="D570" s="6" t="s">
        <v>1084</v>
      </c>
    </row>
    <row r="571" spans="1:4" x14ac:dyDescent="0.35">
      <c r="A571" s="6" t="s">
        <v>2846</v>
      </c>
      <c r="B571" s="6" t="s">
        <v>2845</v>
      </c>
      <c r="C571" s="6" t="s">
        <v>1244</v>
      </c>
      <c r="D571" s="6" t="s">
        <v>1084</v>
      </c>
    </row>
    <row r="572" spans="1:4" x14ac:dyDescent="0.35">
      <c r="A572" s="6" t="s">
        <v>3448</v>
      </c>
      <c r="B572" s="6" t="s">
        <v>3447</v>
      </c>
      <c r="C572" s="6" t="s">
        <v>1244</v>
      </c>
      <c r="D572" s="6" t="s">
        <v>3623</v>
      </c>
    </row>
    <row r="573" spans="1:4" x14ac:dyDescent="0.35">
      <c r="A573" s="6" t="s">
        <v>1946</v>
      </c>
      <c r="B573" s="6" t="s">
        <v>1945</v>
      </c>
      <c r="C573" s="6" t="s">
        <v>1248</v>
      </c>
      <c r="D573" s="6" t="s">
        <v>3623</v>
      </c>
    </row>
    <row r="574" spans="1:4" x14ac:dyDescent="0.35">
      <c r="A574" s="6" t="s">
        <v>3450</v>
      </c>
      <c r="B574" s="6" t="s">
        <v>3449</v>
      </c>
      <c r="C574" s="6" t="s">
        <v>1244</v>
      </c>
      <c r="D574" s="6" t="s">
        <v>3623</v>
      </c>
    </row>
    <row r="575" spans="1:4" x14ac:dyDescent="0.35">
      <c r="A575" s="6" t="s">
        <v>2848</v>
      </c>
      <c r="B575" s="6" t="s">
        <v>2847</v>
      </c>
      <c r="C575" s="6" t="s">
        <v>1248</v>
      </c>
      <c r="D575" s="6" t="s">
        <v>3623</v>
      </c>
    </row>
    <row r="576" spans="1:4" x14ac:dyDescent="0.35">
      <c r="A576" s="6" t="s">
        <v>3803</v>
      </c>
      <c r="B576" s="6" t="s">
        <v>3451</v>
      </c>
      <c r="C576" s="6" t="s">
        <v>1244</v>
      </c>
      <c r="D576" s="6" t="s">
        <v>3622</v>
      </c>
    </row>
    <row r="577" spans="1:4" x14ac:dyDescent="0.35">
      <c r="A577" s="6" t="s">
        <v>1565</v>
      </c>
      <c r="B577" s="6" t="s">
        <v>1947</v>
      </c>
      <c r="C577" s="6" t="s">
        <v>1244</v>
      </c>
      <c r="D577" s="6" t="s">
        <v>3623</v>
      </c>
    </row>
    <row r="578" spans="1:4" x14ac:dyDescent="0.35">
      <c r="A578" s="6" t="s">
        <v>2850</v>
      </c>
      <c r="B578" s="6" t="s">
        <v>2849</v>
      </c>
      <c r="C578" s="6" t="s">
        <v>1242</v>
      </c>
      <c r="D578" s="6" t="s">
        <v>3623</v>
      </c>
    </row>
    <row r="579" spans="1:4" x14ac:dyDescent="0.35">
      <c r="A579" s="6" t="s">
        <v>1949</v>
      </c>
      <c r="B579" s="6" t="s">
        <v>1948</v>
      </c>
      <c r="C579" s="6" t="s">
        <v>1244</v>
      </c>
      <c r="D579" s="6" t="s">
        <v>3622</v>
      </c>
    </row>
    <row r="580" spans="1:4" x14ac:dyDescent="0.35">
      <c r="A580" s="6" t="s">
        <v>3452</v>
      </c>
      <c r="B580" s="6" t="s">
        <v>1703</v>
      </c>
      <c r="C580" s="6" t="s">
        <v>1689</v>
      </c>
      <c r="D580" s="6" t="s">
        <v>3624</v>
      </c>
    </row>
    <row r="581" spans="1:4" x14ac:dyDescent="0.35">
      <c r="A581" s="6" t="s">
        <v>1440</v>
      </c>
      <c r="B581" s="6" t="s">
        <v>1950</v>
      </c>
      <c r="C581" s="6" t="s">
        <v>64</v>
      </c>
      <c r="D581" s="6" t="s">
        <v>3622</v>
      </c>
    </row>
    <row r="582" spans="1:4" x14ac:dyDescent="0.35">
      <c r="A582" s="6" t="s">
        <v>1952</v>
      </c>
      <c r="B582" s="6" t="s">
        <v>1951</v>
      </c>
      <c r="C582" s="6" t="s">
        <v>1244</v>
      </c>
      <c r="D582" s="6" t="s">
        <v>3622</v>
      </c>
    </row>
    <row r="583" spans="1:4" x14ac:dyDescent="0.35">
      <c r="A583" s="6" t="s">
        <v>1954</v>
      </c>
      <c r="B583" s="6" t="s">
        <v>1953</v>
      </c>
      <c r="C583" s="6" t="s">
        <v>1244</v>
      </c>
      <c r="D583" s="6" t="s">
        <v>3623</v>
      </c>
    </row>
    <row r="584" spans="1:4" x14ac:dyDescent="0.35">
      <c r="A584" s="6" t="s">
        <v>1956</v>
      </c>
      <c r="B584" s="6" t="s">
        <v>1955</v>
      </c>
      <c r="C584" s="6" t="s">
        <v>1244</v>
      </c>
      <c r="D584" s="6" t="s">
        <v>3623</v>
      </c>
    </row>
    <row r="585" spans="1:4" x14ac:dyDescent="0.35">
      <c r="A585" s="6" t="s">
        <v>1958</v>
      </c>
      <c r="B585" s="6" t="s">
        <v>1957</v>
      </c>
      <c r="C585" s="6" t="s">
        <v>1244</v>
      </c>
      <c r="D585" s="6" t="s">
        <v>3622</v>
      </c>
    </row>
    <row r="586" spans="1:4" x14ac:dyDescent="0.35">
      <c r="A586" s="6" t="s">
        <v>3453</v>
      </c>
      <c r="B586" s="6" t="s">
        <v>1959</v>
      </c>
      <c r="C586" s="6" t="s">
        <v>2714</v>
      </c>
      <c r="D586" s="6" t="s">
        <v>3622</v>
      </c>
    </row>
    <row r="587" spans="1:4" x14ac:dyDescent="0.35">
      <c r="A587" s="6" t="s">
        <v>2852</v>
      </c>
      <c r="B587" s="6" t="s">
        <v>2851</v>
      </c>
      <c r="C587" s="6" t="s">
        <v>64</v>
      </c>
      <c r="D587" s="6" t="s">
        <v>3622</v>
      </c>
    </row>
    <row r="588" spans="1:4" x14ac:dyDescent="0.35">
      <c r="A588" s="6" t="s">
        <v>2854</v>
      </c>
      <c r="B588" s="6" t="s">
        <v>2853</v>
      </c>
      <c r="C588" s="6" t="s">
        <v>64</v>
      </c>
      <c r="D588" s="6" t="s">
        <v>3622</v>
      </c>
    </row>
    <row r="589" spans="1:4" x14ac:dyDescent="0.35">
      <c r="A589" s="6" t="s">
        <v>2856</v>
      </c>
      <c r="B589" s="6" t="s">
        <v>2855</v>
      </c>
      <c r="C589" s="6" t="s">
        <v>64</v>
      </c>
      <c r="D589" s="6" t="s">
        <v>3624</v>
      </c>
    </row>
    <row r="590" spans="1:4" x14ac:dyDescent="0.35">
      <c r="A590" s="6" t="s">
        <v>2858</v>
      </c>
      <c r="B590" s="6" t="s">
        <v>2857</v>
      </c>
      <c r="C590" s="6" t="s">
        <v>64</v>
      </c>
      <c r="D590" s="6" t="s">
        <v>3624</v>
      </c>
    </row>
    <row r="591" spans="1:4" x14ac:dyDescent="0.35">
      <c r="A591" s="6" t="s">
        <v>2860</v>
      </c>
      <c r="B591" s="6" t="s">
        <v>2859</v>
      </c>
      <c r="C591" s="6" t="s">
        <v>1248</v>
      </c>
      <c r="D591" s="6" t="s">
        <v>3623</v>
      </c>
    </row>
    <row r="592" spans="1:4" x14ac:dyDescent="0.35">
      <c r="A592" s="6" t="s">
        <v>1504</v>
      </c>
      <c r="B592" s="6" t="s">
        <v>1960</v>
      </c>
      <c r="C592" s="6" t="s">
        <v>1248</v>
      </c>
      <c r="D592" s="6" t="s">
        <v>3623</v>
      </c>
    </row>
    <row r="593" spans="1:4" x14ac:dyDescent="0.35">
      <c r="A593" s="6" t="s">
        <v>1962</v>
      </c>
      <c r="B593" s="6" t="s">
        <v>1961</v>
      </c>
      <c r="C593" s="6" t="s">
        <v>64</v>
      </c>
      <c r="D593" s="6" t="s">
        <v>3622</v>
      </c>
    </row>
    <row r="594" spans="1:4" x14ac:dyDescent="0.35">
      <c r="A594" s="6" t="s">
        <v>2861</v>
      </c>
      <c r="B594" s="6" t="s">
        <v>1963</v>
      </c>
      <c r="C594" s="6" t="s">
        <v>1244</v>
      </c>
      <c r="D594" s="6" t="s">
        <v>3624</v>
      </c>
    </row>
    <row r="595" spans="1:4" x14ac:dyDescent="0.35">
      <c r="A595" s="6" t="s">
        <v>1964</v>
      </c>
      <c r="B595" s="6" t="s">
        <v>2862</v>
      </c>
      <c r="C595" s="6" t="s">
        <v>1244</v>
      </c>
      <c r="D595" s="6" t="s">
        <v>3623</v>
      </c>
    </row>
    <row r="596" spans="1:4" x14ac:dyDescent="0.35">
      <c r="A596" s="6" t="s">
        <v>2864</v>
      </c>
      <c r="B596" s="6" t="s">
        <v>2863</v>
      </c>
      <c r="C596" s="6" t="s">
        <v>45</v>
      </c>
      <c r="D596" s="6" t="s">
        <v>1084</v>
      </c>
    </row>
    <row r="597" spans="1:4" x14ac:dyDescent="0.35">
      <c r="A597" s="6" t="s">
        <v>1966</v>
      </c>
      <c r="B597" s="6" t="s">
        <v>1965</v>
      </c>
      <c r="C597" s="6" t="s">
        <v>1244</v>
      </c>
      <c r="D597" s="6" t="s">
        <v>3622</v>
      </c>
    </row>
    <row r="598" spans="1:4" x14ac:dyDescent="0.35">
      <c r="A598" s="6" t="s">
        <v>3455</v>
      </c>
      <c r="B598" s="6" t="s">
        <v>3454</v>
      </c>
      <c r="C598" s="6" t="s">
        <v>1244</v>
      </c>
      <c r="D598" s="6" t="s">
        <v>3622</v>
      </c>
    </row>
    <row r="599" spans="1:4" x14ac:dyDescent="0.35">
      <c r="A599" s="6" t="s">
        <v>2866</v>
      </c>
      <c r="B599" s="6" t="s">
        <v>2865</v>
      </c>
      <c r="C599" s="6" t="s">
        <v>1249</v>
      </c>
      <c r="D599" s="6" t="s">
        <v>1084</v>
      </c>
    </row>
    <row r="600" spans="1:4" x14ac:dyDescent="0.35">
      <c r="A600" s="6" t="s">
        <v>1406</v>
      </c>
      <c r="B600" s="6" t="s">
        <v>1967</v>
      </c>
      <c r="C600" s="6" t="s">
        <v>1244</v>
      </c>
      <c r="D600" s="6" t="s">
        <v>3624</v>
      </c>
    </row>
    <row r="601" spans="1:4" x14ac:dyDescent="0.35">
      <c r="A601" s="6" t="s">
        <v>3456</v>
      </c>
      <c r="B601" s="6" t="s">
        <v>2867</v>
      </c>
      <c r="C601" s="6" t="s">
        <v>45</v>
      </c>
      <c r="D601" s="6" t="s">
        <v>3623</v>
      </c>
    </row>
    <row r="602" spans="1:4" x14ac:dyDescent="0.35">
      <c r="A602" s="6" t="s">
        <v>1969</v>
      </c>
      <c r="B602" s="6" t="s">
        <v>1968</v>
      </c>
      <c r="C602" s="6" t="s">
        <v>1244</v>
      </c>
      <c r="D602" s="6" t="s">
        <v>3623</v>
      </c>
    </row>
    <row r="603" spans="1:4" x14ac:dyDescent="0.35">
      <c r="A603" s="6" t="s">
        <v>2869</v>
      </c>
      <c r="B603" s="6" t="s">
        <v>2868</v>
      </c>
      <c r="C603" s="6" t="s">
        <v>1244</v>
      </c>
      <c r="D603" s="6" t="s">
        <v>3623</v>
      </c>
    </row>
    <row r="604" spans="1:4" x14ac:dyDescent="0.35">
      <c r="A604" s="6" t="s">
        <v>1547</v>
      </c>
      <c r="B604" s="6" t="s">
        <v>1970</v>
      </c>
      <c r="C604" s="6" t="s">
        <v>64</v>
      </c>
      <c r="D604" s="6" t="s">
        <v>3622</v>
      </c>
    </row>
    <row r="605" spans="1:4" x14ac:dyDescent="0.35">
      <c r="A605" s="6" t="s">
        <v>1972</v>
      </c>
      <c r="B605" s="6" t="s">
        <v>1971</v>
      </c>
      <c r="C605" s="6" t="s">
        <v>1244</v>
      </c>
      <c r="D605" s="6" t="s">
        <v>3622</v>
      </c>
    </row>
    <row r="606" spans="1:4" x14ac:dyDescent="0.35">
      <c r="A606" s="6" t="s">
        <v>1974</v>
      </c>
      <c r="B606" s="6" t="s">
        <v>1973</v>
      </c>
      <c r="C606" s="6" t="s">
        <v>1242</v>
      </c>
      <c r="D606" s="6" t="s">
        <v>3622</v>
      </c>
    </row>
    <row r="607" spans="1:4" x14ac:dyDescent="0.35">
      <c r="A607" s="6" t="s">
        <v>2871</v>
      </c>
      <c r="B607" s="6" t="s">
        <v>2870</v>
      </c>
      <c r="C607" s="6" t="s">
        <v>1242</v>
      </c>
      <c r="D607" s="6" t="s">
        <v>3624</v>
      </c>
    </row>
    <row r="608" spans="1:4" x14ac:dyDescent="0.35">
      <c r="A608" s="6" t="s">
        <v>1324</v>
      </c>
      <c r="B608" s="6" t="s">
        <v>1975</v>
      </c>
      <c r="C608" s="6" t="s">
        <v>1244</v>
      </c>
      <c r="D608" s="6" t="s">
        <v>3624</v>
      </c>
    </row>
    <row r="609" spans="1:4" x14ac:dyDescent="0.35">
      <c r="A609" s="6" t="s">
        <v>3457</v>
      </c>
      <c r="B609" s="6" t="s">
        <v>2872</v>
      </c>
      <c r="C609" s="6" t="s">
        <v>1244</v>
      </c>
      <c r="D609" s="6" t="s">
        <v>3624</v>
      </c>
    </row>
    <row r="610" spans="1:4" x14ac:dyDescent="0.35">
      <c r="A610" s="6" t="s">
        <v>3459</v>
      </c>
      <c r="B610" s="6" t="s">
        <v>3458</v>
      </c>
      <c r="C610" s="6" t="s">
        <v>1248</v>
      </c>
      <c r="D610" s="6" t="s">
        <v>3623</v>
      </c>
    </row>
    <row r="611" spans="1:4" x14ac:dyDescent="0.35">
      <c r="A611" s="6" t="s">
        <v>3460</v>
      </c>
      <c r="B611" s="6" t="s">
        <v>2873</v>
      </c>
      <c r="C611" s="6" t="s">
        <v>1244</v>
      </c>
      <c r="D611" s="6" t="s">
        <v>1084</v>
      </c>
    </row>
    <row r="612" spans="1:4" x14ac:dyDescent="0.35">
      <c r="A612" s="6" t="s">
        <v>1977</v>
      </c>
      <c r="B612" s="6" t="s">
        <v>1976</v>
      </c>
      <c r="C612" s="6" t="s">
        <v>1244</v>
      </c>
      <c r="D612" s="6" t="s">
        <v>3622</v>
      </c>
    </row>
    <row r="613" spans="1:4" x14ac:dyDescent="0.35">
      <c r="A613" s="6" t="s">
        <v>1979</v>
      </c>
      <c r="B613" s="6" t="s">
        <v>1978</v>
      </c>
      <c r="C613" s="6" t="s">
        <v>1244</v>
      </c>
      <c r="D613" s="6" t="s">
        <v>3622</v>
      </c>
    </row>
    <row r="614" spans="1:4" x14ac:dyDescent="0.35">
      <c r="A614" s="6" t="s">
        <v>3461</v>
      </c>
      <c r="B614" s="6" t="s">
        <v>2874</v>
      </c>
      <c r="C614" s="6" t="s">
        <v>1244</v>
      </c>
      <c r="D614" s="6" t="s">
        <v>1084</v>
      </c>
    </row>
    <row r="615" spans="1:4" x14ac:dyDescent="0.35">
      <c r="A615" s="6" t="s">
        <v>1981</v>
      </c>
      <c r="B615" s="6" t="s">
        <v>1980</v>
      </c>
      <c r="C615" s="6" t="s">
        <v>1244</v>
      </c>
      <c r="D615" s="6" t="s">
        <v>3622</v>
      </c>
    </row>
    <row r="616" spans="1:4" x14ac:dyDescent="0.35">
      <c r="A616" s="6" t="s">
        <v>1983</v>
      </c>
      <c r="B616" s="6" t="s">
        <v>1982</v>
      </c>
      <c r="C616" s="6" t="s">
        <v>1244</v>
      </c>
      <c r="D616" s="6" t="s">
        <v>3623</v>
      </c>
    </row>
    <row r="617" spans="1:4" x14ac:dyDescent="0.35">
      <c r="A617" s="6" t="s">
        <v>1427</v>
      </c>
      <c r="B617" s="6" t="s">
        <v>1984</v>
      </c>
      <c r="C617" s="6" t="s">
        <v>1244</v>
      </c>
      <c r="D617" s="6" t="s">
        <v>3622</v>
      </c>
    </row>
    <row r="618" spans="1:4" x14ac:dyDescent="0.35">
      <c r="A618" s="6" t="s">
        <v>3463</v>
      </c>
      <c r="B618" s="6" t="s">
        <v>3462</v>
      </c>
      <c r="C618" s="6" t="s">
        <v>1248</v>
      </c>
      <c r="D618" s="6" t="s">
        <v>3623</v>
      </c>
    </row>
    <row r="619" spans="1:4" x14ac:dyDescent="0.35">
      <c r="A619" s="6" t="s">
        <v>1986</v>
      </c>
      <c r="B619" s="6" t="s">
        <v>1985</v>
      </c>
      <c r="C619" s="6" t="s">
        <v>64</v>
      </c>
      <c r="D619" s="6" t="s">
        <v>3622</v>
      </c>
    </row>
    <row r="620" spans="1:4" x14ac:dyDescent="0.35">
      <c r="A620" s="6" t="s">
        <v>1988</v>
      </c>
      <c r="B620" s="6" t="s">
        <v>1987</v>
      </c>
      <c r="C620" s="6" t="s">
        <v>1244</v>
      </c>
      <c r="D620" s="6" t="s">
        <v>3623</v>
      </c>
    </row>
    <row r="621" spans="1:4" x14ac:dyDescent="0.35">
      <c r="A621" s="6" t="s">
        <v>1990</v>
      </c>
      <c r="B621" s="6" t="s">
        <v>1989</v>
      </c>
      <c r="C621" s="6" t="s">
        <v>1244</v>
      </c>
      <c r="D621" s="6" t="s">
        <v>3623</v>
      </c>
    </row>
    <row r="622" spans="1:4" x14ac:dyDescent="0.35">
      <c r="A622" s="6" t="s">
        <v>2876</v>
      </c>
      <c r="B622" s="6" t="s">
        <v>2875</v>
      </c>
      <c r="C622" s="6" t="s">
        <v>1244</v>
      </c>
      <c r="D622" s="6" t="s">
        <v>1084</v>
      </c>
    </row>
    <row r="623" spans="1:4" x14ac:dyDescent="0.35">
      <c r="A623" s="6" t="s">
        <v>1326</v>
      </c>
      <c r="B623" s="6" t="s">
        <v>1991</v>
      </c>
      <c r="C623" s="6" t="s">
        <v>1244</v>
      </c>
      <c r="D623" s="6" t="s">
        <v>3622</v>
      </c>
    </row>
    <row r="624" spans="1:4" x14ac:dyDescent="0.35">
      <c r="A624" s="6" t="s">
        <v>1325</v>
      </c>
      <c r="B624" s="6" t="s">
        <v>1992</v>
      </c>
      <c r="C624" s="6" t="s">
        <v>1244</v>
      </c>
      <c r="D624" s="6" t="s">
        <v>3624</v>
      </c>
    </row>
    <row r="625" spans="1:4" x14ac:dyDescent="0.35">
      <c r="A625" s="6" t="s">
        <v>3464</v>
      </c>
      <c r="B625" s="6" t="s">
        <v>1993</v>
      </c>
      <c r="C625" s="6" t="s">
        <v>1244</v>
      </c>
      <c r="D625" s="6" t="s">
        <v>3622</v>
      </c>
    </row>
    <row r="626" spans="1:4" x14ac:dyDescent="0.35">
      <c r="A626" s="6" t="s">
        <v>3465</v>
      </c>
      <c r="B626" s="6" t="s">
        <v>2877</v>
      </c>
      <c r="C626" s="6" t="s">
        <v>1244</v>
      </c>
      <c r="D626" s="6" t="s">
        <v>3622</v>
      </c>
    </row>
    <row r="627" spans="1:4" x14ac:dyDescent="0.35">
      <c r="A627" s="6" t="s">
        <v>2879</v>
      </c>
      <c r="B627" s="6" t="s">
        <v>2878</v>
      </c>
      <c r="C627" s="6" t="s">
        <v>1244</v>
      </c>
      <c r="D627" s="6" t="s">
        <v>3622</v>
      </c>
    </row>
    <row r="628" spans="1:4" x14ac:dyDescent="0.35">
      <c r="A628" s="6" t="s">
        <v>1416</v>
      </c>
      <c r="B628" s="6" t="s">
        <v>1994</v>
      </c>
      <c r="C628" s="6" t="s">
        <v>1244</v>
      </c>
      <c r="D628" s="6" t="s">
        <v>3624</v>
      </c>
    </row>
    <row r="629" spans="1:4" x14ac:dyDescent="0.35">
      <c r="A629" s="6" t="s">
        <v>1593</v>
      </c>
      <c r="B629" s="6" t="s">
        <v>1995</v>
      </c>
      <c r="C629" s="6" t="s">
        <v>1244</v>
      </c>
      <c r="D629" s="6" t="s">
        <v>3624</v>
      </c>
    </row>
    <row r="630" spans="1:4" x14ac:dyDescent="0.35">
      <c r="A630" s="6" t="s">
        <v>1594</v>
      </c>
      <c r="B630" s="6" t="s">
        <v>1996</v>
      </c>
      <c r="C630" s="6" t="s">
        <v>1244</v>
      </c>
      <c r="D630" s="6" t="s">
        <v>3624</v>
      </c>
    </row>
    <row r="631" spans="1:4" x14ac:dyDescent="0.35">
      <c r="A631" s="6" t="s">
        <v>1631</v>
      </c>
      <c r="B631" s="6" t="s">
        <v>1997</v>
      </c>
      <c r="C631" s="6" t="s">
        <v>1244</v>
      </c>
      <c r="D631" s="6" t="s">
        <v>3624</v>
      </c>
    </row>
    <row r="632" spans="1:4" x14ac:dyDescent="0.35">
      <c r="A632" s="6" t="s">
        <v>1632</v>
      </c>
      <c r="B632" s="6" t="s">
        <v>1998</v>
      </c>
      <c r="C632" s="6" t="s">
        <v>1244</v>
      </c>
      <c r="D632" s="6" t="s">
        <v>3624</v>
      </c>
    </row>
    <row r="633" spans="1:4" x14ac:dyDescent="0.35">
      <c r="A633" s="6" t="s">
        <v>1633</v>
      </c>
      <c r="B633" s="6" t="s">
        <v>1999</v>
      </c>
      <c r="C633" s="6" t="s">
        <v>1244</v>
      </c>
      <c r="D633" s="6" t="s">
        <v>3624</v>
      </c>
    </row>
    <row r="634" spans="1:4" x14ac:dyDescent="0.35">
      <c r="A634" s="6" t="s">
        <v>1634</v>
      </c>
      <c r="B634" s="6" t="s">
        <v>2000</v>
      </c>
      <c r="C634" s="6" t="s">
        <v>1244</v>
      </c>
      <c r="D634" s="6" t="s">
        <v>3624</v>
      </c>
    </row>
    <row r="635" spans="1:4" x14ac:dyDescent="0.35">
      <c r="A635" s="6" t="s">
        <v>1635</v>
      </c>
      <c r="B635" s="6" t="s">
        <v>2001</v>
      </c>
      <c r="C635" s="6" t="s">
        <v>1244</v>
      </c>
      <c r="D635" s="6" t="s">
        <v>3624</v>
      </c>
    </row>
    <row r="636" spans="1:4" x14ac:dyDescent="0.35">
      <c r="A636" s="6" t="s">
        <v>1636</v>
      </c>
      <c r="B636" s="6" t="s">
        <v>2002</v>
      </c>
      <c r="C636" s="6" t="s">
        <v>1244</v>
      </c>
      <c r="D636" s="6" t="s">
        <v>3624</v>
      </c>
    </row>
    <row r="637" spans="1:4" x14ac:dyDescent="0.35">
      <c r="A637" s="6" t="s">
        <v>1637</v>
      </c>
      <c r="B637" s="6" t="s">
        <v>2003</v>
      </c>
      <c r="C637" s="6" t="s">
        <v>1244</v>
      </c>
      <c r="D637" s="6" t="s">
        <v>3624</v>
      </c>
    </row>
    <row r="638" spans="1:4" x14ac:dyDescent="0.35">
      <c r="A638" s="6" t="s">
        <v>1638</v>
      </c>
      <c r="B638" s="6" t="s">
        <v>2004</v>
      </c>
      <c r="C638" s="6" t="s">
        <v>1244</v>
      </c>
      <c r="D638" s="6" t="s">
        <v>3624</v>
      </c>
    </row>
    <row r="639" spans="1:4" x14ac:dyDescent="0.35">
      <c r="A639" s="6" t="s">
        <v>1619</v>
      </c>
      <c r="B639" s="6" t="s">
        <v>2005</v>
      </c>
      <c r="C639" s="6" t="s">
        <v>1244</v>
      </c>
      <c r="D639" s="6" t="s">
        <v>3624</v>
      </c>
    </row>
    <row r="640" spans="1:4" x14ac:dyDescent="0.35">
      <c r="A640" s="6" t="s">
        <v>1620</v>
      </c>
      <c r="B640" s="6" t="s">
        <v>2006</v>
      </c>
      <c r="C640" s="6" t="s">
        <v>1244</v>
      </c>
      <c r="D640" s="6" t="s">
        <v>3624</v>
      </c>
    </row>
    <row r="641" spans="1:4" x14ac:dyDescent="0.35">
      <c r="A641" s="6" t="s">
        <v>1621</v>
      </c>
      <c r="B641" s="6" t="s">
        <v>2007</v>
      </c>
      <c r="C641" s="6" t="s">
        <v>1244</v>
      </c>
      <c r="D641" s="6" t="s">
        <v>3624</v>
      </c>
    </row>
    <row r="642" spans="1:4" x14ac:dyDescent="0.35">
      <c r="A642" s="6" t="s">
        <v>1622</v>
      </c>
      <c r="B642" s="6" t="s">
        <v>2008</v>
      </c>
      <c r="C642" s="6" t="s">
        <v>1244</v>
      </c>
      <c r="D642" s="6" t="s">
        <v>3624</v>
      </c>
    </row>
    <row r="643" spans="1:4" x14ac:dyDescent="0.35">
      <c r="A643" s="6" t="s">
        <v>3467</v>
      </c>
      <c r="B643" s="6" t="s">
        <v>3466</v>
      </c>
      <c r="C643" s="6" t="s">
        <v>1244</v>
      </c>
      <c r="D643" s="6" t="s">
        <v>3624</v>
      </c>
    </row>
    <row r="644" spans="1:4" x14ac:dyDescent="0.35">
      <c r="A644" s="6" t="s">
        <v>3469</v>
      </c>
      <c r="B644" s="6" t="s">
        <v>3468</v>
      </c>
      <c r="C644" s="6" t="s">
        <v>1244</v>
      </c>
      <c r="D644" s="6" t="s">
        <v>3624</v>
      </c>
    </row>
    <row r="645" spans="1:4" x14ac:dyDescent="0.35">
      <c r="A645" s="6" t="s">
        <v>3471</v>
      </c>
      <c r="B645" s="6" t="s">
        <v>3470</v>
      </c>
      <c r="C645" s="6" t="s">
        <v>1244</v>
      </c>
      <c r="D645" s="6" t="s">
        <v>3624</v>
      </c>
    </row>
    <row r="646" spans="1:4" x14ac:dyDescent="0.35">
      <c r="A646" s="6" t="s">
        <v>3473</v>
      </c>
      <c r="B646" s="6" t="s">
        <v>3472</v>
      </c>
      <c r="C646" s="6" t="s">
        <v>1244</v>
      </c>
      <c r="D646" s="6" t="s">
        <v>3624</v>
      </c>
    </row>
    <row r="647" spans="1:4" x14ac:dyDescent="0.35">
      <c r="A647" s="6" t="s">
        <v>3475</v>
      </c>
      <c r="B647" s="6" t="s">
        <v>3474</v>
      </c>
      <c r="C647" s="6" t="s">
        <v>1244</v>
      </c>
      <c r="D647" s="6" t="s">
        <v>3624</v>
      </c>
    </row>
    <row r="648" spans="1:4" x14ac:dyDescent="0.35">
      <c r="A648" s="6" t="s">
        <v>2881</v>
      </c>
      <c r="B648" s="6" t="s">
        <v>2880</v>
      </c>
      <c r="C648" s="6" t="s">
        <v>1244</v>
      </c>
      <c r="D648" s="6" t="s">
        <v>3623</v>
      </c>
    </row>
    <row r="649" spans="1:4" x14ac:dyDescent="0.35">
      <c r="A649" s="6" t="s">
        <v>1413</v>
      </c>
      <c r="B649" s="6" t="s">
        <v>2009</v>
      </c>
      <c r="C649" s="6" t="s">
        <v>1244</v>
      </c>
      <c r="D649" s="6" t="s">
        <v>3623</v>
      </c>
    </row>
    <row r="650" spans="1:4" x14ac:dyDescent="0.35">
      <c r="A650" s="6" t="s">
        <v>3477</v>
      </c>
      <c r="B650" s="6" t="s">
        <v>3476</v>
      </c>
      <c r="C650" s="6" t="s">
        <v>1244</v>
      </c>
      <c r="D650" s="6" t="s">
        <v>3624</v>
      </c>
    </row>
    <row r="651" spans="1:4" x14ac:dyDescent="0.35">
      <c r="A651" s="6" t="s">
        <v>1466</v>
      </c>
      <c r="B651" s="6" t="s">
        <v>2010</v>
      </c>
      <c r="C651" s="6" t="s">
        <v>1248</v>
      </c>
      <c r="D651" s="6" t="s">
        <v>3623</v>
      </c>
    </row>
    <row r="652" spans="1:4" x14ac:dyDescent="0.35">
      <c r="A652" s="6" t="s">
        <v>1580</v>
      </c>
      <c r="B652" s="6" t="s">
        <v>2011</v>
      </c>
      <c r="C652" s="6" t="s">
        <v>1244</v>
      </c>
      <c r="D652" s="6" t="s">
        <v>3622</v>
      </c>
    </row>
    <row r="653" spans="1:4" x14ac:dyDescent="0.35">
      <c r="A653" s="6" t="s">
        <v>1575</v>
      </c>
      <c r="B653" s="6" t="s">
        <v>2012</v>
      </c>
      <c r="C653" s="6" t="s">
        <v>1244</v>
      </c>
      <c r="D653" s="6" t="s">
        <v>3624</v>
      </c>
    </row>
    <row r="654" spans="1:4" x14ac:dyDescent="0.35">
      <c r="A654" s="6" t="s">
        <v>2014</v>
      </c>
      <c r="B654" s="6" t="s">
        <v>2013</v>
      </c>
      <c r="C654" s="6" t="s">
        <v>1244</v>
      </c>
      <c r="D654" s="6" t="s">
        <v>3624</v>
      </c>
    </row>
    <row r="655" spans="1:4" x14ac:dyDescent="0.35">
      <c r="A655" s="6" t="s">
        <v>2883</v>
      </c>
      <c r="B655" s="6" t="s">
        <v>2882</v>
      </c>
      <c r="C655" s="6" t="s">
        <v>1242</v>
      </c>
      <c r="D655" s="6" t="s">
        <v>1084</v>
      </c>
    </row>
    <row r="656" spans="1:4" x14ac:dyDescent="0.35">
      <c r="A656" s="6" t="s">
        <v>2885</v>
      </c>
      <c r="B656" s="6" t="s">
        <v>2884</v>
      </c>
      <c r="C656" s="6" t="s">
        <v>1244</v>
      </c>
      <c r="D656" s="6" t="s">
        <v>3623</v>
      </c>
    </row>
    <row r="657" spans="1:4" x14ac:dyDescent="0.35">
      <c r="A657" s="6" t="s">
        <v>2016</v>
      </c>
      <c r="B657" s="6" t="s">
        <v>2015</v>
      </c>
      <c r="C657" s="6" t="s">
        <v>1244</v>
      </c>
      <c r="D657" s="6" t="s">
        <v>3622</v>
      </c>
    </row>
    <row r="658" spans="1:4" x14ac:dyDescent="0.35">
      <c r="A658" s="6" t="s">
        <v>1429</v>
      </c>
      <c r="B658" s="6" t="s">
        <v>2017</v>
      </c>
      <c r="C658" s="6" t="s">
        <v>1244</v>
      </c>
      <c r="D658" s="6" t="s">
        <v>3624</v>
      </c>
    </row>
    <row r="659" spans="1:4" x14ac:dyDescent="0.35">
      <c r="A659" s="6" t="s">
        <v>2552</v>
      </c>
      <c r="B659" s="6" t="s">
        <v>2886</v>
      </c>
      <c r="C659" s="6" t="s">
        <v>1244</v>
      </c>
      <c r="D659" s="6" t="s">
        <v>1084</v>
      </c>
    </row>
    <row r="660" spans="1:4" x14ac:dyDescent="0.35">
      <c r="A660" s="6" t="s">
        <v>1428</v>
      </c>
      <c r="B660" s="6" t="s">
        <v>2018</v>
      </c>
      <c r="C660" s="6" t="s">
        <v>1244</v>
      </c>
      <c r="D660" s="6" t="s">
        <v>3622</v>
      </c>
    </row>
    <row r="661" spans="1:4" x14ac:dyDescent="0.35">
      <c r="A661" s="6" t="s">
        <v>2020</v>
      </c>
      <c r="B661" s="6" t="s">
        <v>2019</v>
      </c>
      <c r="C661" s="6" t="s">
        <v>1244</v>
      </c>
      <c r="D661" s="6" t="s">
        <v>3623</v>
      </c>
    </row>
    <row r="662" spans="1:4" x14ac:dyDescent="0.35">
      <c r="A662" s="6" t="s">
        <v>2888</v>
      </c>
      <c r="B662" s="6" t="s">
        <v>2887</v>
      </c>
      <c r="C662" s="6" t="s">
        <v>1244</v>
      </c>
      <c r="D662" s="6" t="s">
        <v>1084</v>
      </c>
    </row>
    <row r="663" spans="1:4" x14ac:dyDescent="0.35">
      <c r="A663" s="6" t="s">
        <v>3479</v>
      </c>
      <c r="B663" s="6" t="s">
        <v>3478</v>
      </c>
      <c r="C663" s="6" t="s">
        <v>45</v>
      </c>
      <c r="D663" s="6" t="s">
        <v>3623</v>
      </c>
    </row>
    <row r="664" spans="1:4" x14ac:dyDescent="0.35">
      <c r="A664" s="6" t="s">
        <v>1409</v>
      </c>
      <c r="B664" s="6" t="s">
        <v>2021</v>
      </c>
      <c r="C664" s="6" t="s">
        <v>1244</v>
      </c>
      <c r="D664" s="6" t="s">
        <v>3623</v>
      </c>
    </row>
    <row r="665" spans="1:4" x14ac:dyDescent="0.35">
      <c r="A665" s="6" t="s">
        <v>2023</v>
      </c>
      <c r="B665" s="6" t="s">
        <v>2022</v>
      </c>
      <c r="C665" s="6" t="s">
        <v>1244</v>
      </c>
      <c r="D665" s="6" t="s">
        <v>3622</v>
      </c>
    </row>
    <row r="666" spans="1:4" x14ac:dyDescent="0.35">
      <c r="A666" s="6" t="s">
        <v>2025</v>
      </c>
      <c r="B666" s="6" t="s">
        <v>2024</v>
      </c>
      <c r="C666" s="6" t="s">
        <v>1244</v>
      </c>
      <c r="D666" s="6" t="s">
        <v>3624</v>
      </c>
    </row>
    <row r="667" spans="1:4" x14ac:dyDescent="0.35">
      <c r="A667" s="6" t="s">
        <v>2027</v>
      </c>
      <c r="B667" s="6" t="s">
        <v>2026</v>
      </c>
      <c r="C667" s="6" t="s">
        <v>1244</v>
      </c>
      <c r="D667" s="6" t="s">
        <v>3624</v>
      </c>
    </row>
    <row r="668" spans="1:4" x14ac:dyDescent="0.35">
      <c r="A668" s="6" t="s">
        <v>2890</v>
      </c>
      <c r="B668" s="6" t="s">
        <v>2889</v>
      </c>
      <c r="C668" s="6" t="s">
        <v>1242</v>
      </c>
      <c r="D668" s="6" t="s">
        <v>3622</v>
      </c>
    </row>
    <row r="669" spans="1:4" x14ac:dyDescent="0.35">
      <c r="A669" s="6" t="s">
        <v>2892</v>
      </c>
      <c r="B669" s="6" t="s">
        <v>2891</v>
      </c>
      <c r="C669" s="6" t="s">
        <v>1242</v>
      </c>
      <c r="D669" s="6" t="s">
        <v>3622</v>
      </c>
    </row>
    <row r="670" spans="1:4" x14ac:dyDescent="0.35">
      <c r="A670" s="6" t="s">
        <v>2894</v>
      </c>
      <c r="B670" s="6" t="s">
        <v>2893</v>
      </c>
      <c r="C670" s="6" t="s">
        <v>1242</v>
      </c>
      <c r="D670" s="6" t="s">
        <v>3623</v>
      </c>
    </row>
    <row r="671" spans="1:4" x14ac:dyDescent="0.35">
      <c r="A671" s="6" t="s">
        <v>1477</v>
      </c>
      <c r="B671" s="6" t="s">
        <v>2028</v>
      </c>
      <c r="C671" s="6" t="s">
        <v>1244</v>
      </c>
      <c r="D671" s="6" t="s">
        <v>3623</v>
      </c>
    </row>
    <row r="672" spans="1:4" x14ac:dyDescent="0.35">
      <c r="A672" s="6" t="s">
        <v>1564</v>
      </c>
      <c r="B672" s="6" t="s">
        <v>2029</v>
      </c>
      <c r="C672" s="6" t="s">
        <v>45</v>
      </c>
      <c r="D672" s="6" t="s">
        <v>3622</v>
      </c>
    </row>
    <row r="673" spans="1:4" x14ac:dyDescent="0.35">
      <c r="A673" s="6" t="s">
        <v>1603</v>
      </c>
      <c r="B673" s="6" t="s">
        <v>2030</v>
      </c>
      <c r="C673" s="6" t="s">
        <v>1244</v>
      </c>
      <c r="D673" s="6" t="s">
        <v>3622</v>
      </c>
    </row>
    <row r="674" spans="1:4" x14ac:dyDescent="0.35">
      <c r="A674" s="6" t="s">
        <v>1601</v>
      </c>
      <c r="B674" s="6" t="s">
        <v>2031</v>
      </c>
      <c r="C674" s="6" t="s">
        <v>1244</v>
      </c>
      <c r="D674" s="6" t="s">
        <v>3622</v>
      </c>
    </row>
    <row r="675" spans="1:4" x14ac:dyDescent="0.35">
      <c r="A675" s="6" t="s">
        <v>2895</v>
      </c>
      <c r="B675" s="6" t="s">
        <v>2032</v>
      </c>
      <c r="C675" s="6" t="s">
        <v>45</v>
      </c>
      <c r="D675" s="6" t="s">
        <v>3624</v>
      </c>
    </row>
    <row r="676" spans="1:4" x14ac:dyDescent="0.35">
      <c r="A676" s="6" t="s">
        <v>1604</v>
      </c>
      <c r="B676" s="6" t="s">
        <v>2033</v>
      </c>
      <c r="C676" s="6" t="s">
        <v>1244</v>
      </c>
      <c r="D676" s="6" t="s">
        <v>3624</v>
      </c>
    </row>
    <row r="677" spans="1:4" x14ac:dyDescent="0.35">
      <c r="A677" s="6" t="s">
        <v>1602</v>
      </c>
      <c r="B677" s="6" t="s">
        <v>2034</v>
      </c>
      <c r="C677" s="6" t="s">
        <v>1244</v>
      </c>
      <c r="D677" s="6" t="s">
        <v>3624</v>
      </c>
    </row>
    <row r="678" spans="1:4" x14ac:dyDescent="0.35">
      <c r="A678" s="6" t="s">
        <v>2036</v>
      </c>
      <c r="B678" s="6" t="s">
        <v>2035</v>
      </c>
      <c r="C678" s="6" t="s">
        <v>1242</v>
      </c>
      <c r="D678" s="6" t="s">
        <v>3622</v>
      </c>
    </row>
    <row r="679" spans="1:4" x14ac:dyDescent="0.35">
      <c r="A679" s="6" t="s">
        <v>2038</v>
      </c>
      <c r="B679" s="6" t="s">
        <v>2037</v>
      </c>
      <c r="C679" s="6" t="s">
        <v>1244</v>
      </c>
      <c r="D679" s="6" t="s">
        <v>3623</v>
      </c>
    </row>
    <row r="680" spans="1:4" x14ac:dyDescent="0.35">
      <c r="A680" s="6" t="s">
        <v>2896</v>
      </c>
      <c r="B680" s="6" t="s">
        <v>2896</v>
      </c>
      <c r="C680" s="6" t="s">
        <v>1249</v>
      </c>
      <c r="D680" s="6" t="s">
        <v>3622</v>
      </c>
    </row>
    <row r="681" spans="1:4" x14ac:dyDescent="0.35">
      <c r="A681" s="6" t="s">
        <v>2897</v>
      </c>
      <c r="B681" s="6" t="s">
        <v>2897</v>
      </c>
      <c r="C681" s="6" t="s">
        <v>1249</v>
      </c>
      <c r="D681" s="6" t="s">
        <v>3624</v>
      </c>
    </row>
    <row r="682" spans="1:4" x14ac:dyDescent="0.35">
      <c r="A682" s="6" t="s">
        <v>2040</v>
      </c>
      <c r="B682" s="6" t="s">
        <v>2039</v>
      </c>
      <c r="C682" s="6" t="s">
        <v>1249</v>
      </c>
      <c r="D682" s="6" t="s">
        <v>3622</v>
      </c>
    </row>
    <row r="683" spans="1:4" x14ac:dyDescent="0.35">
      <c r="A683" s="6" t="s">
        <v>2042</v>
      </c>
      <c r="B683" s="6" t="s">
        <v>2041</v>
      </c>
      <c r="C683" s="6" t="s">
        <v>1249</v>
      </c>
      <c r="D683" s="6" t="s">
        <v>3624</v>
      </c>
    </row>
    <row r="684" spans="1:4" x14ac:dyDescent="0.35">
      <c r="A684" s="6" t="s">
        <v>2899</v>
      </c>
      <c r="B684" s="6" t="s">
        <v>2898</v>
      </c>
      <c r="C684" s="6" t="s">
        <v>64</v>
      </c>
      <c r="D684" s="6" t="s">
        <v>1084</v>
      </c>
    </row>
    <row r="685" spans="1:4" x14ac:dyDescent="0.35">
      <c r="A685" s="6" t="s">
        <v>1549</v>
      </c>
      <c r="B685" s="6" t="s">
        <v>2043</v>
      </c>
      <c r="C685" s="6" t="s">
        <v>1244</v>
      </c>
      <c r="D685" s="6" t="s">
        <v>3622</v>
      </c>
    </row>
    <row r="686" spans="1:4" x14ac:dyDescent="0.35">
      <c r="A686" s="6" t="s">
        <v>1403</v>
      </c>
      <c r="B686" s="6" t="s">
        <v>2044</v>
      </c>
      <c r="C686" s="6" t="s">
        <v>1244</v>
      </c>
      <c r="D686" s="6" t="s">
        <v>3623</v>
      </c>
    </row>
    <row r="687" spans="1:4" x14ac:dyDescent="0.35">
      <c r="A687" s="6" t="s">
        <v>2046</v>
      </c>
      <c r="B687" s="6" t="s">
        <v>2045</v>
      </c>
      <c r="C687" s="6" t="s">
        <v>1244</v>
      </c>
      <c r="D687" s="6" t="s">
        <v>3622</v>
      </c>
    </row>
    <row r="688" spans="1:4" x14ac:dyDescent="0.35">
      <c r="A688" s="6" t="s">
        <v>2048</v>
      </c>
      <c r="B688" s="6" t="s">
        <v>2047</v>
      </c>
      <c r="C688" s="6" t="s">
        <v>1244</v>
      </c>
      <c r="D688" s="6" t="s">
        <v>3624</v>
      </c>
    </row>
    <row r="689" spans="1:4" x14ac:dyDescent="0.35">
      <c r="A689" s="6" t="s">
        <v>2050</v>
      </c>
      <c r="B689" s="6" t="s">
        <v>2049</v>
      </c>
      <c r="C689" s="6" t="s">
        <v>1244</v>
      </c>
      <c r="D689" s="6" t="s">
        <v>3622</v>
      </c>
    </row>
    <row r="690" spans="1:4" x14ac:dyDescent="0.35">
      <c r="A690" s="6" t="s">
        <v>2052</v>
      </c>
      <c r="B690" s="6" t="s">
        <v>2051</v>
      </c>
      <c r="C690" s="6" t="s">
        <v>1244</v>
      </c>
      <c r="D690" s="6" t="s">
        <v>3623</v>
      </c>
    </row>
    <row r="691" spans="1:4" x14ac:dyDescent="0.35">
      <c r="A691" s="6" t="s">
        <v>2901</v>
      </c>
      <c r="B691" s="6" t="s">
        <v>2900</v>
      </c>
      <c r="C691" s="6" t="s">
        <v>1244</v>
      </c>
      <c r="D691" s="6" t="s">
        <v>3624</v>
      </c>
    </row>
    <row r="692" spans="1:4" x14ac:dyDescent="0.35">
      <c r="A692" s="6" t="s">
        <v>2903</v>
      </c>
      <c r="B692" s="6" t="s">
        <v>2902</v>
      </c>
      <c r="C692" s="6" t="s">
        <v>1244</v>
      </c>
      <c r="D692" s="6" t="s">
        <v>3624</v>
      </c>
    </row>
    <row r="693" spans="1:4" x14ac:dyDescent="0.35">
      <c r="A693" s="6" t="s">
        <v>2905</v>
      </c>
      <c r="B693" s="6" t="s">
        <v>2904</v>
      </c>
      <c r="C693" s="6" t="s">
        <v>1244</v>
      </c>
      <c r="D693" s="6" t="s">
        <v>3624</v>
      </c>
    </row>
    <row r="694" spans="1:4" x14ac:dyDescent="0.35">
      <c r="A694" s="6" t="s">
        <v>1526</v>
      </c>
      <c r="B694" s="6" t="s">
        <v>2053</v>
      </c>
      <c r="C694" s="6" t="s">
        <v>1244</v>
      </c>
      <c r="D694" s="6" t="s">
        <v>3624</v>
      </c>
    </row>
    <row r="695" spans="1:4" x14ac:dyDescent="0.35">
      <c r="A695" s="6" t="s">
        <v>2055</v>
      </c>
      <c r="B695" s="6" t="s">
        <v>2054</v>
      </c>
      <c r="C695" s="6" t="s">
        <v>1244</v>
      </c>
      <c r="D695" s="6" t="s">
        <v>3622</v>
      </c>
    </row>
    <row r="696" spans="1:4" x14ac:dyDescent="0.35">
      <c r="A696" s="6" t="s">
        <v>2907</v>
      </c>
      <c r="B696" s="6" t="s">
        <v>2906</v>
      </c>
      <c r="C696" s="6" t="s">
        <v>64</v>
      </c>
      <c r="D696" s="6" t="s">
        <v>1084</v>
      </c>
    </row>
    <row r="697" spans="1:4" x14ac:dyDescent="0.35">
      <c r="A697" s="6" t="s">
        <v>2909</v>
      </c>
      <c r="B697" s="6" t="s">
        <v>2908</v>
      </c>
      <c r="C697" s="6" t="s">
        <v>64</v>
      </c>
      <c r="D697" s="6" t="s">
        <v>1084</v>
      </c>
    </row>
    <row r="698" spans="1:4" x14ac:dyDescent="0.35">
      <c r="A698" s="6" t="s">
        <v>1525</v>
      </c>
      <c r="B698" s="6" t="s">
        <v>2056</v>
      </c>
      <c r="C698" s="6" t="s">
        <v>1244</v>
      </c>
      <c r="D698" s="6" t="s">
        <v>3622</v>
      </c>
    </row>
    <row r="699" spans="1:4" x14ac:dyDescent="0.35">
      <c r="A699" s="6" t="s">
        <v>3480</v>
      </c>
      <c r="B699" s="6" t="s">
        <v>2057</v>
      </c>
      <c r="C699" s="6" t="s">
        <v>1244</v>
      </c>
      <c r="D699" s="6" t="s">
        <v>3622</v>
      </c>
    </row>
    <row r="700" spans="1:4" x14ac:dyDescent="0.35">
      <c r="A700" s="6" t="s">
        <v>2059</v>
      </c>
      <c r="B700" s="6" t="s">
        <v>2058</v>
      </c>
      <c r="C700" s="6" t="s">
        <v>1244</v>
      </c>
      <c r="D700" s="6" t="s">
        <v>3622</v>
      </c>
    </row>
    <row r="701" spans="1:4" x14ac:dyDescent="0.35">
      <c r="A701" s="6" t="s">
        <v>2911</v>
      </c>
      <c r="B701" s="6" t="s">
        <v>2910</v>
      </c>
      <c r="C701" s="6" t="s">
        <v>1249</v>
      </c>
      <c r="D701" s="6" t="s">
        <v>3622</v>
      </c>
    </row>
    <row r="702" spans="1:4" x14ac:dyDescent="0.35">
      <c r="A702" s="6" t="s">
        <v>3481</v>
      </c>
      <c r="B702" s="6" t="s">
        <v>2912</v>
      </c>
      <c r="C702" s="6" t="s">
        <v>1249</v>
      </c>
      <c r="D702" s="6" t="s">
        <v>3622</v>
      </c>
    </row>
    <row r="703" spans="1:4" x14ac:dyDescent="0.35">
      <c r="A703" s="6" t="s">
        <v>3482</v>
      </c>
      <c r="B703" s="6" t="s">
        <v>2913</v>
      </c>
      <c r="C703" s="6" t="s">
        <v>1249</v>
      </c>
      <c r="D703" s="6" t="s">
        <v>1084</v>
      </c>
    </row>
    <row r="704" spans="1:4" x14ac:dyDescent="0.35">
      <c r="A704" s="6" t="s">
        <v>2915</v>
      </c>
      <c r="B704" s="6" t="s">
        <v>2914</v>
      </c>
      <c r="C704" s="6" t="s">
        <v>1244</v>
      </c>
      <c r="D704" s="6" t="s">
        <v>1084</v>
      </c>
    </row>
    <row r="705" spans="1:4" x14ac:dyDescent="0.35">
      <c r="A705" s="6" t="s">
        <v>2061</v>
      </c>
      <c r="B705" s="6" t="s">
        <v>2060</v>
      </c>
      <c r="C705" s="6" t="s">
        <v>64</v>
      </c>
      <c r="D705" s="6" t="s">
        <v>3622</v>
      </c>
    </row>
    <row r="706" spans="1:4" x14ac:dyDescent="0.35">
      <c r="A706" s="6" t="s">
        <v>2917</v>
      </c>
      <c r="B706" s="6" t="s">
        <v>2916</v>
      </c>
      <c r="C706" s="6" t="s">
        <v>64</v>
      </c>
      <c r="D706" s="6" t="s">
        <v>3622</v>
      </c>
    </row>
    <row r="707" spans="1:4" x14ac:dyDescent="0.35">
      <c r="A707" s="6" t="s">
        <v>2919</v>
      </c>
      <c r="B707" s="6" t="s">
        <v>2918</v>
      </c>
      <c r="C707" s="6" t="s">
        <v>1244</v>
      </c>
      <c r="D707" s="6" t="s">
        <v>3624</v>
      </c>
    </row>
    <row r="708" spans="1:4" x14ac:dyDescent="0.35">
      <c r="A708" s="6" t="s">
        <v>2921</v>
      </c>
      <c r="B708" s="6" t="s">
        <v>2920</v>
      </c>
      <c r="C708" s="6" t="s">
        <v>64</v>
      </c>
      <c r="D708" s="6" t="s">
        <v>1084</v>
      </c>
    </row>
    <row r="709" spans="1:4" x14ac:dyDescent="0.35">
      <c r="A709" s="6" t="s">
        <v>2923</v>
      </c>
      <c r="B709" s="6" t="s">
        <v>2922</v>
      </c>
      <c r="C709" s="6" t="s">
        <v>1242</v>
      </c>
      <c r="D709" s="6" t="s">
        <v>1084</v>
      </c>
    </row>
    <row r="710" spans="1:4" x14ac:dyDescent="0.35">
      <c r="A710" s="6" t="s">
        <v>2925</v>
      </c>
      <c r="B710" s="6" t="s">
        <v>2924</v>
      </c>
      <c r="C710" s="6" t="s">
        <v>1242</v>
      </c>
      <c r="D710" s="6" t="s">
        <v>3623</v>
      </c>
    </row>
    <row r="711" spans="1:4" x14ac:dyDescent="0.35">
      <c r="A711" s="6" t="s">
        <v>2927</v>
      </c>
      <c r="B711" s="6" t="s">
        <v>2926</v>
      </c>
      <c r="C711" s="6" t="s">
        <v>1242</v>
      </c>
      <c r="D711" s="6" t="s">
        <v>1084</v>
      </c>
    </row>
    <row r="712" spans="1:4" x14ac:dyDescent="0.35">
      <c r="A712" s="6" t="s">
        <v>1444</v>
      </c>
      <c r="B712" s="6" t="s">
        <v>2062</v>
      </c>
      <c r="C712" s="6" t="s">
        <v>64</v>
      </c>
      <c r="D712" s="6" t="s">
        <v>3622</v>
      </c>
    </row>
    <row r="713" spans="1:4" x14ac:dyDescent="0.35">
      <c r="A713" s="6" t="s">
        <v>1445</v>
      </c>
      <c r="B713" s="6" t="s">
        <v>2063</v>
      </c>
      <c r="C713" s="6" t="s">
        <v>64</v>
      </c>
      <c r="D713" s="6" t="s">
        <v>3624</v>
      </c>
    </row>
    <row r="714" spans="1:4" x14ac:dyDescent="0.35">
      <c r="A714" s="6" t="s">
        <v>2929</v>
      </c>
      <c r="B714" s="6" t="s">
        <v>2928</v>
      </c>
      <c r="C714" s="6" t="s">
        <v>64</v>
      </c>
      <c r="D714" s="6" t="s">
        <v>1084</v>
      </c>
    </row>
    <row r="715" spans="1:4" x14ac:dyDescent="0.35">
      <c r="A715" s="6" t="s">
        <v>1501</v>
      </c>
      <c r="B715" s="6" t="s">
        <v>2064</v>
      </c>
      <c r="C715" s="6" t="s">
        <v>64</v>
      </c>
      <c r="D715" s="6" t="s">
        <v>3623</v>
      </c>
    </row>
    <row r="716" spans="1:4" x14ac:dyDescent="0.35">
      <c r="A716" s="6" t="s">
        <v>2931</v>
      </c>
      <c r="B716" s="6" t="s">
        <v>2930</v>
      </c>
      <c r="C716" s="6" t="s">
        <v>1244</v>
      </c>
      <c r="D716" s="6" t="s">
        <v>3623</v>
      </c>
    </row>
    <row r="717" spans="1:4" x14ac:dyDescent="0.35">
      <c r="A717" s="6" t="s">
        <v>3483</v>
      </c>
      <c r="B717" s="6" t="s">
        <v>2932</v>
      </c>
      <c r="C717" s="6" t="s">
        <v>1244</v>
      </c>
      <c r="D717" s="6" t="s">
        <v>1084</v>
      </c>
    </row>
    <row r="718" spans="1:4" x14ac:dyDescent="0.35">
      <c r="A718" s="6" t="s">
        <v>3484</v>
      </c>
      <c r="B718" s="6" t="s">
        <v>2933</v>
      </c>
      <c r="C718" s="6" t="s">
        <v>1244</v>
      </c>
      <c r="D718" s="6" t="s">
        <v>3623</v>
      </c>
    </row>
    <row r="719" spans="1:4" x14ac:dyDescent="0.35">
      <c r="A719" s="6" t="s">
        <v>2066</v>
      </c>
      <c r="B719" s="6" t="s">
        <v>2065</v>
      </c>
      <c r="C719" s="6" t="s">
        <v>1244</v>
      </c>
      <c r="D719" s="6" t="s">
        <v>3622</v>
      </c>
    </row>
    <row r="720" spans="1:4" x14ac:dyDescent="0.35">
      <c r="A720" s="6" t="s">
        <v>2068</v>
      </c>
      <c r="B720" s="6" t="s">
        <v>2067</v>
      </c>
      <c r="C720" s="6" t="s">
        <v>1244</v>
      </c>
      <c r="D720" s="6" t="s">
        <v>3624</v>
      </c>
    </row>
    <row r="721" spans="1:4" x14ac:dyDescent="0.35">
      <c r="A721" s="6" t="s">
        <v>1389</v>
      </c>
      <c r="B721" s="6" t="s">
        <v>2069</v>
      </c>
      <c r="C721" s="6" t="s">
        <v>1242</v>
      </c>
      <c r="D721" s="6" t="s">
        <v>3623</v>
      </c>
    </row>
    <row r="722" spans="1:4" x14ac:dyDescent="0.35">
      <c r="A722" s="6" t="s">
        <v>2935</v>
      </c>
      <c r="B722" s="6" t="s">
        <v>2934</v>
      </c>
      <c r="C722" s="6" t="s">
        <v>64</v>
      </c>
      <c r="D722" s="6" t="s">
        <v>1084</v>
      </c>
    </row>
    <row r="723" spans="1:4" x14ac:dyDescent="0.35">
      <c r="A723" s="6" t="s">
        <v>2937</v>
      </c>
      <c r="B723" s="6" t="s">
        <v>2936</v>
      </c>
      <c r="C723" s="6" t="s">
        <v>64</v>
      </c>
      <c r="D723" s="6" t="s">
        <v>1084</v>
      </c>
    </row>
    <row r="724" spans="1:4" x14ac:dyDescent="0.35">
      <c r="A724" s="6" t="s">
        <v>2939</v>
      </c>
      <c r="B724" s="6" t="s">
        <v>2938</v>
      </c>
      <c r="C724" s="6" t="s">
        <v>1249</v>
      </c>
      <c r="D724" s="6" t="s">
        <v>1084</v>
      </c>
    </row>
    <row r="725" spans="1:4" x14ac:dyDescent="0.35">
      <c r="A725" s="6" t="s">
        <v>1415</v>
      </c>
      <c r="B725" s="6" t="s">
        <v>2070</v>
      </c>
      <c r="C725" s="6" t="s">
        <v>1244</v>
      </c>
      <c r="D725" s="6" t="s">
        <v>3622</v>
      </c>
    </row>
    <row r="726" spans="1:4" x14ac:dyDescent="0.35">
      <c r="A726" s="6" t="s">
        <v>2072</v>
      </c>
      <c r="B726" s="6" t="s">
        <v>2071</v>
      </c>
      <c r="C726" s="6" t="s">
        <v>1244</v>
      </c>
      <c r="D726" s="6" t="s">
        <v>3623</v>
      </c>
    </row>
    <row r="727" spans="1:4" x14ac:dyDescent="0.35">
      <c r="A727" s="6" t="s">
        <v>1328</v>
      </c>
      <c r="B727" s="6" t="s">
        <v>2073</v>
      </c>
      <c r="C727" s="6" t="s">
        <v>1244</v>
      </c>
      <c r="D727" s="6" t="s">
        <v>3622</v>
      </c>
    </row>
    <row r="728" spans="1:4" x14ac:dyDescent="0.35">
      <c r="A728" s="6" t="s">
        <v>1327</v>
      </c>
      <c r="B728" s="6" t="s">
        <v>2074</v>
      </c>
      <c r="C728" s="6" t="s">
        <v>1244</v>
      </c>
      <c r="D728" s="6" t="s">
        <v>3624</v>
      </c>
    </row>
    <row r="729" spans="1:4" x14ac:dyDescent="0.35">
      <c r="A729" s="6" t="s">
        <v>2076</v>
      </c>
      <c r="B729" s="6" t="s">
        <v>2075</v>
      </c>
      <c r="C729" s="6" t="s">
        <v>1244</v>
      </c>
      <c r="D729" s="6" t="s">
        <v>3622</v>
      </c>
    </row>
    <row r="730" spans="1:4" x14ac:dyDescent="0.35">
      <c r="A730" s="6" t="s">
        <v>2078</v>
      </c>
      <c r="B730" s="6" t="s">
        <v>2077</v>
      </c>
      <c r="C730" s="6" t="s">
        <v>1244</v>
      </c>
      <c r="D730" s="6" t="s">
        <v>3623</v>
      </c>
    </row>
    <row r="731" spans="1:4" x14ac:dyDescent="0.35">
      <c r="A731" s="6" t="s">
        <v>2941</v>
      </c>
      <c r="B731" s="6" t="s">
        <v>2940</v>
      </c>
      <c r="C731" s="6" t="s">
        <v>64</v>
      </c>
      <c r="D731" s="6" t="s">
        <v>1084</v>
      </c>
    </row>
    <row r="732" spans="1:4" x14ac:dyDescent="0.35">
      <c r="A732" s="6" t="s">
        <v>2080</v>
      </c>
      <c r="B732" s="6" t="s">
        <v>2079</v>
      </c>
      <c r="C732" s="6" t="s">
        <v>1244</v>
      </c>
      <c r="D732" s="6" t="s">
        <v>3622</v>
      </c>
    </row>
    <row r="733" spans="1:4" x14ac:dyDescent="0.35">
      <c r="A733" s="6" t="s">
        <v>2943</v>
      </c>
      <c r="B733" s="6" t="s">
        <v>2942</v>
      </c>
      <c r="C733" s="6" t="s">
        <v>1244</v>
      </c>
      <c r="D733" s="6" t="s">
        <v>1084</v>
      </c>
    </row>
    <row r="734" spans="1:4" x14ac:dyDescent="0.35">
      <c r="A734" s="6" t="s">
        <v>2945</v>
      </c>
      <c r="B734" s="6" t="s">
        <v>2944</v>
      </c>
      <c r="C734" s="6" t="s">
        <v>1242</v>
      </c>
      <c r="D734" s="6" t="s">
        <v>3624</v>
      </c>
    </row>
    <row r="735" spans="1:4" x14ac:dyDescent="0.35">
      <c r="A735" s="6" t="s">
        <v>1474</v>
      </c>
      <c r="B735" s="6" t="s">
        <v>2081</v>
      </c>
      <c r="C735" s="6" t="s">
        <v>1244</v>
      </c>
      <c r="D735" s="6" t="s">
        <v>3623</v>
      </c>
    </row>
    <row r="736" spans="1:4" x14ac:dyDescent="0.35">
      <c r="A736" s="6" t="s">
        <v>2947</v>
      </c>
      <c r="B736" s="6" t="s">
        <v>2946</v>
      </c>
      <c r="C736" s="6" t="s">
        <v>1244</v>
      </c>
      <c r="D736" s="6" t="s">
        <v>3623</v>
      </c>
    </row>
    <row r="737" spans="1:4" x14ac:dyDescent="0.35">
      <c r="A737" s="6" t="s">
        <v>1434</v>
      </c>
      <c r="B737" s="6" t="s">
        <v>2082</v>
      </c>
      <c r="C737" s="6" t="s">
        <v>1244</v>
      </c>
      <c r="D737" s="6" t="s">
        <v>3623</v>
      </c>
    </row>
    <row r="738" spans="1:4" x14ac:dyDescent="0.35">
      <c r="A738" s="6" t="s">
        <v>1365</v>
      </c>
      <c r="B738" s="6" t="s">
        <v>2083</v>
      </c>
      <c r="C738" s="6" t="s">
        <v>1244</v>
      </c>
      <c r="D738" s="6" t="s">
        <v>3622</v>
      </c>
    </row>
    <row r="739" spans="1:4" x14ac:dyDescent="0.35">
      <c r="A739" s="6" t="s">
        <v>1366</v>
      </c>
      <c r="B739" s="6" t="s">
        <v>2084</v>
      </c>
      <c r="C739" s="6" t="s">
        <v>1244</v>
      </c>
      <c r="D739" s="6" t="s">
        <v>3624</v>
      </c>
    </row>
    <row r="740" spans="1:4" x14ac:dyDescent="0.35">
      <c r="A740" s="6" t="s">
        <v>2086</v>
      </c>
      <c r="B740" s="6" t="s">
        <v>2085</v>
      </c>
      <c r="C740" s="6" t="s">
        <v>1244</v>
      </c>
      <c r="D740" s="6" t="s">
        <v>3623</v>
      </c>
    </row>
    <row r="741" spans="1:4" x14ac:dyDescent="0.35">
      <c r="A741" s="6" t="s">
        <v>2949</v>
      </c>
      <c r="B741" s="6" t="s">
        <v>2948</v>
      </c>
      <c r="C741" s="6" t="s">
        <v>64</v>
      </c>
      <c r="D741" s="6" t="s">
        <v>1084</v>
      </c>
    </row>
    <row r="742" spans="1:4" x14ac:dyDescent="0.35">
      <c r="A742" s="6" t="s">
        <v>1414</v>
      </c>
      <c r="B742" s="6" t="s">
        <v>2087</v>
      </c>
      <c r="C742" s="6" t="s">
        <v>1244</v>
      </c>
      <c r="D742" s="6" t="s">
        <v>3623</v>
      </c>
    </row>
    <row r="743" spans="1:4" x14ac:dyDescent="0.35">
      <c r="A743" s="6" t="s">
        <v>1478</v>
      </c>
      <c r="B743" s="6" t="s">
        <v>2088</v>
      </c>
      <c r="C743" s="6" t="s">
        <v>1244</v>
      </c>
      <c r="D743" s="6" t="s">
        <v>3622</v>
      </c>
    </row>
    <row r="744" spans="1:4" x14ac:dyDescent="0.35">
      <c r="A744" s="6" t="s">
        <v>1479</v>
      </c>
      <c r="B744" s="6" t="s">
        <v>2089</v>
      </c>
      <c r="C744" s="6" t="s">
        <v>1244</v>
      </c>
      <c r="D744" s="6" t="s">
        <v>3624</v>
      </c>
    </row>
    <row r="745" spans="1:4" x14ac:dyDescent="0.35">
      <c r="A745" s="6" t="s">
        <v>2091</v>
      </c>
      <c r="B745" s="6" t="s">
        <v>2090</v>
      </c>
      <c r="C745" s="6" t="s">
        <v>64</v>
      </c>
      <c r="D745" s="6" t="s">
        <v>3622</v>
      </c>
    </row>
    <row r="746" spans="1:4" x14ac:dyDescent="0.35">
      <c r="A746" s="6" t="s">
        <v>1522</v>
      </c>
      <c r="B746" s="6" t="s">
        <v>2092</v>
      </c>
      <c r="C746" s="6" t="s">
        <v>64</v>
      </c>
      <c r="D746" s="6" t="s">
        <v>3622</v>
      </c>
    </row>
    <row r="747" spans="1:4" x14ac:dyDescent="0.35">
      <c r="A747" s="6" t="s">
        <v>1432</v>
      </c>
      <c r="B747" s="6" t="s">
        <v>2093</v>
      </c>
      <c r="C747" s="6" t="s">
        <v>64</v>
      </c>
      <c r="D747" s="6" t="s">
        <v>3624</v>
      </c>
    </row>
    <row r="748" spans="1:4" x14ac:dyDescent="0.35">
      <c r="A748" s="6" t="s">
        <v>2950</v>
      </c>
      <c r="B748" s="6" t="s">
        <v>2094</v>
      </c>
      <c r="C748" s="6" t="s">
        <v>1244</v>
      </c>
      <c r="D748" s="6" t="s">
        <v>1084</v>
      </c>
    </row>
    <row r="749" spans="1:4" x14ac:dyDescent="0.35">
      <c r="A749" s="6" t="s">
        <v>2095</v>
      </c>
      <c r="B749" s="6" t="s">
        <v>2951</v>
      </c>
      <c r="C749" s="6" t="s">
        <v>64</v>
      </c>
      <c r="D749" s="6" t="s">
        <v>3622</v>
      </c>
    </row>
    <row r="750" spans="1:4" x14ac:dyDescent="0.35">
      <c r="A750" s="6" t="s">
        <v>2097</v>
      </c>
      <c r="B750" s="6" t="s">
        <v>2096</v>
      </c>
      <c r="C750" s="6" t="s">
        <v>64</v>
      </c>
      <c r="D750" s="6" t="s">
        <v>3624</v>
      </c>
    </row>
    <row r="751" spans="1:4" x14ac:dyDescent="0.35">
      <c r="A751" s="6" t="s">
        <v>1372</v>
      </c>
      <c r="B751" s="6" t="s">
        <v>2098</v>
      </c>
      <c r="C751" s="6" t="s">
        <v>64</v>
      </c>
      <c r="D751" s="6" t="s">
        <v>3624</v>
      </c>
    </row>
    <row r="752" spans="1:4" x14ac:dyDescent="0.35">
      <c r="A752" s="6" t="s">
        <v>2952</v>
      </c>
      <c r="B752" s="6" t="s">
        <v>2952</v>
      </c>
      <c r="C752" s="6" t="s">
        <v>1244</v>
      </c>
      <c r="D752" s="6" t="s">
        <v>3623</v>
      </c>
    </row>
    <row r="753" spans="1:4" x14ac:dyDescent="0.35">
      <c r="A753" s="6" t="s">
        <v>1431</v>
      </c>
      <c r="B753" s="6" t="s">
        <v>2099</v>
      </c>
      <c r="C753" s="6" t="s">
        <v>64</v>
      </c>
      <c r="D753" s="6" t="s">
        <v>3622</v>
      </c>
    </row>
    <row r="754" spans="1:4" x14ac:dyDescent="0.35">
      <c r="A754" s="6" t="s">
        <v>2480</v>
      </c>
      <c r="B754" s="6" t="s">
        <v>1126</v>
      </c>
      <c r="C754" s="6" t="s">
        <v>1114</v>
      </c>
      <c r="D754" s="6" t="s">
        <v>3622</v>
      </c>
    </row>
    <row r="755" spans="1:4" x14ac:dyDescent="0.35">
      <c r="A755" s="6" t="s">
        <v>2482</v>
      </c>
      <c r="B755" s="6" t="s">
        <v>2481</v>
      </c>
      <c r="C755" s="6" t="s">
        <v>1114</v>
      </c>
      <c r="D755" s="6" t="s">
        <v>3622</v>
      </c>
    </row>
    <row r="756" spans="1:4" x14ac:dyDescent="0.35">
      <c r="A756" s="6" t="s">
        <v>2483</v>
      </c>
      <c r="B756" s="6" t="s">
        <v>1219</v>
      </c>
      <c r="C756" s="6" t="s">
        <v>1220</v>
      </c>
      <c r="D756" s="6" t="s">
        <v>3622</v>
      </c>
    </row>
    <row r="757" spans="1:4" x14ac:dyDescent="0.35">
      <c r="A757" s="6" t="s">
        <v>1194</v>
      </c>
      <c r="B757" s="6" t="s">
        <v>1193</v>
      </c>
      <c r="C757" s="6" t="s">
        <v>1195</v>
      </c>
      <c r="D757" s="6" t="s">
        <v>3622</v>
      </c>
    </row>
    <row r="758" spans="1:4" x14ac:dyDescent="0.35">
      <c r="A758" s="6" t="s">
        <v>2484</v>
      </c>
      <c r="B758" s="6" t="s">
        <v>1122</v>
      </c>
      <c r="C758" s="6" t="s">
        <v>1114</v>
      </c>
      <c r="D758" s="6" t="s">
        <v>3622</v>
      </c>
    </row>
    <row r="759" spans="1:4" x14ac:dyDescent="0.35">
      <c r="A759" s="6" t="s">
        <v>2485</v>
      </c>
      <c r="B759" s="6" t="s">
        <v>1113</v>
      </c>
      <c r="C759" s="6" t="s">
        <v>1114</v>
      </c>
      <c r="D759" s="6" t="s">
        <v>3622</v>
      </c>
    </row>
    <row r="760" spans="1:4" x14ac:dyDescent="0.35">
      <c r="A760" s="6" t="s">
        <v>1188</v>
      </c>
      <c r="B760" s="6" t="s">
        <v>1187</v>
      </c>
      <c r="C760" s="6" t="s">
        <v>1189</v>
      </c>
      <c r="D760" s="6" t="s">
        <v>3622</v>
      </c>
    </row>
    <row r="761" spans="1:4" x14ac:dyDescent="0.35">
      <c r="A761" s="6" t="s">
        <v>2486</v>
      </c>
      <c r="B761" s="6" t="s">
        <v>1203</v>
      </c>
      <c r="C761" s="6" t="s">
        <v>1204</v>
      </c>
      <c r="D761" s="6" t="s">
        <v>3622</v>
      </c>
    </row>
    <row r="762" spans="1:4" x14ac:dyDescent="0.35">
      <c r="A762" s="6" t="s">
        <v>2488</v>
      </c>
      <c r="B762" s="6" t="s">
        <v>2487</v>
      </c>
      <c r="C762" s="6" t="s">
        <v>80</v>
      </c>
      <c r="D762" s="6" t="s">
        <v>3622</v>
      </c>
    </row>
    <row r="763" spans="1:4" x14ac:dyDescent="0.35">
      <c r="A763" s="6" t="s">
        <v>1163</v>
      </c>
      <c r="B763" s="6" t="s">
        <v>1162</v>
      </c>
      <c r="C763" s="6" t="s">
        <v>1164</v>
      </c>
      <c r="D763" s="6" t="s">
        <v>3622</v>
      </c>
    </row>
    <row r="764" spans="1:4" x14ac:dyDescent="0.35">
      <c r="A764" s="6" t="s">
        <v>2953</v>
      </c>
      <c r="B764" s="6" t="s">
        <v>1121</v>
      </c>
      <c r="C764" s="6" t="s">
        <v>1114</v>
      </c>
      <c r="D764" s="6" t="s">
        <v>3622</v>
      </c>
    </row>
    <row r="765" spans="1:4" x14ac:dyDescent="0.35">
      <c r="A765" s="6" t="s">
        <v>2490</v>
      </c>
      <c r="B765" s="6" t="s">
        <v>2489</v>
      </c>
      <c r="C765" s="6" t="s">
        <v>80</v>
      </c>
      <c r="D765" s="6" t="s">
        <v>3622</v>
      </c>
    </row>
    <row r="766" spans="1:4" x14ac:dyDescent="0.35">
      <c r="A766" s="6" t="s">
        <v>2491</v>
      </c>
      <c r="B766" s="6" t="s">
        <v>1120</v>
      </c>
      <c r="C766" s="6" t="s">
        <v>1114</v>
      </c>
      <c r="D766" s="6" t="s">
        <v>3622</v>
      </c>
    </row>
    <row r="767" spans="1:4" x14ac:dyDescent="0.35">
      <c r="A767" s="6" t="s">
        <v>2492</v>
      </c>
      <c r="B767" s="6" t="s">
        <v>1205</v>
      </c>
      <c r="C767" s="6" t="s">
        <v>1206</v>
      </c>
      <c r="D767" s="6" t="s">
        <v>3622</v>
      </c>
    </row>
    <row r="768" spans="1:4" x14ac:dyDescent="0.35">
      <c r="A768" s="6" t="s">
        <v>2493</v>
      </c>
      <c r="B768" s="6" t="s">
        <v>1146</v>
      </c>
      <c r="C768" s="6" t="s">
        <v>1114</v>
      </c>
      <c r="D768" s="6" t="s">
        <v>3622</v>
      </c>
    </row>
    <row r="769" spans="1:4" x14ac:dyDescent="0.35">
      <c r="A769" s="6" t="s">
        <v>3805</v>
      </c>
      <c r="B769" s="6" t="s">
        <v>1207</v>
      </c>
      <c r="C769" s="6" t="s">
        <v>1208</v>
      </c>
      <c r="D769" s="6" t="s">
        <v>3622</v>
      </c>
    </row>
    <row r="770" spans="1:4" x14ac:dyDescent="0.35">
      <c r="A770" s="6" t="s">
        <v>1177</v>
      </c>
      <c r="B770" s="6" t="s">
        <v>1176</v>
      </c>
      <c r="C770" s="6" t="s">
        <v>1175</v>
      </c>
      <c r="D770" s="6" t="s">
        <v>3622</v>
      </c>
    </row>
    <row r="771" spans="1:4" x14ac:dyDescent="0.35">
      <c r="A771" s="6" t="s">
        <v>1174</v>
      </c>
      <c r="B771" s="6" t="s">
        <v>1173</v>
      </c>
      <c r="C771" s="6" t="s">
        <v>1175</v>
      </c>
      <c r="D771" s="6" t="s">
        <v>3622</v>
      </c>
    </row>
    <row r="772" spans="1:4" x14ac:dyDescent="0.35">
      <c r="A772" s="6" t="s">
        <v>3486</v>
      </c>
      <c r="B772" s="6" t="s">
        <v>3485</v>
      </c>
      <c r="C772" s="6" t="s">
        <v>1305</v>
      </c>
      <c r="D772" s="6" t="s">
        <v>3622</v>
      </c>
    </row>
    <row r="773" spans="1:4" x14ac:dyDescent="0.35">
      <c r="A773" s="6" t="s">
        <v>2494</v>
      </c>
      <c r="B773" s="6" t="s">
        <v>1127</v>
      </c>
      <c r="C773" s="6" t="s">
        <v>1114</v>
      </c>
      <c r="D773" s="6" t="s">
        <v>3622</v>
      </c>
    </row>
    <row r="774" spans="1:4" x14ac:dyDescent="0.35">
      <c r="A774" s="6" t="s">
        <v>2495</v>
      </c>
      <c r="B774" s="6" t="s">
        <v>1223</v>
      </c>
      <c r="C774" s="6" t="s">
        <v>1224</v>
      </c>
      <c r="D774" s="6" t="s">
        <v>3622</v>
      </c>
    </row>
    <row r="775" spans="1:4" x14ac:dyDescent="0.35">
      <c r="A775" s="6" t="s">
        <v>2496</v>
      </c>
      <c r="B775" s="6" t="s">
        <v>1128</v>
      </c>
      <c r="C775" s="6" t="s">
        <v>1114</v>
      </c>
      <c r="D775" s="6" t="s">
        <v>3622</v>
      </c>
    </row>
    <row r="776" spans="1:4" x14ac:dyDescent="0.35">
      <c r="A776" s="6" t="s">
        <v>2497</v>
      </c>
      <c r="B776" s="6" t="s">
        <v>1209</v>
      </c>
      <c r="C776" s="6" t="s">
        <v>1210</v>
      </c>
      <c r="D776" s="6" t="s">
        <v>3622</v>
      </c>
    </row>
    <row r="777" spans="1:4" x14ac:dyDescent="0.35">
      <c r="A777" s="6" t="s">
        <v>2498</v>
      </c>
      <c r="B777" s="6" t="s">
        <v>1213</v>
      </c>
      <c r="C777" s="6" t="s">
        <v>1214</v>
      </c>
      <c r="D777" s="6" t="s">
        <v>3622</v>
      </c>
    </row>
    <row r="778" spans="1:4" x14ac:dyDescent="0.35">
      <c r="A778" s="6" t="s">
        <v>2499</v>
      </c>
      <c r="B778" s="6" t="s">
        <v>1115</v>
      </c>
      <c r="C778" s="6" t="s">
        <v>1114</v>
      </c>
      <c r="D778" s="6" t="s">
        <v>3622</v>
      </c>
    </row>
    <row r="779" spans="1:4" x14ac:dyDescent="0.35">
      <c r="A779" s="6" t="s">
        <v>1185</v>
      </c>
      <c r="B779" s="6" t="s">
        <v>1184</v>
      </c>
      <c r="C779" s="6" t="s">
        <v>1186</v>
      </c>
      <c r="D779" s="6" t="s">
        <v>3622</v>
      </c>
    </row>
    <row r="780" spans="1:4" x14ac:dyDescent="0.35">
      <c r="A780" s="6" t="s">
        <v>1182</v>
      </c>
      <c r="B780" s="6" t="s">
        <v>1181</v>
      </c>
      <c r="C780" s="6" t="s">
        <v>1183</v>
      </c>
      <c r="D780" s="6" t="s">
        <v>3622</v>
      </c>
    </row>
    <row r="781" spans="1:4" x14ac:dyDescent="0.35">
      <c r="A781" s="6" t="s">
        <v>1191</v>
      </c>
      <c r="B781" s="6" t="s">
        <v>1190</v>
      </c>
      <c r="C781" s="6" t="s">
        <v>1192</v>
      </c>
      <c r="D781" s="6" t="s">
        <v>3622</v>
      </c>
    </row>
    <row r="782" spans="1:4" x14ac:dyDescent="0.35">
      <c r="A782" s="6" t="s">
        <v>2500</v>
      </c>
      <c r="B782" s="6" t="s">
        <v>1142</v>
      </c>
      <c r="C782" s="6" t="s">
        <v>1114</v>
      </c>
      <c r="D782" s="6" t="s">
        <v>3622</v>
      </c>
    </row>
    <row r="783" spans="1:4" x14ac:dyDescent="0.35">
      <c r="A783" s="6" t="s">
        <v>1137</v>
      </c>
      <c r="B783" s="6" t="s">
        <v>1136</v>
      </c>
      <c r="C783" s="6" t="s">
        <v>2501</v>
      </c>
      <c r="D783" s="6" t="s">
        <v>3622</v>
      </c>
    </row>
    <row r="784" spans="1:4" x14ac:dyDescent="0.35">
      <c r="A784" s="6" t="s">
        <v>1133</v>
      </c>
      <c r="B784" s="6" t="s">
        <v>1132</v>
      </c>
      <c r="C784" s="6" t="s">
        <v>2501</v>
      </c>
      <c r="D784" s="6" t="s">
        <v>3622</v>
      </c>
    </row>
    <row r="785" spans="1:4" x14ac:dyDescent="0.35">
      <c r="A785" s="6" t="s">
        <v>1139</v>
      </c>
      <c r="B785" s="6" t="s">
        <v>1138</v>
      </c>
      <c r="C785" s="6" t="s">
        <v>2501</v>
      </c>
      <c r="D785" s="6" t="s">
        <v>3622</v>
      </c>
    </row>
    <row r="786" spans="1:4" x14ac:dyDescent="0.35">
      <c r="A786" s="6" t="s">
        <v>1135</v>
      </c>
      <c r="B786" s="6" t="s">
        <v>1134</v>
      </c>
      <c r="C786" s="6" t="s">
        <v>2501</v>
      </c>
      <c r="D786" s="6" t="s">
        <v>3622</v>
      </c>
    </row>
    <row r="787" spans="1:4" x14ac:dyDescent="0.35">
      <c r="A787" s="6" t="s">
        <v>1131</v>
      </c>
      <c r="B787" s="6" t="s">
        <v>1130</v>
      </c>
      <c r="C787" s="6" t="s">
        <v>2501</v>
      </c>
      <c r="D787" s="6" t="s">
        <v>3622</v>
      </c>
    </row>
    <row r="788" spans="1:4" x14ac:dyDescent="0.35">
      <c r="A788" s="6" t="s">
        <v>1141</v>
      </c>
      <c r="B788" s="6" t="s">
        <v>1140</v>
      </c>
      <c r="C788" s="6" t="s">
        <v>2501</v>
      </c>
      <c r="D788" s="6" t="s">
        <v>3622</v>
      </c>
    </row>
    <row r="789" spans="1:4" x14ac:dyDescent="0.35">
      <c r="A789" s="6" t="s">
        <v>2502</v>
      </c>
      <c r="B789" s="6" t="s">
        <v>1221</v>
      </c>
      <c r="C789" s="6" t="s">
        <v>1222</v>
      </c>
      <c r="D789" s="6" t="s">
        <v>3622</v>
      </c>
    </row>
    <row r="790" spans="1:4" x14ac:dyDescent="0.35">
      <c r="A790" s="6" t="s">
        <v>1117</v>
      </c>
      <c r="B790" s="6" t="s">
        <v>1116</v>
      </c>
      <c r="C790" s="6" t="s">
        <v>1118</v>
      </c>
      <c r="D790" s="6" t="s">
        <v>3622</v>
      </c>
    </row>
    <row r="791" spans="1:4" x14ac:dyDescent="0.35">
      <c r="A791" s="6" t="s">
        <v>1144</v>
      </c>
      <c r="B791" s="6" t="s">
        <v>1143</v>
      </c>
      <c r="C791" s="6" t="s">
        <v>1145</v>
      </c>
      <c r="D791" s="6" t="s">
        <v>3622</v>
      </c>
    </row>
    <row r="792" spans="1:4" x14ac:dyDescent="0.35">
      <c r="A792" s="6" t="s">
        <v>1100</v>
      </c>
      <c r="B792" s="6" t="s">
        <v>1099</v>
      </c>
      <c r="C792" s="6" t="s">
        <v>1098</v>
      </c>
      <c r="D792" s="6" t="s">
        <v>3622</v>
      </c>
    </row>
    <row r="793" spans="1:4" x14ac:dyDescent="0.35">
      <c r="A793" s="6" t="s">
        <v>2504</v>
      </c>
      <c r="B793" s="6" t="s">
        <v>2503</v>
      </c>
      <c r="C793" s="6" t="s">
        <v>2505</v>
      </c>
      <c r="D793" s="6" t="s">
        <v>3622</v>
      </c>
    </row>
    <row r="794" spans="1:4" x14ac:dyDescent="0.35">
      <c r="A794" s="6" t="s">
        <v>2506</v>
      </c>
      <c r="B794" s="6" t="s">
        <v>1217</v>
      </c>
      <c r="C794" s="6" t="s">
        <v>1218</v>
      </c>
      <c r="D794" s="6" t="s">
        <v>3622</v>
      </c>
    </row>
    <row r="795" spans="1:4" x14ac:dyDescent="0.35">
      <c r="A795" s="6" t="s">
        <v>2507</v>
      </c>
      <c r="B795" s="6" t="s">
        <v>1150</v>
      </c>
      <c r="C795" s="6" t="s">
        <v>1114</v>
      </c>
      <c r="D795" s="6" t="s">
        <v>3622</v>
      </c>
    </row>
    <row r="796" spans="1:4" x14ac:dyDescent="0.35">
      <c r="A796" s="6" t="s">
        <v>2508</v>
      </c>
      <c r="B796" s="6" t="s">
        <v>1215</v>
      </c>
      <c r="C796" s="6" t="s">
        <v>1216</v>
      </c>
      <c r="D796" s="6" t="s">
        <v>3622</v>
      </c>
    </row>
    <row r="797" spans="1:4" x14ac:dyDescent="0.35">
      <c r="A797" s="6" t="s">
        <v>2509</v>
      </c>
      <c r="B797" s="6" t="s">
        <v>1161</v>
      </c>
      <c r="C797" s="6" t="s">
        <v>1160</v>
      </c>
      <c r="D797" s="6" t="s">
        <v>3622</v>
      </c>
    </row>
    <row r="798" spans="1:4" x14ac:dyDescent="0.35">
      <c r="A798" s="6" t="s">
        <v>1159</v>
      </c>
      <c r="B798" s="6" t="s">
        <v>1158</v>
      </c>
      <c r="C798" s="6" t="s">
        <v>1160</v>
      </c>
      <c r="D798" s="6" t="s">
        <v>3622</v>
      </c>
    </row>
    <row r="799" spans="1:4" x14ac:dyDescent="0.35">
      <c r="A799" s="6" t="s">
        <v>1197</v>
      </c>
      <c r="B799" s="6" t="s">
        <v>1196</v>
      </c>
      <c r="C799" s="6" t="s">
        <v>1124</v>
      </c>
      <c r="D799" s="6" t="s">
        <v>3622</v>
      </c>
    </row>
    <row r="800" spans="1:4" x14ac:dyDescent="0.35">
      <c r="A800" s="6" t="s">
        <v>2510</v>
      </c>
      <c r="B800" s="6" t="s">
        <v>1129</v>
      </c>
      <c r="C800" s="6" t="s">
        <v>1114</v>
      </c>
      <c r="D800" s="6" t="s">
        <v>3622</v>
      </c>
    </row>
    <row r="801" spans="1:4" x14ac:dyDescent="0.35">
      <c r="A801" s="6" t="s">
        <v>1097</v>
      </c>
      <c r="B801" s="6" t="s">
        <v>1096</v>
      </c>
      <c r="C801" s="6" t="s">
        <v>1098</v>
      </c>
      <c r="D801" s="6" t="s">
        <v>3622</v>
      </c>
    </row>
    <row r="802" spans="1:4" x14ac:dyDescent="0.35">
      <c r="A802" s="6" t="s">
        <v>1095</v>
      </c>
      <c r="B802" s="6" t="s">
        <v>1094</v>
      </c>
      <c r="C802" s="6" t="s">
        <v>1085</v>
      </c>
      <c r="D802" s="6" t="s">
        <v>3622</v>
      </c>
    </row>
    <row r="803" spans="1:4" x14ac:dyDescent="0.35">
      <c r="A803" s="6" t="s">
        <v>1149</v>
      </c>
      <c r="B803" s="6" t="s">
        <v>1148</v>
      </c>
      <c r="C803" s="6" t="s">
        <v>1124</v>
      </c>
      <c r="D803" s="6" t="s">
        <v>3622</v>
      </c>
    </row>
    <row r="804" spans="1:4" x14ac:dyDescent="0.35">
      <c r="A804" s="6" t="s">
        <v>1102</v>
      </c>
      <c r="B804" s="6" t="s">
        <v>1101</v>
      </c>
      <c r="C804" s="6" t="s">
        <v>1103</v>
      </c>
      <c r="D804" s="6" t="s">
        <v>3622</v>
      </c>
    </row>
    <row r="805" spans="1:4" x14ac:dyDescent="0.35">
      <c r="A805" s="6" t="s">
        <v>1105</v>
      </c>
      <c r="B805" s="6" t="s">
        <v>1104</v>
      </c>
      <c r="C805" s="6" t="s">
        <v>1106</v>
      </c>
      <c r="D805" s="6" t="s">
        <v>3622</v>
      </c>
    </row>
    <row r="806" spans="1:4" x14ac:dyDescent="0.35">
      <c r="A806" s="6" t="s">
        <v>1108</v>
      </c>
      <c r="B806" s="6" t="s">
        <v>1107</v>
      </c>
      <c r="C806" s="6" t="s">
        <v>1109</v>
      </c>
      <c r="D806" s="6" t="s">
        <v>3622</v>
      </c>
    </row>
    <row r="807" spans="1:4" x14ac:dyDescent="0.35">
      <c r="A807" s="6" t="s">
        <v>1111</v>
      </c>
      <c r="B807" s="6" t="s">
        <v>1110</v>
      </c>
      <c r="C807" s="6" t="s">
        <v>1112</v>
      </c>
      <c r="D807" s="6" t="s">
        <v>3622</v>
      </c>
    </row>
    <row r="808" spans="1:4" x14ac:dyDescent="0.35">
      <c r="A808" s="6" t="s">
        <v>2511</v>
      </c>
      <c r="B808" s="6" t="s">
        <v>1201</v>
      </c>
      <c r="C808" s="6" t="s">
        <v>1202</v>
      </c>
      <c r="D808" s="6" t="s">
        <v>3622</v>
      </c>
    </row>
    <row r="809" spans="1:4" x14ac:dyDescent="0.35">
      <c r="A809" s="6" t="s">
        <v>2512</v>
      </c>
      <c r="B809" s="6" t="s">
        <v>1211</v>
      </c>
      <c r="C809" s="6" t="s">
        <v>1212</v>
      </c>
      <c r="D809" s="6" t="s">
        <v>3622</v>
      </c>
    </row>
    <row r="810" spans="1:4" x14ac:dyDescent="0.35">
      <c r="A810" s="6" t="s">
        <v>2513</v>
      </c>
      <c r="B810" s="6" t="s">
        <v>1147</v>
      </c>
      <c r="C810" s="6" t="s">
        <v>1114</v>
      </c>
      <c r="D810" s="6" t="s">
        <v>3622</v>
      </c>
    </row>
    <row r="811" spans="1:4" x14ac:dyDescent="0.35">
      <c r="A811" s="6" t="s">
        <v>2514</v>
      </c>
      <c r="B811" s="6" t="s">
        <v>1125</v>
      </c>
      <c r="C811" s="6" t="s">
        <v>1114</v>
      </c>
      <c r="D811" s="6" t="s">
        <v>3622</v>
      </c>
    </row>
    <row r="812" spans="1:4" x14ac:dyDescent="0.35">
      <c r="A812" s="6" t="s">
        <v>2954</v>
      </c>
      <c r="B812" s="6" t="s">
        <v>1179</v>
      </c>
      <c r="C812" s="6" t="s">
        <v>1180</v>
      </c>
      <c r="D812" s="6" t="s">
        <v>3622</v>
      </c>
    </row>
    <row r="813" spans="1:4" x14ac:dyDescent="0.35">
      <c r="A813" s="6" t="s">
        <v>2516</v>
      </c>
      <c r="B813" s="6" t="s">
        <v>2515</v>
      </c>
      <c r="C813" s="6" t="s">
        <v>1180</v>
      </c>
      <c r="D813" s="6" t="s">
        <v>3622</v>
      </c>
    </row>
    <row r="814" spans="1:4" x14ac:dyDescent="0.35">
      <c r="A814" s="6" t="s">
        <v>2517</v>
      </c>
      <c r="B814" s="6" t="s">
        <v>1151</v>
      </c>
      <c r="C814" s="6" t="s">
        <v>1114</v>
      </c>
      <c r="D814" s="6" t="s">
        <v>3622</v>
      </c>
    </row>
    <row r="815" spans="1:4" x14ac:dyDescent="0.35">
      <c r="A815" s="6" t="s">
        <v>2518</v>
      </c>
      <c r="B815" s="6" t="s">
        <v>1119</v>
      </c>
      <c r="C815" s="6" t="s">
        <v>1114</v>
      </c>
      <c r="D815" s="6" t="s">
        <v>3622</v>
      </c>
    </row>
    <row r="816" spans="1:4" x14ac:dyDescent="0.35">
      <c r="A816" s="6" t="s">
        <v>2519</v>
      </c>
      <c r="B816" s="6" t="s">
        <v>1123</v>
      </c>
      <c r="C816" s="6" t="s">
        <v>1124</v>
      </c>
      <c r="D816" s="6" t="s">
        <v>3622</v>
      </c>
    </row>
    <row r="817" spans="1:4" x14ac:dyDescent="0.35">
      <c r="A817" s="6" t="s">
        <v>1172</v>
      </c>
      <c r="B817" s="6" t="s">
        <v>1171</v>
      </c>
      <c r="C817" s="6" t="s">
        <v>1170</v>
      </c>
      <c r="D817" s="6" t="s">
        <v>3622</v>
      </c>
    </row>
    <row r="818" spans="1:4" x14ac:dyDescent="0.35">
      <c r="A818" s="6" t="s">
        <v>1169</v>
      </c>
      <c r="B818" s="6" t="s">
        <v>1168</v>
      </c>
      <c r="C818" s="6" t="s">
        <v>1170</v>
      </c>
      <c r="D818" s="6" t="s">
        <v>3622</v>
      </c>
    </row>
    <row r="819" spans="1:4" x14ac:dyDescent="0.35">
      <c r="A819" s="6" t="s">
        <v>1166</v>
      </c>
      <c r="B819" s="6" t="s">
        <v>1165</v>
      </c>
      <c r="C819" s="6" t="s">
        <v>1167</v>
      </c>
      <c r="D819" s="6" t="s">
        <v>3622</v>
      </c>
    </row>
    <row r="820" spans="1:4" x14ac:dyDescent="0.35">
      <c r="A820" s="6" t="s">
        <v>2520</v>
      </c>
      <c r="B820" s="6" t="s">
        <v>1178</v>
      </c>
      <c r="C820" s="6" t="s">
        <v>1170</v>
      </c>
      <c r="D820" s="6" t="s">
        <v>3622</v>
      </c>
    </row>
    <row r="821" spans="1:4" x14ac:dyDescent="0.35">
      <c r="A821" s="6" t="s">
        <v>1272</v>
      </c>
      <c r="B821" s="6" t="s">
        <v>2100</v>
      </c>
      <c r="C821" s="6" t="s">
        <v>1244</v>
      </c>
      <c r="D821" s="6" t="s">
        <v>3624</v>
      </c>
    </row>
    <row r="822" spans="1:4" x14ac:dyDescent="0.35">
      <c r="A822" s="6" t="s">
        <v>2956</v>
      </c>
      <c r="B822" s="6" t="s">
        <v>2955</v>
      </c>
      <c r="C822" s="6" t="s">
        <v>64</v>
      </c>
      <c r="D822" s="6" t="s">
        <v>1084</v>
      </c>
    </row>
    <row r="823" spans="1:4" x14ac:dyDescent="0.35">
      <c r="A823" s="6" t="s">
        <v>1441</v>
      </c>
      <c r="B823" s="6" t="s">
        <v>2101</v>
      </c>
      <c r="C823" s="6" t="s">
        <v>64</v>
      </c>
      <c r="D823" s="6" t="s">
        <v>3624</v>
      </c>
    </row>
    <row r="824" spans="1:4" x14ac:dyDescent="0.35">
      <c r="A824" s="6" t="s">
        <v>2103</v>
      </c>
      <c r="B824" s="6" t="s">
        <v>2102</v>
      </c>
      <c r="C824" s="6" t="s">
        <v>1244</v>
      </c>
      <c r="D824" s="6" t="s">
        <v>3624</v>
      </c>
    </row>
    <row r="825" spans="1:4" x14ac:dyDescent="0.35">
      <c r="A825" s="6" t="s">
        <v>2958</v>
      </c>
      <c r="B825" s="6" t="s">
        <v>2957</v>
      </c>
      <c r="C825" s="6" t="s">
        <v>64</v>
      </c>
      <c r="D825" s="6" t="s">
        <v>1084</v>
      </c>
    </row>
    <row r="826" spans="1:4" x14ac:dyDescent="0.35">
      <c r="A826" s="6" t="s">
        <v>2105</v>
      </c>
      <c r="B826" s="6" t="s">
        <v>2104</v>
      </c>
      <c r="C826" s="6" t="s">
        <v>1244</v>
      </c>
      <c r="D826" s="6" t="s">
        <v>3622</v>
      </c>
    </row>
    <row r="827" spans="1:4" x14ac:dyDescent="0.35">
      <c r="A827" s="6" t="s">
        <v>3488</v>
      </c>
      <c r="B827" s="6" t="s">
        <v>3487</v>
      </c>
      <c r="C827" s="6" t="s">
        <v>64</v>
      </c>
      <c r="D827" s="6" t="s">
        <v>3622</v>
      </c>
    </row>
    <row r="828" spans="1:4" x14ac:dyDescent="0.35">
      <c r="A828" s="6" t="s">
        <v>1473</v>
      </c>
      <c r="B828" s="6" t="s">
        <v>2106</v>
      </c>
      <c r="C828" s="6" t="s">
        <v>64</v>
      </c>
      <c r="D828" s="6" t="s">
        <v>3622</v>
      </c>
    </row>
    <row r="829" spans="1:4" x14ac:dyDescent="0.35">
      <c r="A829" s="6" t="s">
        <v>3490</v>
      </c>
      <c r="B829" s="6" t="s">
        <v>3489</v>
      </c>
      <c r="C829" s="6" t="s">
        <v>64</v>
      </c>
      <c r="D829" s="6" t="s">
        <v>3624</v>
      </c>
    </row>
    <row r="830" spans="1:4" x14ac:dyDescent="0.35">
      <c r="A830" s="6" t="s">
        <v>2108</v>
      </c>
      <c r="B830" s="6" t="s">
        <v>2107</v>
      </c>
      <c r="C830" s="6" t="s">
        <v>64</v>
      </c>
      <c r="D830" s="6" t="s">
        <v>3622</v>
      </c>
    </row>
    <row r="831" spans="1:4" x14ac:dyDescent="0.35">
      <c r="A831" s="6" t="s">
        <v>2110</v>
      </c>
      <c r="B831" s="6" t="s">
        <v>2109</v>
      </c>
      <c r="C831" s="6" t="s">
        <v>64</v>
      </c>
      <c r="D831" s="6" t="s">
        <v>3622</v>
      </c>
    </row>
    <row r="832" spans="1:4" x14ac:dyDescent="0.35">
      <c r="A832" s="6" t="s">
        <v>2112</v>
      </c>
      <c r="B832" s="6" t="s">
        <v>2111</v>
      </c>
      <c r="C832" s="6" t="s">
        <v>64</v>
      </c>
      <c r="D832" s="6" t="s">
        <v>3622</v>
      </c>
    </row>
    <row r="833" spans="1:4" x14ac:dyDescent="0.35">
      <c r="A833" s="6" t="s">
        <v>1614</v>
      </c>
      <c r="B833" s="6" t="s">
        <v>2113</v>
      </c>
      <c r="C833" s="6" t="s">
        <v>1244</v>
      </c>
      <c r="D833" s="6" t="s">
        <v>3622</v>
      </c>
    </row>
    <row r="834" spans="1:4" x14ac:dyDescent="0.35">
      <c r="A834" s="6" t="s">
        <v>1613</v>
      </c>
      <c r="B834" s="6" t="s">
        <v>2114</v>
      </c>
      <c r="C834" s="6" t="s">
        <v>1244</v>
      </c>
      <c r="D834" s="6" t="s">
        <v>3622</v>
      </c>
    </row>
    <row r="835" spans="1:4" x14ac:dyDescent="0.35">
      <c r="A835" s="6" t="s">
        <v>2116</v>
      </c>
      <c r="B835" s="6" t="s">
        <v>2115</v>
      </c>
      <c r="C835" s="6" t="s">
        <v>64</v>
      </c>
      <c r="D835" s="6" t="s">
        <v>3624</v>
      </c>
    </row>
    <row r="836" spans="1:4" x14ac:dyDescent="0.35">
      <c r="A836" s="6" t="s">
        <v>1612</v>
      </c>
      <c r="B836" s="6" t="s">
        <v>2117</v>
      </c>
      <c r="C836" s="6" t="s">
        <v>1244</v>
      </c>
      <c r="D836" s="6" t="s">
        <v>3624</v>
      </c>
    </row>
    <row r="837" spans="1:4" x14ac:dyDescent="0.35">
      <c r="A837" s="6" t="s">
        <v>1611</v>
      </c>
      <c r="B837" s="6" t="s">
        <v>2118</v>
      </c>
      <c r="C837" s="6" t="s">
        <v>1244</v>
      </c>
      <c r="D837" s="6" t="s">
        <v>3624</v>
      </c>
    </row>
    <row r="838" spans="1:4" x14ac:dyDescent="0.35">
      <c r="A838" s="6" t="s">
        <v>2120</v>
      </c>
      <c r="B838" s="6" t="s">
        <v>2119</v>
      </c>
      <c r="C838" s="6" t="s">
        <v>64</v>
      </c>
      <c r="D838" s="6" t="s">
        <v>3622</v>
      </c>
    </row>
    <row r="839" spans="1:4" x14ac:dyDescent="0.35">
      <c r="A839" s="6" t="s">
        <v>1447</v>
      </c>
      <c r="B839" s="6" t="s">
        <v>2121</v>
      </c>
      <c r="C839" s="6" t="s">
        <v>1244</v>
      </c>
      <c r="D839" s="6" t="s">
        <v>3624</v>
      </c>
    </row>
    <row r="840" spans="1:4" x14ac:dyDescent="0.35">
      <c r="A840" s="6" t="s">
        <v>3492</v>
      </c>
      <c r="B840" s="6" t="s">
        <v>3491</v>
      </c>
      <c r="C840" s="6" t="s">
        <v>64</v>
      </c>
      <c r="D840" s="6" t="s">
        <v>3624</v>
      </c>
    </row>
    <row r="841" spans="1:4" x14ac:dyDescent="0.35">
      <c r="A841" s="6" t="s">
        <v>2123</v>
      </c>
      <c r="B841" s="6" t="s">
        <v>2122</v>
      </c>
      <c r="C841" s="6" t="s">
        <v>64</v>
      </c>
      <c r="D841" s="6" t="s">
        <v>3624</v>
      </c>
    </row>
    <row r="842" spans="1:4" x14ac:dyDescent="0.35">
      <c r="A842" s="6" t="s">
        <v>1596</v>
      </c>
      <c r="B842" s="6" t="s">
        <v>2124</v>
      </c>
      <c r="C842" s="6" t="s">
        <v>1244</v>
      </c>
      <c r="D842" s="6" t="s">
        <v>3624</v>
      </c>
    </row>
    <row r="843" spans="1:4" x14ac:dyDescent="0.35">
      <c r="A843" s="6" t="s">
        <v>1446</v>
      </c>
      <c r="B843" s="6" t="s">
        <v>2125</v>
      </c>
      <c r="C843" s="6" t="s">
        <v>1244</v>
      </c>
      <c r="D843" s="6" t="s">
        <v>3622</v>
      </c>
    </row>
    <row r="844" spans="1:4" x14ac:dyDescent="0.35">
      <c r="A844" s="6" t="s">
        <v>2127</v>
      </c>
      <c r="B844" s="6" t="s">
        <v>2126</v>
      </c>
      <c r="C844" s="6" t="s">
        <v>1244</v>
      </c>
      <c r="D844" s="6" t="s">
        <v>3623</v>
      </c>
    </row>
    <row r="845" spans="1:4" x14ac:dyDescent="0.35">
      <c r="A845" s="6" t="s">
        <v>2129</v>
      </c>
      <c r="B845" s="6" t="s">
        <v>2128</v>
      </c>
      <c r="C845" s="6" t="s">
        <v>1244</v>
      </c>
      <c r="D845" s="6" t="s">
        <v>3623</v>
      </c>
    </row>
    <row r="846" spans="1:4" x14ac:dyDescent="0.35">
      <c r="A846" s="6" t="s">
        <v>2960</v>
      </c>
      <c r="B846" s="6" t="s">
        <v>2959</v>
      </c>
      <c r="C846" s="6" t="s">
        <v>1244</v>
      </c>
      <c r="D846" s="6" t="s">
        <v>1084</v>
      </c>
    </row>
    <row r="847" spans="1:4" x14ac:dyDescent="0.35">
      <c r="A847" s="6" t="s">
        <v>1339</v>
      </c>
      <c r="B847" s="6" t="s">
        <v>2130</v>
      </c>
      <c r="C847" s="6" t="s">
        <v>1244</v>
      </c>
      <c r="D847" s="6" t="s">
        <v>3623</v>
      </c>
    </row>
    <row r="848" spans="1:4" x14ac:dyDescent="0.35">
      <c r="A848" s="6" t="s">
        <v>1340</v>
      </c>
      <c r="B848" s="6" t="s">
        <v>2131</v>
      </c>
      <c r="C848" s="6" t="s">
        <v>1244</v>
      </c>
      <c r="D848" s="6" t="s">
        <v>3623</v>
      </c>
    </row>
    <row r="849" spans="1:4" x14ac:dyDescent="0.35">
      <c r="A849" s="6" t="s">
        <v>1341</v>
      </c>
      <c r="B849" s="6" t="s">
        <v>2132</v>
      </c>
      <c r="C849" s="6" t="s">
        <v>1244</v>
      </c>
      <c r="D849" s="6" t="s">
        <v>3623</v>
      </c>
    </row>
    <row r="850" spans="1:4" x14ac:dyDescent="0.35">
      <c r="A850" s="6" t="s">
        <v>1342</v>
      </c>
      <c r="B850" s="6" t="s">
        <v>2133</v>
      </c>
      <c r="C850" s="6" t="s">
        <v>1244</v>
      </c>
      <c r="D850" s="6" t="s">
        <v>3623</v>
      </c>
    </row>
    <row r="851" spans="1:4" x14ac:dyDescent="0.35">
      <c r="A851" s="6" t="s">
        <v>1343</v>
      </c>
      <c r="B851" s="6" t="s">
        <v>2134</v>
      </c>
      <c r="C851" s="6" t="s">
        <v>1244</v>
      </c>
      <c r="D851" s="6" t="s">
        <v>3623</v>
      </c>
    </row>
    <row r="852" spans="1:4" x14ac:dyDescent="0.35">
      <c r="A852" s="6" t="s">
        <v>1344</v>
      </c>
      <c r="B852" s="6" t="s">
        <v>2135</v>
      </c>
      <c r="C852" s="6" t="s">
        <v>1244</v>
      </c>
      <c r="D852" s="6" t="s">
        <v>3623</v>
      </c>
    </row>
    <row r="853" spans="1:4" x14ac:dyDescent="0.35">
      <c r="A853" s="6" t="s">
        <v>1345</v>
      </c>
      <c r="B853" s="6" t="s">
        <v>2136</v>
      </c>
      <c r="C853" s="6" t="s">
        <v>1244</v>
      </c>
      <c r="D853" s="6" t="s">
        <v>3623</v>
      </c>
    </row>
    <row r="854" spans="1:4" x14ac:dyDescent="0.35">
      <c r="A854" s="6" t="s">
        <v>1346</v>
      </c>
      <c r="B854" s="6" t="s">
        <v>2137</v>
      </c>
      <c r="C854" s="6" t="s">
        <v>1244</v>
      </c>
      <c r="D854" s="6" t="s">
        <v>3623</v>
      </c>
    </row>
    <row r="855" spans="1:4" x14ac:dyDescent="0.35">
      <c r="A855" s="6" t="s">
        <v>1347</v>
      </c>
      <c r="B855" s="6" t="s">
        <v>2138</v>
      </c>
      <c r="C855" s="6" t="s">
        <v>1244</v>
      </c>
      <c r="D855" s="6" t="s">
        <v>3623</v>
      </c>
    </row>
    <row r="856" spans="1:4" x14ac:dyDescent="0.35">
      <c r="A856" s="6" t="s">
        <v>2140</v>
      </c>
      <c r="B856" s="6" t="s">
        <v>2139</v>
      </c>
      <c r="C856" s="6" t="s">
        <v>1244</v>
      </c>
      <c r="D856" s="6" t="s">
        <v>3623</v>
      </c>
    </row>
    <row r="857" spans="1:4" x14ac:dyDescent="0.35">
      <c r="A857" s="6" t="s">
        <v>1348</v>
      </c>
      <c r="B857" s="6" t="s">
        <v>2141</v>
      </c>
      <c r="C857" s="6" t="s">
        <v>1244</v>
      </c>
      <c r="D857" s="6" t="s">
        <v>3623</v>
      </c>
    </row>
    <row r="858" spans="1:4" x14ac:dyDescent="0.35">
      <c r="A858" s="6" t="s">
        <v>1349</v>
      </c>
      <c r="B858" s="6" t="s">
        <v>2142</v>
      </c>
      <c r="C858" s="6" t="s">
        <v>1244</v>
      </c>
      <c r="D858" s="6" t="s">
        <v>3623</v>
      </c>
    </row>
    <row r="859" spans="1:4" x14ac:dyDescent="0.35">
      <c r="A859" s="6" t="s">
        <v>1350</v>
      </c>
      <c r="B859" s="6" t="s">
        <v>2143</v>
      </c>
      <c r="C859" s="6" t="s">
        <v>1244</v>
      </c>
      <c r="D859" s="6" t="s">
        <v>3623</v>
      </c>
    </row>
    <row r="860" spans="1:4" x14ac:dyDescent="0.35">
      <c r="A860" s="6" t="s">
        <v>1351</v>
      </c>
      <c r="B860" s="6" t="s">
        <v>2144</v>
      </c>
      <c r="C860" s="6" t="s">
        <v>1244</v>
      </c>
      <c r="D860" s="6" t="s">
        <v>3623</v>
      </c>
    </row>
    <row r="861" spans="1:4" x14ac:dyDescent="0.35">
      <c r="A861" s="6" t="s">
        <v>1352</v>
      </c>
      <c r="B861" s="6" t="s">
        <v>2145</v>
      </c>
      <c r="C861" s="6" t="s">
        <v>1244</v>
      </c>
      <c r="D861" s="6" t="s">
        <v>3623</v>
      </c>
    </row>
    <row r="862" spans="1:4" x14ac:dyDescent="0.35">
      <c r="A862" s="6" t="s">
        <v>1353</v>
      </c>
      <c r="B862" s="6" t="s">
        <v>2146</v>
      </c>
      <c r="C862" s="6" t="s">
        <v>1244</v>
      </c>
      <c r="D862" s="6" t="s">
        <v>3623</v>
      </c>
    </row>
    <row r="863" spans="1:4" x14ac:dyDescent="0.35">
      <c r="A863" s="6" t="s">
        <v>1354</v>
      </c>
      <c r="B863" s="6" t="s">
        <v>2147</v>
      </c>
      <c r="C863" s="6" t="s">
        <v>1244</v>
      </c>
      <c r="D863" s="6" t="s">
        <v>3623</v>
      </c>
    </row>
    <row r="864" spans="1:4" x14ac:dyDescent="0.35">
      <c r="A864" s="6" t="s">
        <v>1355</v>
      </c>
      <c r="B864" s="6" t="s">
        <v>2148</v>
      </c>
      <c r="C864" s="6" t="s">
        <v>1244</v>
      </c>
      <c r="D864" s="6" t="s">
        <v>3623</v>
      </c>
    </row>
    <row r="865" spans="1:4" x14ac:dyDescent="0.35">
      <c r="A865" s="6" t="s">
        <v>1356</v>
      </c>
      <c r="B865" s="6" t="s">
        <v>2149</v>
      </c>
      <c r="C865" s="6" t="s">
        <v>1244</v>
      </c>
      <c r="D865" s="6" t="s">
        <v>3623</v>
      </c>
    </row>
    <row r="866" spans="1:4" x14ac:dyDescent="0.35">
      <c r="A866" s="6" t="s">
        <v>1357</v>
      </c>
      <c r="B866" s="6" t="s">
        <v>2150</v>
      </c>
      <c r="C866" s="6" t="s">
        <v>1244</v>
      </c>
      <c r="D866" s="6" t="s">
        <v>3623</v>
      </c>
    </row>
    <row r="867" spans="1:4" x14ac:dyDescent="0.35">
      <c r="A867" s="6" t="s">
        <v>1358</v>
      </c>
      <c r="B867" s="6" t="s">
        <v>2151</v>
      </c>
      <c r="C867" s="6" t="s">
        <v>1244</v>
      </c>
      <c r="D867" s="6" t="s">
        <v>3623</v>
      </c>
    </row>
    <row r="868" spans="1:4" x14ac:dyDescent="0.35">
      <c r="A868" s="6" t="s">
        <v>1359</v>
      </c>
      <c r="B868" s="6" t="s">
        <v>2152</v>
      </c>
      <c r="C868" s="6" t="s">
        <v>1244</v>
      </c>
      <c r="D868" s="6" t="s">
        <v>3623</v>
      </c>
    </row>
    <row r="869" spans="1:4" x14ac:dyDescent="0.35">
      <c r="A869" s="6" t="s">
        <v>1360</v>
      </c>
      <c r="B869" s="6" t="s">
        <v>2153</v>
      </c>
      <c r="C869" s="6" t="s">
        <v>1244</v>
      </c>
      <c r="D869" s="6" t="s">
        <v>3623</v>
      </c>
    </row>
    <row r="870" spans="1:4" x14ac:dyDescent="0.35">
      <c r="A870" s="6" t="s">
        <v>2155</v>
      </c>
      <c r="B870" s="6" t="s">
        <v>2154</v>
      </c>
      <c r="C870" s="6" t="s">
        <v>1244</v>
      </c>
      <c r="D870" s="6" t="s">
        <v>3623</v>
      </c>
    </row>
    <row r="871" spans="1:4" x14ac:dyDescent="0.35">
      <c r="A871" s="6" t="s">
        <v>2157</v>
      </c>
      <c r="B871" s="6" t="s">
        <v>2156</v>
      </c>
      <c r="C871" s="6" t="s">
        <v>1244</v>
      </c>
      <c r="D871" s="6" t="s">
        <v>3623</v>
      </c>
    </row>
    <row r="872" spans="1:4" x14ac:dyDescent="0.35">
      <c r="A872" s="6" t="s">
        <v>3493</v>
      </c>
      <c r="B872" s="6" t="s">
        <v>2158</v>
      </c>
      <c r="C872" s="6" t="s">
        <v>1244</v>
      </c>
      <c r="D872" s="6" t="s">
        <v>3624</v>
      </c>
    </row>
    <row r="873" spans="1:4" x14ac:dyDescent="0.35">
      <c r="A873" s="6" t="s">
        <v>3494</v>
      </c>
      <c r="B873" s="6" t="s">
        <v>2961</v>
      </c>
      <c r="C873" s="6" t="s">
        <v>1244</v>
      </c>
      <c r="D873" s="6" t="s">
        <v>3624</v>
      </c>
    </row>
    <row r="874" spans="1:4" x14ac:dyDescent="0.35">
      <c r="A874" s="6" t="s">
        <v>2963</v>
      </c>
      <c r="B874" s="6" t="s">
        <v>2962</v>
      </c>
      <c r="C874" s="6" t="s">
        <v>64</v>
      </c>
      <c r="D874" s="6" t="s">
        <v>3624</v>
      </c>
    </row>
    <row r="875" spans="1:4" x14ac:dyDescent="0.35">
      <c r="A875" s="6" t="s">
        <v>2965</v>
      </c>
      <c r="B875" s="6" t="s">
        <v>2964</v>
      </c>
      <c r="C875" s="6" t="s">
        <v>1244</v>
      </c>
      <c r="D875" s="6" t="s">
        <v>3622</v>
      </c>
    </row>
    <row r="876" spans="1:4" x14ac:dyDescent="0.35">
      <c r="A876" s="6" t="s">
        <v>3495</v>
      </c>
      <c r="B876" s="6" t="s">
        <v>2966</v>
      </c>
      <c r="C876" s="6" t="s">
        <v>1244</v>
      </c>
      <c r="D876" s="6" t="s">
        <v>3623</v>
      </c>
    </row>
    <row r="877" spans="1:4" x14ac:dyDescent="0.35">
      <c r="A877" s="6" t="s">
        <v>2968</v>
      </c>
      <c r="B877" s="6" t="s">
        <v>2967</v>
      </c>
      <c r="C877" s="6" t="s">
        <v>1244</v>
      </c>
      <c r="D877" s="6" t="s">
        <v>3623</v>
      </c>
    </row>
    <row r="878" spans="1:4" x14ac:dyDescent="0.35">
      <c r="A878" s="6" t="s">
        <v>2970</v>
      </c>
      <c r="B878" s="6" t="s">
        <v>2969</v>
      </c>
      <c r="C878" s="6" t="s">
        <v>1244</v>
      </c>
      <c r="D878" s="6" t="s">
        <v>3623</v>
      </c>
    </row>
    <row r="879" spans="1:4" x14ac:dyDescent="0.35">
      <c r="A879" s="6" t="s">
        <v>3496</v>
      </c>
      <c r="B879" s="6" t="s">
        <v>2159</v>
      </c>
      <c r="C879" s="6" t="s">
        <v>1244</v>
      </c>
      <c r="D879" s="6" t="s">
        <v>3622</v>
      </c>
    </row>
    <row r="880" spans="1:4" x14ac:dyDescent="0.35">
      <c r="A880" s="6" t="s">
        <v>3497</v>
      </c>
      <c r="B880" s="6" t="s">
        <v>2160</v>
      </c>
      <c r="C880" s="6" t="s">
        <v>1244</v>
      </c>
      <c r="D880" s="6" t="s">
        <v>3624</v>
      </c>
    </row>
    <row r="881" spans="1:4" x14ac:dyDescent="0.35">
      <c r="A881" s="6" t="s">
        <v>2972</v>
      </c>
      <c r="B881" s="6" t="s">
        <v>2971</v>
      </c>
      <c r="C881" s="6" t="s">
        <v>64</v>
      </c>
      <c r="D881" s="6" t="s">
        <v>1084</v>
      </c>
    </row>
    <row r="882" spans="1:4" x14ac:dyDescent="0.35">
      <c r="A882" s="6" t="s">
        <v>2974</v>
      </c>
      <c r="B882" s="6" t="s">
        <v>2973</v>
      </c>
      <c r="C882" s="6" t="s">
        <v>64</v>
      </c>
      <c r="D882" s="6" t="s">
        <v>1084</v>
      </c>
    </row>
    <row r="883" spans="1:4" x14ac:dyDescent="0.35">
      <c r="A883" s="6" t="s">
        <v>2976</v>
      </c>
      <c r="B883" s="6" t="s">
        <v>2975</v>
      </c>
      <c r="C883" s="6" t="s">
        <v>64</v>
      </c>
      <c r="D883" s="6" t="s">
        <v>1084</v>
      </c>
    </row>
    <row r="884" spans="1:4" x14ac:dyDescent="0.35">
      <c r="A884" s="6" t="s">
        <v>1521</v>
      </c>
      <c r="B884" s="6" t="s">
        <v>2161</v>
      </c>
      <c r="C884" s="6" t="s">
        <v>1244</v>
      </c>
      <c r="D884" s="6" t="s">
        <v>3623</v>
      </c>
    </row>
    <row r="885" spans="1:4" x14ac:dyDescent="0.35">
      <c r="A885" s="6" t="s">
        <v>2978</v>
      </c>
      <c r="B885" s="6" t="s">
        <v>2977</v>
      </c>
      <c r="C885" s="6" t="s">
        <v>1242</v>
      </c>
      <c r="D885" s="6" t="s">
        <v>1084</v>
      </c>
    </row>
    <row r="886" spans="1:4" x14ac:dyDescent="0.35">
      <c r="A886" s="6" t="s">
        <v>3498</v>
      </c>
      <c r="B886" s="6" t="s">
        <v>2979</v>
      </c>
      <c r="C886" s="6" t="s">
        <v>1242</v>
      </c>
      <c r="D886" s="6" t="s">
        <v>3624</v>
      </c>
    </row>
    <row r="887" spans="1:4" x14ac:dyDescent="0.35">
      <c r="A887" s="6" t="s">
        <v>2981</v>
      </c>
      <c r="B887" s="6" t="s">
        <v>2980</v>
      </c>
      <c r="C887" s="6" t="s">
        <v>64</v>
      </c>
      <c r="D887" s="6" t="s">
        <v>1084</v>
      </c>
    </row>
    <row r="888" spans="1:4" x14ac:dyDescent="0.35">
      <c r="A888" s="6" t="s">
        <v>2983</v>
      </c>
      <c r="B888" s="6" t="s">
        <v>2982</v>
      </c>
      <c r="C888" s="6" t="s">
        <v>2534</v>
      </c>
      <c r="D888" s="6" t="s">
        <v>1084</v>
      </c>
    </row>
    <row r="889" spans="1:4" x14ac:dyDescent="0.35">
      <c r="A889" s="6" t="s">
        <v>3499</v>
      </c>
      <c r="B889" s="6" t="s">
        <v>2984</v>
      </c>
      <c r="C889" s="6" t="s">
        <v>64</v>
      </c>
      <c r="D889" s="6" t="s">
        <v>1084</v>
      </c>
    </row>
    <row r="890" spans="1:4" x14ac:dyDescent="0.35">
      <c r="A890" s="6" t="s">
        <v>1533</v>
      </c>
      <c r="B890" s="6" t="s">
        <v>2162</v>
      </c>
      <c r="C890" s="6" t="s">
        <v>64</v>
      </c>
      <c r="D890" s="6" t="s">
        <v>3622</v>
      </c>
    </row>
    <row r="891" spans="1:4" x14ac:dyDescent="0.35">
      <c r="A891" s="6" t="s">
        <v>1532</v>
      </c>
      <c r="B891" s="6" t="s">
        <v>2163</v>
      </c>
      <c r="C891" s="6" t="s">
        <v>64</v>
      </c>
      <c r="D891" s="6" t="s">
        <v>3624</v>
      </c>
    </row>
    <row r="892" spans="1:4" x14ac:dyDescent="0.35">
      <c r="A892" s="6" t="s">
        <v>1483</v>
      </c>
      <c r="B892" s="6" t="s">
        <v>2164</v>
      </c>
      <c r="C892" s="6" t="s">
        <v>1244</v>
      </c>
      <c r="D892" s="6" t="s">
        <v>3622</v>
      </c>
    </row>
    <row r="893" spans="1:4" x14ac:dyDescent="0.35">
      <c r="A893" s="6" t="s">
        <v>1480</v>
      </c>
      <c r="B893" s="6" t="s">
        <v>2165</v>
      </c>
      <c r="C893" s="6" t="s">
        <v>1244</v>
      </c>
      <c r="D893" s="6" t="s">
        <v>3624</v>
      </c>
    </row>
    <row r="894" spans="1:4" x14ac:dyDescent="0.35">
      <c r="A894" s="6" t="s">
        <v>1531</v>
      </c>
      <c r="B894" s="6" t="s">
        <v>2166</v>
      </c>
      <c r="C894" s="6" t="s">
        <v>1244</v>
      </c>
      <c r="D894" s="6" t="s">
        <v>3622</v>
      </c>
    </row>
    <row r="895" spans="1:4" x14ac:dyDescent="0.35">
      <c r="A895" s="6" t="s">
        <v>2168</v>
      </c>
      <c r="B895" s="6" t="s">
        <v>2167</v>
      </c>
      <c r="C895" s="6" t="s">
        <v>1244</v>
      </c>
      <c r="D895" s="6" t="s">
        <v>3624</v>
      </c>
    </row>
    <row r="896" spans="1:4" x14ac:dyDescent="0.35">
      <c r="A896" s="6" t="s">
        <v>2986</v>
      </c>
      <c r="B896" s="6" t="s">
        <v>2985</v>
      </c>
      <c r="C896" s="6" t="s">
        <v>1244</v>
      </c>
      <c r="D896" s="6" t="s">
        <v>3623</v>
      </c>
    </row>
    <row r="897" spans="1:4" x14ac:dyDescent="0.35">
      <c r="A897" s="6" t="s">
        <v>2988</v>
      </c>
      <c r="B897" s="6" t="s">
        <v>2987</v>
      </c>
      <c r="C897" s="6" t="s">
        <v>1249</v>
      </c>
      <c r="D897" s="6" t="s">
        <v>3622</v>
      </c>
    </row>
    <row r="898" spans="1:4" x14ac:dyDescent="0.35">
      <c r="A898" s="6" t="s">
        <v>2990</v>
      </c>
      <c r="B898" s="6" t="s">
        <v>2989</v>
      </c>
      <c r="C898" s="6" t="s">
        <v>1249</v>
      </c>
      <c r="D898" s="6" t="s">
        <v>3624</v>
      </c>
    </row>
    <row r="899" spans="1:4" x14ac:dyDescent="0.35">
      <c r="A899" s="6" t="s">
        <v>2170</v>
      </c>
      <c r="B899" s="6" t="s">
        <v>2169</v>
      </c>
      <c r="C899" s="6" t="s">
        <v>1244</v>
      </c>
      <c r="D899" s="6" t="s">
        <v>3622</v>
      </c>
    </row>
    <row r="900" spans="1:4" x14ac:dyDescent="0.35">
      <c r="A900" s="6" t="s">
        <v>1626</v>
      </c>
      <c r="B900" s="6" t="s">
        <v>563</v>
      </c>
      <c r="C900" s="6" t="s">
        <v>1244</v>
      </c>
      <c r="D900" s="6" t="s">
        <v>3624</v>
      </c>
    </row>
    <row r="901" spans="1:4" x14ac:dyDescent="0.35">
      <c r="A901" s="6" t="s">
        <v>2172</v>
      </c>
      <c r="B901" s="6" t="s">
        <v>2171</v>
      </c>
      <c r="C901" s="6" t="s">
        <v>1244</v>
      </c>
      <c r="D901" s="6" t="s">
        <v>3623</v>
      </c>
    </row>
    <row r="902" spans="1:4" x14ac:dyDescent="0.35">
      <c r="A902" s="6" t="s">
        <v>1627</v>
      </c>
      <c r="B902" s="6" t="s">
        <v>2173</v>
      </c>
      <c r="C902" s="6" t="s">
        <v>1244</v>
      </c>
      <c r="D902" s="6" t="s">
        <v>3624</v>
      </c>
    </row>
    <row r="903" spans="1:4" x14ac:dyDescent="0.35">
      <c r="A903" s="6" t="s">
        <v>1373</v>
      </c>
      <c r="B903" s="6" t="s">
        <v>2174</v>
      </c>
      <c r="C903" s="6" t="s">
        <v>1244</v>
      </c>
      <c r="D903" s="6" t="s">
        <v>3624</v>
      </c>
    </row>
    <row r="904" spans="1:4" x14ac:dyDescent="0.35">
      <c r="A904" s="6" t="s">
        <v>1374</v>
      </c>
      <c r="B904" s="6" t="s">
        <v>2175</v>
      </c>
      <c r="C904" s="6" t="s">
        <v>64</v>
      </c>
      <c r="D904" s="6" t="s">
        <v>3622</v>
      </c>
    </row>
    <row r="905" spans="1:4" x14ac:dyDescent="0.35">
      <c r="A905" s="6" t="s">
        <v>3501</v>
      </c>
      <c r="B905" s="6" t="s">
        <v>3500</v>
      </c>
      <c r="C905" s="6" t="s">
        <v>1244</v>
      </c>
      <c r="D905" s="6" t="s">
        <v>3623</v>
      </c>
    </row>
    <row r="906" spans="1:4" x14ac:dyDescent="0.35">
      <c r="A906" s="6" t="s">
        <v>2177</v>
      </c>
      <c r="B906" s="6" t="s">
        <v>2176</v>
      </c>
      <c r="C906" s="6" t="s">
        <v>1244</v>
      </c>
      <c r="D906" s="6" t="s">
        <v>3622</v>
      </c>
    </row>
    <row r="907" spans="1:4" x14ac:dyDescent="0.35">
      <c r="A907" s="6" t="s">
        <v>2179</v>
      </c>
      <c r="B907" s="6" t="s">
        <v>2178</v>
      </c>
      <c r="C907" s="6" t="s">
        <v>1244</v>
      </c>
      <c r="D907" s="6" t="s">
        <v>3623</v>
      </c>
    </row>
    <row r="908" spans="1:4" x14ac:dyDescent="0.35">
      <c r="A908" s="6" t="s">
        <v>2181</v>
      </c>
      <c r="B908" s="6" t="s">
        <v>2180</v>
      </c>
      <c r="C908" s="6" t="s">
        <v>1244</v>
      </c>
      <c r="D908" s="6" t="s">
        <v>3623</v>
      </c>
    </row>
    <row r="909" spans="1:4" x14ac:dyDescent="0.35">
      <c r="A909" s="6" t="s">
        <v>3502</v>
      </c>
      <c r="B909" s="6" t="s">
        <v>2991</v>
      </c>
      <c r="C909" s="6" t="s">
        <v>1242</v>
      </c>
      <c r="D909" s="6" t="s">
        <v>1084</v>
      </c>
    </row>
    <row r="910" spans="1:4" x14ac:dyDescent="0.35">
      <c r="A910" s="6" t="s">
        <v>2993</v>
      </c>
      <c r="B910" s="6" t="s">
        <v>2992</v>
      </c>
      <c r="C910" s="6" t="s">
        <v>1249</v>
      </c>
      <c r="D910" s="6" t="s">
        <v>3623</v>
      </c>
    </row>
    <row r="911" spans="1:4" x14ac:dyDescent="0.35">
      <c r="A911" s="6" t="s">
        <v>1648</v>
      </c>
      <c r="B911" s="6" t="s">
        <v>2182</v>
      </c>
      <c r="C911" s="6" t="s">
        <v>1244</v>
      </c>
      <c r="D911" s="6" t="s">
        <v>3623</v>
      </c>
    </row>
    <row r="912" spans="1:4" x14ac:dyDescent="0.35">
      <c r="A912" s="6" t="s">
        <v>2995</v>
      </c>
      <c r="B912" s="6" t="s">
        <v>2994</v>
      </c>
      <c r="C912" s="6" t="s">
        <v>1242</v>
      </c>
      <c r="D912" s="6" t="s">
        <v>1084</v>
      </c>
    </row>
    <row r="913" spans="1:4" x14ac:dyDescent="0.35">
      <c r="A913" s="6" t="s">
        <v>3503</v>
      </c>
      <c r="B913" s="6" t="s">
        <v>2996</v>
      </c>
      <c r="C913" s="6" t="s">
        <v>1242</v>
      </c>
      <c r="D913" s="6" t="s">
        <v>3622</v>
      </c>
    </row>
    <row r="914" spans="1:4" x14ac:dyDescent="0.35">
      <c r="A914" s="6" t="s">
        <v>2998</v>
      </c>
      <c r="B914" s="6" t="s">
        <v>2997</v>
      </c>
      <c r="C914" s="6" t="s">
        <v>1244</v>
      </c>
      <c r="D914" s="6" t="s">
        <v>1084</v>
      </c>
    </row>
    <row r="915" spans="1:4" x14ac:dyDescent="0.35">
      <c r="A915" s="6" t="s">
        <v>3000</v>
      </c>
      <c r="B915" s="6" t="s">
        <v>2999</v>
      </c>
      <c r="C915" s="6" t="s">
        <v>1244</v>
      </c>
      <c r="D915" s="6" t="s">
        <v>3624</v>
      </c>
    </row>
    <row r="916" spans="1:4" x14ac:dyDescent="0.35">
      <c r="A916" s="6" t="s">
        <v>3002</v>
      </c>
      <c r="B916" s="6" t="s">
        <v>3001</v>
      </c>
      <c r="C916" s="6" t="s">
        <v>1244</v>
      </c>
      <c r="D916" s="6" t="s">
        <v>1084</v>
      </c>
    </row>
    <row r="917" spans="1:4" x14ac:dyDescent="0.35">
      <c r="A917" s="6" t="s">
        <v>3004</v>
      </c>
      <c r="B917" s="6" t="s">
        <v>3003</v>
      </c>
      <c r="C917" s="6" t="s">
        <v>1244</v>
      </c>
      <c r="D917" s="6" t="s">
        <v>1084</v>
      </c>
    </row>
    <row r="918" spans="1:4" x14ac:dyDescent="0.35">
      <c r="A918" s="6" t="s">
        <v>3006</v>
      </c>
      <c r="B918" s="6" t="s">
        <v>3005</v>
      </c>
      <c r="C918" s="6" t="s">
        <v>1244</v>
      </c>
      <c r="D918" s="6" t="s">
        <v>3622</v>
      </c>
    </row>
    <row r="919" spans="1:4" x14ac:dyDescent="0.35">
      <c r="A919" s="6" t="s">
        <v>1548</v>
      </c>
      <c r="B919" s="6" t="s">
        <v>2183</v>
      </c>
      <c r="C919" s="6" t="s">
        <v>1244</v>
      </c>
      <c r="D919" s="6" t="s">
        <v>3622</v>
      </c>
    </row>
    <row r="920" spans="1:4" x14ac:dyDescent="0.35">
      <c r="A920" s="6" t="s">
        <v>2185</v>
      </c>
      <c r="B920" s="6" t="s">
        <v>2184</v>
      </c>
      <c r="C920" s="6" t="s">
        <v>1244</v>
      </c>
      <c r="D920" s="6" t="s">
        <v>3622</v>
      </c>
    </row>
    <row r="921" spans="1:4" x14ac:dyDescent="0.35">
      <c r="A921" s="6" t="s">
        <v>2186</v>
      </c>
      <c r="B921" s="6" t="s">
        <v>618</v>
      </c>
      <c r="C921" s="6" t="s">
        <v>1244</v>
      </c>
      <c r="D921" s="6" t="s">
        <v>3622</v>
      </c>
    </row>
    <row r="922" spans="1:4" x14ac:dyDescent="0.35">
      <c r="A922" s="6" t="s">
        <v>1386</v>
      </c>
      <c r="B922" s="6" t="s">
        <v>2187</v>
      </c>
      <c r="C922" s="6" t="s">
        <v>1244</v>
      </c>
      <c r="D922" s="6" t="s">
        <v>3622</v>
      </c>
    </row>
    <row r="923" spans="1:4" x14ac:dyDescent="0.35">
      <c r="A923" s="6" t="s">
        <v>3008</v>
      </c>
      <c r="B923" s="6" t="s">
        <v>3007</v>
      </c>
      <c r="C923" s="6" t="s">
        <v>1244</v>
      </c>
      <c r="D923" s="6" t="s">
        <v>1084</v>
      </c>
    </row>
    <row r="924" spans="1:4" x14ac:dyDescent="0.35">
      <c r="A924" s="6" t="s">
        <v>1387</v>
      </c>
      <c r="B924" s="6" t="s">
        <v>2188</v>
      </c>
      <c r="C924" s="6" t="s">
        <v>1244</v>
      </c>
      <c r="D924" s="6" t="s">
        <v>3624</v>
      </c>
    </row>
    <row r="925" spans="1:4" x14ac:dyDescent="0.35">
      <c r="A925" s="6" t="s">
        <v>1471</v>
      </c>
      <c r="B925" s="6" t="s">
        <v>2189</v>
      </c>
      <c r="C925" s="6" t="s">
        <v>1244</v>
      </c>
      <c r="D925" s="6" t="s">
        <v>3622</v>
      </c>
    </row>
    <row r="926" spans="1:4" x14ac:dyDescent="0.35">
      <c r="A926" s="6" t="s">
        <v>1472</v>
      </c>
      <c r="B926" s="6" t="s">
        <v>2190</v>
      </c>
      <c r="C926" s="6" t="s">
        <v>1244</v>
      </c>
      <c r="D926" s="6" t="s">
        <v>3624</v>
      </c>
    </row>
    <row r="927" spans="1:4" x14ac:dyDescent="0.35">
      <c r="A927" s="6" t="s">
        <v>2192</v>
      </c>
      <c r="B927" s="6" t="s">
        <v>2191</v>
      </c>
      <c r="C927" s="6" t="s">
        <v>1244</v>
      </c>
      <c r="D927" s="6" t="s">
        <v>3622</v>
      </c>
    </row>
    <row r="928" spans="1:4" x14ac:dyDescent="0.35">
      <c r="A928" s="6" t="s">
        <v>2194</v>
      </c>
      <c r="B928" s="6" t="s">
        <v>2193</v>
      </c>
      <c r="C928" s="6" t="s">
        <v>1244</v>
      </c>
      <c r="D928" s="6" t="s">
        <v>3622</v>
      </c>
    </row>
    <row r="929" spans="1:4" x14ac:dyDescent="0.35">
      <c r="A929" s="6" t="s">
        <v>2196</v>
      </c>
      <c r="B929" s="6" t="s">
        <v>2195</v>
      </c>
      <c r="C929" s="6" t="s">
        <v>1244</v>
      </c>
      <c r="D929" s="6" t="s">
        <v>3622</v>
      </c>
    </row>
    <row r="930" spans="1:4" x14ac:dyDescent="0.35">
      <c r="A930" s="6" t="s">
        <v>1417</v>
      </c>
      <c r="B930" s="6" t="s">
        <v>2197</v>
      </c>
      <c r="C930" s="6" t="s">
        <v>1244</v>
      </c>
      <c r="D930" s="6" t="s">
        <v>3622</v>
      </c>
    </row>
    <row r="931" spans="1:4" x14ac:dyDescent="0.35">
      <c r="A931" s="6" t="s">
        <v>1418</v>
      </c>
      <c r="B931" s="6" t="s">
        <v>2198</v>
      </c>
      <c r="C931" s="6" t="s">
        <v>1244</v>
      </c>
      <c r="D931" s="6" t="s">
        <v>3624</v>
      </c>
    </row>
    <row r="932" spans="1:4" x14ac:dyDescent="0.35">
      <c r="A932" s="6" t="s">
        <v>3010</v>
      </c>
      <c r="B932" s="6" t="s">
        <v>3009</v>
      </c>
      <c r="C932" s="6" t="s">
        <v>64</v>
      </c>
      <c r="D932" s="6" t="s">
        <v>1084</v>
      </c>
    </row>
    <row r="933" spans="1:4" x14ac:dyDescent="0.35">
      <c r="A933" s="6" t="s">
        <v>3012</v>
      </c>
      <c r="B933" s="6" t="s">
        <v>3011</v>
      </c>
      <c r="C933" s="6" t="s">
        <v>64</v>
      </c>
      <c r="D933" s="6" t="s">
        <v>1084</v>
      </c>
    </row>
    <row r="934" spans="1:4" x14ac:dyDescent="0.35">
      <c r="A934" s="6" t="s">
        <v>3014</v>
      </c>
      <c r="B934" s="6" t="s">
        <v>3013</v>
      </c>
      <c r="C934" s="6" t="s">
        <v>64</v>
      </c>
      <c r="D934" s="6" t="s">
        <v>1084</v>
      </c>
    </row>
    <row r="935" spans="1:4" x14ac:dyDescent="0.35">
      <c r="A935" s="6" t="s">
        <v>3016</v>
      </c>
      <c r="B935" s="6" t="s">
        <v>3015</v>
      </c>
      <c r="C935" s="6" t="s">
        <v>64</v>
      </c>
      <c r="D935" s="6" t="s">
        <v>1084</v>
      </c>
    </row>
    <row r="936" spans="1:4" x14ac:dyDescent="0.35">
      <c r="A936" s="6" t="s">
        <v>1576</v>
      </c>
      <c r="B936" s="6" t="s">
        <v>2199</v>
      </c>
      <c r="C936" s="6" t="s">
        <v>1244</v>
      </c>
      <c r="D936" s="6" t="s">
        <v>3622</v>
      </c>
    </row>
    <row r="937" spans="1:4" x14ac:dyDescent="0.35">
      <c r="A937" s="6" t="s">
        <v>3017</v>
      </c>
      <c r="B937" s="6" t="s">
        <v>2200</v>
      </c>
      <c r="C937" s="6" t="s">
        <v>1244</v>
      </c>
      <c r="D937" s="6" t="s">
        <v>1084</v>
      </c>
    </row>
    <row r="938" spans="1:4" x14ac:dyDescent="0.35">
      <c r="A938" s="6" t="s">
        <v>1577</v>
      </c>
      <c r="B938" s="6" t="s">
        <v>3018</v>
      </c>
      <c r="C938" s="6" t="s">
        <v>1244</v>
      </c>
      <c r="D938" s="6" t="s">
        <v>3624</v>
      </c>
    </row>
    <row r="939" spans="1:4" x14ac:dyDescent="0.35">
      <c r="A939" s="6" t="s">
        <v>3020</v>
      </c>
      <c r="B939" s="6" t="s">
        <v>3019</v>
      </c>
      <c r="C939" s="6" t="s">
        <v>64</v>
      </c>
      <c r="D939" s="6" t="s">
        <v>3622</v>
      </c>
    </row>
    <row r="940" spans="1:4" x14ac:dyDescent="0.35">
      <c r="A940" s="6" t="s">
        <v>3022</v>
      </c>
      <c r="B940" s="6" t="s">
        <v>3021</v>
      </c>
      <c r="C940" s="6" t="s">
        <v>64</v>
      </c>
      <c r="D940" s="6" t="s">
        <v>3624</v>
      </c>
    </row>
    <row r="941" spans="1:4" x14ac:dyDescent="0.35">
      <c r="A941" s="6" t="s">
        <v>3024</v>
      </c>
      <c r="B941" s="6" t="s">
        <v>3023</v>
      </c>
      <c r="C941" s="6" t="s">
        <v>1244</v>
      </c>
      <c r="D941" s="6" t="s">
        <v>1084</v>
      </c>
    </row>
    <row r="942" spans="1:4" x14ac:dyDescent="0.35">
      <c r="A942" s="6" t="s">
        <v>3026</v>
      </c>
      <c r="B942" s="6" t="s">
        <v>3025</v>
      </c>
      <c r="C942" s="6" t="s">
        <v>1244</v>
      </c>
      <c r="D942" s="6" t="s">
        <v>1084</v>
      </c>
    </row>
    <row r="943" spans="1:4" x14ac:dyDescent="0.35">
      <c r="A943" s="6" t="s">
        <v>2202</v>
      </c>
      <c r="B943" s="6" t="s">
        <v>2201</v>
      </c>
      <c r="C943" s="6" t="s">
        <v>1244</v>
      </c>
      <c r="D943" s="6" t="s">
        <v>3623</v>
      </c>
    </row>
    <row r="944" spans="1:4" x14ac:dyDescent="0.35">
      <c r="A944" s="6" t="s">
        <v>3028</v>
      </c>
      <c r="B944" s="6" t="s">
        <v>3027</v>
      </c>
      <c r="C944" s="6" t="s">
        <v>1244</v>
      </c>
      <c r="D944" s="6" t="s">
        <v>1084</v>
      </c>
    </row>
    <row r="945" spans="1:4" x14ac:dyDescent="0.35">
      <c r="A945" s="6" t="s">
        <v>3030</v>
      </c>
      <c r="B945" s="6" t="s">
        <v>3029</v>
      </c>
      <c r="C945" s="6" t="s">
        <v>1244</v>
      </c>
      <c r="D945" s="6" t="s">
        <v>1084</v>
      </c>
    </row>
    <row r="946" spans="1:4" x14ac:dyDescent="0.35">
      <c r="A946" s="6" t="s">
        <v>3032</v>
      </c>
      <c r="B946" s="6" t="s">
        <v>3031</v>
      </c>
      <c r="C946" s="6" t="s">
        <v>64</v>
      </c>
      <c r="D946" s="6" t="s">
        <v>1084</v>
      </c>
    </row>
    <row r="947" spans="1:4" x14ac:dyDescent="0.35">
      <c r="A947" s="6" t="s">
        <v>2204</v>
      </c>
      <c r="B947" s="6" t="s">
        <v>2203</v>
      </c>
      <c r="C947" s="6" t="s">
        <v>1244</v>
      </c>
      <c r="D947" s="6" t="s">
        <v>3623</v>
      </c>
    </row>
    <row r="948" spans="1:4" x14ac:dyDescent="0.35">
      <c r="A948" s="6" t="s">
        <v>3033</v>
      </c>
      <c r="B948" s="6" t="s">
        <v>625</v>
      </c>
      <c r="C948" s="6" t="s">
        <v>94</v>
      </c>
      <c r="D948" s="6" t="s">
        <v>1084</v>
      </c>
    </row>
    <row r="949" spans="1:4" x14ac:dyDescent="0.35">
      <c r="A949" s="6" t="s">
        <v>1488</v>
      </c>
      <c r="B949" s="6" t="s">
        <v>2205</v>
      </c>
      <c r="C949" s="6" t="s">
        <v>1244</v>
      </c>
      <c r="D949" s="6" t="s">
        <v>3622</v>
      </c>
    </row>
    <row r="950" spans="1:4" x14ac:dyDescent="0.35">
      <c r="A950" s="6" t="s">
        <v>2207</v>
      </c>
      <c r="B950" s="6" t="s">
        <v>2206</v>
      </c>
      <c r="C950" s="6" t="s">
        <v>1248</v>
      </c>
      <c r="D950" s="6" t="s">
        <v>3623</v>
      </c>
    </row>
    <row r="951" spans="1:4" x14ac:dyDescent="0.35">
      <c r="A951" s="6" t="s">
        <v>1475</v>
      </c>
      <c r="B951" s="6" t="s">
        <v>2208</v>
      </c>
      <c r="C951" s="6" t="s">
        <v>1244</v>
      </c>
      <c r="D951" s="6" t="s">
        <v>3623</v>
      </c>
    </row>
    <row r="952" spans="1:4" x14ac:dyDescent="0.35">
      <c r="A952" s="6" t="s">
        <v>3035</v>
      </c>
      <c r="B952" s="6" t="s">
        <v>3034</v>
      </c>
      <c r="C952" s="6" t="s">
        <v>1244</v>
      </c>
      <c r="D952" s="6" t="s">
        <v>3623</v>
      </c>
    </row>
    <row r="953" spans="1:4" x14ac:dyDescent="0.35">
      <c r="A953" s="6" t="s">
        <v>3037</v>
      </c>
      <c r="B953" s="6" t="s">
        <v>3036</v>
      </c>
      <c r="C953" s="6" t="s">
        <v>64</v>
      </c>
      <c r="D953" s="6" t="s">
        <v>3624</v>
      </c>
    </row>
    <row r="954" spans="1:4" x14ac:dyDescent="0.35">
      <c r="A954" s="6" t="s">
        <v>1433</v>
      </c>
      <c r="B954" s="6" t="s">
        <v>2209</v>
      </c>
      <c r="C954" s="6" t="s">
        <v>1244</v>
      </c>
      <c r="D954" s="6" t="s">
        <v>3623</v>
      </c>
    </row>
    <row r="955" spans="1:4" x14ac:dyDescent="0.35">
      <c r="A955" s="6" t="s">
        <v>2211</v>
      </c>
      <c r="B955" s="6" t="s">
        <v>2210</v>
      </c>
      <c r="C955" s="6" t="s">
        <v>1244</v>
      </c>
      <c r="D955" s="6" t="s">
        <v>3622</v>
      </c>
    </row>
    <row r="956" spans="1:4" x14ac:dyDescent="0.35">
      <c r="A956" s="6" t="s">
        <v>3504</v>
      </c>
      <c r="B956" s="6" t="s">
        <v>3038</v>
      </c>
      <c r="C956" s="6" t="s">
        <v>1244</v>
      </c>
      <c r="D956" s="6" t="s">
        <v>1084</v>
      </c>
    </row>
    <row r="957" spans="1:4" x14ac:dyDescent="0.35">
      <c r="A957" s="6" t="s">
        <v>1630</v>
      </c>
      <c r="B957" s="6" t="s">
        <v>2212</v>
      </c>
      <c r="C957" s="6" t="s">
        <v>1244</v>
      </c>
      <c r="D957" s="6" t="s">
        <v>3622</v>
      </c>
    </row>
    <row r="958" spans="1:4" x14ac:dyDescent="0.35">
      <c r="A958" s="6" t="s">
        <v>1550</v>
      </c>
      <c r="B958" s="6" t="s">
        <v>2213</v>
      </c>
      <c r="C958" s="6" t="s">
        <v>1244</v>
      </c>
      <c r="D958" s="6" t="s">
        <v>3622</v>
      </c>
    </row>
    <row r="959" spans="1:4" x14ac:dyDescent="0.35">
      <c r="A959" s="6" t="s">
        <v>3040</v>
      </c>
      <c r="B959" s="6" t="s">
        <v>3039</v>
      </c>
      <c r="C959" s="6" t="s">
        <v>45</v>
      </c>
      <c r="D959" s="6" t="s">
        <v>3623</v>
      </c>
    </row>
    <row r="960" spans="1:4" x14ac:dyDescent="0.35">
      <c r="A960" s="6" t="s">
        <v>3042</v>
      </c>
      <c r="B960" s="6" t="s">
        <v>3041</v>
      </c>
      <c r="C960" s="6" t="s">
        <v>1242</v>
      </c>
      <c r="D960" s="6" t="s">
        <v>1084</v>
      </c>
    </row>
    <row r="961" spans="1:4" x14ac:dyDescent="0.35">
      <c r="A961" s="6" t="s">
        <v>3044</v>
      </c>
      <c r="B961" s="6" t="s">
        <v>3043</v>
      </c>
      <c r="C961" s="6" t="s">
        <v>45</v>
      </c>
      <c r="D961" s="6" t="s">
        <v>3623</v>
      </c>
    </row>
    <row r="962" spans="1:4" x14ac:dyDescent="0.35">
      <c r="A962" s="6" t="s">
        <v>3046</v>
      </c>
      <c r="B962" s="6" t="s">
        <v>3045</v>
      </c>
      <c r="C962" s="6" t="s">
        <v>1242</v>
      </c>
      <c r="D962" s="6" t="s">
        <v>1084</v>
      </c>
    </row>
    <row r="963" spans="1:4" x14ac:dyDescent="0.35">
      <c r="A963" s="6" t="s">
        <v>3048</v>
      </c>
      <c r="B963" s="6" t="s">
        <v>3047</v>
      </c>
      <c r="C963" s="6" t="s">
        <v>1242</v>
      </c>
      <c r="D963" s="6" t="s">
        <v>1084</v>
      </c>
    </row>
    <row r="964" spans="1:4" x14ac:dyDescent="0.35">
      <c r="A964" s="6" t="s">
        <v>1469</v>
      </c>
      <c r="B964" s="6" t="s">
        <v>2214</v>
      </c>
      <c r="C964" s="6" t="s">
        <v>1244</v>
      </c>
      <c r="D964" s="6" t="s">
        <v>3622</v>
      </c>
    </row>
    <row r="965" spans="1:4" x14ac:dyDescent="0.35">
      <c r="A965" s="6" t="s">
        <v>2216</v>
      </c>
      <c r="B965" s="6" t="s">
        <v>2215</v>
      </c>
      <c r="C965" s="6" t="s">
        <v>1244</v>
      </c>
      <c r="D965" s="6" t="s">
        <v>3622</v>
      </c>
    </row>
    <row r="966" spans="1:4" x14ac:dyDescent="0.35">
      <c r="A966" s="6" t="s">
        <v>1296</v>
      </c>
      <c r="B966" s="6" t="s">
        <v>2217</v>
      </c>
      <c r="C966" s="6" t="s">
        <v>1244</v>
      </c>
      <c r="D966" s="6" t="s">
        <v>3623</v>
      </c>
    </row>
    <row r="967" spans="1:4" x14ac:dyDescent="0.35">
      <c r="A967" s="6" t="s">
        <v>3506</v>
      </c>
      <c r="B967" s="6" t="s">
        <v>3505</v>
      </c>
      <c r="C967" s="6" t="s">
        <v>1242</v>
      </c>
      <c r="D967" s="6" t="s">
        <v>3622</v>
      </c>
    </row>
    <row r="968" spans="1:4" x14ac:dyDescent="0.35">
      <c r="A968" s="6" t="s">
        <v>2219</v>
      </c>
      <c r="B968" s="6" t="s">
        <v>2218</v>
      </c>
      <c r="C968" s="6" t="s">
        <v>1244</v>
      </c>
      <c r="D968" s="6" t="s">
        <v>3622</v>
      </c>
    </row>
    <row r="969" spans="1:4" x14ac:dyDescent="0.35">
      <c r="A969" s="6" t="s">
        <v>3050</v>
      </c>
      <c r="B969" s="6" t="s">
        <v>3049</v>
      </c>
      <c r="C969" s="6" t="s">
        <v>1244</v>
      </c>
      <c r="D969" s="6" t="s">
        <v>1084</v>
      </c>
    </row>
    <row r="970" spans="1:4" x14ac:dyDescent="0.35">
      <c r="A970" s="6" t="s">
        <v>1530</v>
      </c>
      <c r="B970" s="6" t="s">
        <v>2220</v>
      </c>
      <c r="C970" s="6" t="s">
        <v>1244</v>
      </c>
      <c r="D970" s="6" t="s">
        <v>3623</v>
      </c>
    </row>
    <row r="971" spans="1:4" x14ac:dyDescent="0.35">
      <c r="A971" s="6" t="s">
        <v>3052</v>
      </c>
      <c r="B971" s="6" t="s">
        <v>3051</v>
      </c>
      <c r="C971" s="6" t="s">
        <v>64</v>
      </c>
      <c r="D971" s="6" t="s">
        <v>1084</v>
      </c>
    </row>
    <row r="972" spans="1:4" x14ac:dyDescent="0.35">
      <c r="A972" s="6" t="s">
        <v>1375</v>
      </c>
      <c r="B972" s="6" t="s">
        <v>2221</v>
      </c>
      <c r="C972" s="6" t="s">
        <v>1244</v>
      </c>
      <c r="D972" s="6" t="s">
        <v>3623</v>
      </c>
    </row>
    <row r="973" spans="1:4" x14ac:dyDescent="0.35">
      <c r="A973" s="6" t="s">
        <v>3054</v>
      </c>
      <c r="B973" s="6" t="s">
        <v>3053</v>
      </c>
      <c r="C973" s="6" t="s">
        <v>64</v>
      </c>
      <c r="D973" s="6" t="s">
        <v>3622</v>
      </c>
    </row>
    <row r="974" spans="1:4" x14ac:dyDescent="0.35">
      <c r="A974" s="6" t="s">
        <v>1330</v>
      </c>
      <c r="B974" s="6" t="s">
        <v>2222</v>
      </c>
      <c r="C974" s="6" t="s">
        <v>1244</v>
      </c>
      <c r="D974" s="6" t="s">
        <v>3622</v>
      </c>
    </row>
    <row r="975" spans="1:4" x14ac:dyDescent="0.35">
      <c r="A975" s="6" t="s">
        <v>2224</v>
      </c>
      <c r="B975" s="6" t="s">
        <v>2223</v>
      </c>
      <c r="C975" s="6" t="s">
        <v>1244</v>
      </c>
      <c r="D975" s="6" t="s">
        <v>3622</v>
      </c>
    </row>
    <row r="976" spans="1:4" x14ac:dyDescent="0.35">
      <c r="A976" s="6" t="s">
        <v>1329</v>
      </c>
      <c r="B976" s="6" t="s">
        <v>2225</v>
      </c>
      <c r="C976" s="6" t="s">
        <v>64</v>
      </c>
      <c r="D976" s="6" t="s">
        <v>3624</v>
      </c>
    </row>
    <row r="977" spans="1:4" x14ac:dyDescent="0.35">
      <c r="A977" s="6" t="s">
        <v>3056</v>
      </c>
      <c r="B977" s="6" t="s">
        <v>3055</v>
      </c>
      <c r="C977" s="6" t="s">
        <v>1244</v>
      </c>
      <c r="D977" s="6" t="s">
        <v>1084</v>
      </c>
    </row>
    <row r="978" spans="1:4" x14ac:dyDescent="0.35">
      <c r="A978" s="6" t="s">
        <v>1499</v>
      </c>
      <c r="B978" s="6" t="s">
        <v>2226</v>
      </c>
      <c r="C978" s="6" t="s">
        <v>1244</v>
      </c>
      <c r="D978" s="6" t="s">
        <v>3622</v>
      </c>
    </row>
    <row r="979" spans="1:4" x14ac:dyDescent="0.35">
      <c r="A979" s="6" t="s">
        <v>3507</v>
      </c>
      <c r="B979" s="6" t="s">
        <v>3057</v>
      </c>
      <c r="C979" s="6" t="s">
        <v>1242</v>
      </c>
      <c r="D979" s="6" t="s">
        <v>3624</v>
      </c>
    </row>
    <row r="980" spans="1:4" x14ac:dyDescent="0.35">
      <c r="A980" s="6" t="s">
        <v>2228</v>
      </c>
      <c r="B980" s="6" t="s">
        <v>2227</v>
      </c>
      <c r="C980" s="6" t="s">
        <v>64</v>
      </c>
      <c r="D980" s="6" t="s">
        <v>3622</v>
      </c>
    </row>
    <row r="981" spans="1:4" x14ac:dyDescent="0.35">
      <c r="A981" s="6" t="s">
        <v>1331</v>
      </c>
      <c r="B981" s="6" t="s">
        <v>2229</v>
      </c>
      <c r="C981" s="6" t="s">
        <v>64</v>
      </c>
      <c r="D981" s="6" t="s">
        <v>3624</v>
      </c>
    </row>
    <row r="982" spans="1:4" x14ac:dyDescent="0.35">
      <c r="A982" s="6" t="s">
        <v>3508</v>
      </c>
      <c r="B982" s="6" t="s">
        <v>3058</v>
      </c>
      <c r="C982" s="6" t="s">
        <v>64</v>
      </c>
      <c r="D982" s="6" t="s">
        <v>1084</v>
      </c>
    </row>
    <row r="983" spans="1:4" x14ac:dyDescent="0.35">
      <c r="A983" s="6" t="s">
        <v>1516</v>
      </c>
      <c r="B983" s="6" t="s">
        <v>2230</v>
      </c>
      <c r="C983" s="6" t="s">
        <v>1244</v>
      </c>
      <c r="D983" s="6" t="s">
        <v>3622</v>
      </c>
    </row>
    <row r="984" spans="1:4" x14ac:dyDescent="0.35">
      <c r="A984" s="6" t="s">
        <v>2232</v>
      </c>
      <c r="B984" s="6" t="s">
        <v>2231</v>
      </c>
      <c r="C984" s="6" t="s">
        <v>64</v>
      </c>
      <c r="D984" s="6" t="s">
        <v>3622</v>
      </c>
    </row>
    <row r="985" spans="1:4" x14ac:dyDescent="0.35">
      <c r="A985" s="6" t="s">
        <v>3060</v>
      </c>
      <c r="B985" s="6" t="s">
        <v>3059</v>
      </c>
      <c r="C985" s="6" t="s">
        <v>64</v>
      </c>
      <c r="D985" s="6" t="s">
        <v>1084</v>
      </c>
    </row>
    <row r="986" spans="1:4" x14ac:dyDescent="0.35">
      <c r="A986" s="6" t="s">
        <v>3509</v>
      </c>
      <c r="B986" s="6" t="s">
        <v>3061</v>
      </c>
      <c r="C986" s="6" t="s">
        <v>64</v>
      </c>
      <c r="D986" s="6" t="s">
        <v>3622</v>
      </c>
    </row>
    <row r="987" spans="1:4" x14ac:dyDescent="0.35">
      <c r="A987" s="6" t="s">
        <v>3063</v>
      </c>
      <c r="B987" s="6" t="s">
        <v>3062</v>
      </c>
      <c r="C987" s="6" t="s">
        <v>1244</v>
      </c>
      <c r="D987" s="6" t="s">
        <v>1084</v>
      </c>
    </row>
    <row r="988" spans="1:4" x14ac:dyDescent="0.35">
      <c r="A988" s="6" t="s">
        <v>3510</v>
      </c>
      <c r="B988" s="6" t="s">
        <v>3064</v>
      </c>
      <c r="C988" s="6" t="s">
        <v>1244</v>
      </c>
      <c r="D988" s="6" t="s">
        <v>1084</v>
      </c>
    </row>
    <row r="989" spans="1:4" x14ac:dyDescent="0.35">
      <c r="A989" s="6" t="s">
        <v>1226</v>
      </c>
      <c r="B989" s="6" t="s">
        <v>1225</v>
      </c>
      <c r="C989" s="6" t="s">
        <v>1227</v>
      </c>
      <c r="D989" s="6" t="s">
        <v>3622</v>
      </c>
    </row>
    <row r="990" spans="1:4" x14ac:dyDescent="0.35">
      <c r="A990" s="6" t="s">
        <v>1238</v>
      </c>
      <c r="B990" s="6" t="s">
        <v>1237</v>
      </c>
      <c r="C990" s="6" t="s">
        <v>1239</v>
      </c>
      <c r="D990" s="6" t="s">
        <v>3622</v>
      </c>
    </row>
    <row r="991" spans="1:4" x14ac:dyDescent="0.35">
      <c r="A991" s="6" t="s">
        <v>3065</v>
      </c>
      <c r="B991" s="6" t="s">
        <v>1240</v>
      </c>
      <c r="C991" s="6" t="s">
        <v>1241</v>
      </c>
      <c r="D991" s="6" t="s">
        <v>3622</v>
      </c>
    </row>
    <row r="992" spans="1:4" x14ac:dyDescent="0.35">
      <c r="A992" s="6" t="s">
        <v>3066</v>
      </c>
      <c r="B992" s="6" t="s">
        <v>2521</v>
      </c>
      <c r="C992" s="6" t="s">
        <v>80</v>
      </c>
      <c r="D992" s="6" t="s">
        <v>3622</v>
      </c>
    </row>
    <row r="993" spans="1:4" x14ac:dyDescent="0.35">
      <c r="A993" s="6" t="s">
        <v>3512</v>
      </c>
      <c r="B993" s="6" t="s">
        <v>3511</v>
      </c>
      <c r="C993" s="6" t="s">
        <v>3513</v>
      </c>
      <c r="D993" s="6" t="s">
        <v>3622</v>
      </c>
    </row>
    <row r="994" spans="1:4" x14ac:dyDescent="0.35">
      <c r="A994" s="6" t="s">
        <v>2523</v>
      </c>
      <c r="B994" s="6" t="s">
        <v>2522</v>
      </c>
      <c r="C994" s="6" t="s">
        <v>2524</v>
      </c>
      <c r="D994" s="6" t="s">
        <v>3622</v>
      </c>
    </row>
    <row r="995" spans="1:4" x14ac:dyDescent="0.35">
      <c r="A995" s="6" t="s">
        <v>3067</v>
      </c>
      <c r="B995" s="6" t="s">
        <v>2525</v>
      </c>
      <c r="C995" s="6" t="s">
        <v>1227</v>
      </c>
      <c r="D995" s="6" t="s">
        <v>3622</v>
      </c>
    </row>
    <row r="996" spans="1:4" x14ac:dyDescent="0.35">
      <c r="A996" s="6" t="s">
        <v>2527</v>
      </c>
      <c r="B996" s="6" t="s">
        <v>2526</v>
      </c>
      <c r="C996" s="6" t="s">
        <v>1227</v>
      </c>
      <c r="D996" s="6" t="s">
        <v>3622</v>
      </c>
    </row>
    <row r="997" spans="1:4" x14ac:dyDescent="0.35">
      <c r="A997" s="6" t="s">
        <v>2529</v>
      </c>
      <c r="B997" s="6" t="s">
        <v>2528</v>
      </c>
      <c r="C997" s="6" t="s">
        <v>1541</v>
      </c>
      <c r="D997" s="6" t="s">
        <v>3622</v>
      </c>
    </row>
    <row r="998" spans="1:4" x14ac:dyDescent="0.35">
      <c r="A998" s="6" t="s">
        <v>2531</v>
      </c>
      <c r="B998" s="6" t="s">
        <v>2530</v>
      </c>
      <c r="C998" s="6" t="s">
        <v>2532</v>
      </c>
      <c r="D998" s="6" t="s">
        <v>3622</v>
      </c>
    </row>
    <row r="999" spans="1:4" x14ac:dyDescent="0.35">
      <c r="A999" s="6" t="s">
        <v>3514</v>
      </c>
      <c r="B999" s="6" t="s">
        <v>2533</v>
      </c>
      <c r="C999" s="6" t="s">
        <v>2534</v>
      </c>
      <c r="D999" s="6" t="s">
        <v>3622</v>
      </c>
    </row>
    <row r="1000" spans="1:4" x14ac:dyDescent="0.35">
      <c r="A1000" s="6" t="s">
        <v>1232</v>
      </c>
      <c r="B1000" s="6" t="s">
        <v>1231</v>
      </c>
      <c r="C1000" s="6" t="s">
        <v>1233</v>
      </c>
      <c r="D1000" s="6" t="s">
        <v>3622</v>
      </c>
    </row>
    <row r="1001" spans="1:4" x14ac:dyDescent="0.35">
      <c r="A1001" s="6" t="s">
        <v>3515</v>
      </c>
      <c r="B1001" s="6" t="s">
        <v>2535</v>
      </c>
      <c r="C1001" s="6" t="s">
        <v>2534</v>
      </c>
      <c r="D1001" s="6" t="s">
        <v>3622</v>
      </c>
    </row>
    <row r="1002" spans="1:4" x14ac:dyDescent="0.35">
      <c r="A1002" s="6" t="s">
        <v>3516</v>
      </c>
      <c r="B1002" s="6" t="s">
        <v>2536</v>
      </c>
      <c r="C1002" s="6" t="s">
        <v>2534</v>
      </c>
      <c r="D1002" s="6" t="s">
        <v>3622</v>
      </c>
    </row>
    <row r="1003" spans="1:4" x14ac:dyDescent="0.35">
      <c r="A1003" s="6" t="s">
        <v>3517</v>
      </c>
      <c r="B1003" s="6" t="s">
        <v>2537</v>
      </c>
      <c r="C1003" s="6" t="s">
        <v>2534</v>
      </c>
      <c r="D1003" s="6" t="s">
        <v>3622</v>
      </c>
    </row>
    <row r="1004" spans="1:4" x14ac:dyDescent="0.35">
      <c r="A1004" s="6" t="s">
        <v>3068</v>
      </c>
      <c r="B1004" s="6" t="s">
        <v>2538</v>
      </c>
      <c r="C1004" s="6" t="s">
        <v>1227</v>
      </c>
      <c r="D1004" s="6" t="s">
        <v>3622</v>
      </c>
    </row>
    <row r="1005" spans="1:4" x14ac:dyDescent="0.35">
      <c r="A1005" s="6" t="s">
        <v>3519</v>
      </c>
      <c r="B1005" s="6" t="s">
        <v>3518</v>
      </c>
      <c r="C1005" s="6" t="s">
        <v>3520</v>
      </c>
      <c r="D1005" s="6" t="s">
        <v>3622</v>
      </c>
    </row>
    <row r="1006" spans="1:4" x14ac:dyDescent="0.35">
      <c r="A1006" s="6" t="s">
        <v>3070</v>
      </c>
      <c r="B1006" s="6" t="s">
        <v>3069</v>
      </c>
      <c r="C1006" s="6" t="s">
        <v>1541</v>
      </c>
      <c r="D1006" s="6" t="s">
        <v>3622</v>
      </c>
    </row>
    <row r="1007" spans="1:4" x14ac:dyDescent="0.35">
      <c r="A1007" s="6" t="s">
        <v>1199</v>
      </c>
      <c r="B1007" s="6" t="s">
        <v>1198</v>
      </c>
      <c r="C1007" s="6" t="s">
        <v>1200</v>
      </c>
      <c r="D1007" s="6" t="s">
        <v>3622</v>
      </c>
    </row>
    <row r="1008" spans="1:4" x14ac:dyDescent="0.35">
      <c r="A1008" s="6" t="s">
        <v>3071</v>
      </c>
      <c r="B1008" s="6" t="s">
        <v>2539</v>
      </c>
      <c r="C1008" s="6" t="s">
        <v>1227</v>
      </c>
      <c r="D1008" s="6" t="s">
        <v>3622</v>
      </c>
    </row>
    <row r="1009" spans="1:4" x14ac:dyDescent="0.35">
      <c r="A1009" s="6" t="s">
        <v>3521</v>
      </c>
      <c r="B1009" s="6" t="s">
        <v>2540</v>
      </c>
      <c r="C1009" s="6" t="s">
        <v>1085</v>
      </c>
      <c r="D1009" s="6" t="s">
        <v>1084</v>
      </c>
    </row>
    <row r="1010" spans="1:4" x14ac:dyDescent="0.35">
      <c r="A1010" s="6" t="s">
        <v>1229</v>
      </c>
      <c r="B1010" s="6" t="s">
        <v>1228</v>
      </c>
      <c r="C1010" s="6" t="s">
        <v>1230</v>
      </c>
      <c r="D1010" s="6" t="s">
        <v>3622</v>
      </c>
    </row>
    <row r="1011" spans="1:4" x14ac:dyDescent="0.35">
      <c r="A1011" s="6" t="s">
        <v>1235</v>
      </c>
      <c r="B1011" s="6" t="s">
        <v>1234</v>
      </c>
      <c r="C1011" s="6" t="s">
        <v>1236</v>
      </c>
      <c r="D1011" s="6" t="s">
        <v>3622</v>
      </c>
    </row>
    <row r="1012" spans="1:4" x14ac:dyDescent="0.35">
      <c r="A1012" s="6" t="s">
        <v>1639</v>
      </c>
      <c r="B1012" s="6" t="s">
        <v>2233</v>
      </c>
      <c r="C1012" s="6" t="s">
        <v>64</v>
      </c>
      <c r="D1012" s="6" t="s">
        <v>3622</v>
      </c>
    </row>
    <row r="1013" spans="1:4" x14ac:dyDescent="0.35">
      <c r="A1013" s="6" t="s">
        <v>3522</v>
      </c>
      <c r="B1013" s="6" t="s">
        <v>2234</v>
      </c>
      <c r="C1013" s="6" t="s">
        <v>1244</v>
      </c>
      <c r="D1013" s="6" t="s">
        <v>3622</v>
      </c>
    </row>
    <row r="1014" spans="1:4" x14ac:dyDescent="0.35">
      <c r="A1014" s="6" t="s">
        <v>1640</v>
      </c>
      <c r="B1014" s="6" t="s">
        <v>2235</v>
      </c>
      <c r="C1014" s="6" t="s">
        <v>64</v>
      </c>
      <c r="D1014" s="6" t="s">
        <v>3624</v>
      </c>
    </row>
    <row r="1015" spans="1:4" x14ac:dyDescent="0.35">
      <c r="A1015" s="6" t="s">
        <v>1583</v>
      </c>
      <c r="B1015" s="6" t="s">
        <v>2236</v>
      </c>
      <c r="C1015" s="6" t="s">
        <v>1242</v>
      </c>
      <c r="D1015" s="6" t="s">
        <v>3622</v>
      </c>
    </row>
    <row r="1016" spans="1:4" x14ac:dyDescent="0.35">
      <c r="A1016" s="6" t="s">
        <v>2238</v>
      </c>
      <c r="B1016" s="6" t="s">
        <v>2237</v>
      </c>
      <c r="C1016" s="6" t="s">
        <v>1244</v>
      </c>
      <c r="D1016" s="6" t="s">
        <v>3622</v>
      </c>
    </row>
    <row r="1017" spans="1:4" x14ac:dyDescent="0.35">
      <c r="A1017" s="6" t="s">
        <v>2240</v>
      </c>
      <c r="B1017" s="6" t="s">
        <v>2239</v>
      </c>
      <c r="C1017" s="6" t="s">
        <v>1244</v>
      </c>
      <c r="D1017" s="6" t="s">
        <v>3622</v>
      </c>
    </row>
    <row r="1018" spans="1:4" x14ac:dyDescent="0.35">
      <c r="A1018" s="6" t="s">
        <v>2242</v>
      </c>
      <c r="B1018" s="6" t="s">
        <v>2241</v>
      </c>
      <c r="C1018" s="6" t="s">
        <v>1244</v>
      </c>
      <c r="D1018" s="6" t="s">
        <v>3622</v>
      </c>
    </row>
    <row r="1019" spans="1:4" x14ac:dyDescent="0.35">
      <c r="A1019" s="6" t="s">
        <v>1318</v>
      </c>
      <c r="B1019" s="6" t="s">
        <v>2243</v>
      </c>
      <c r="C1019" s="6" t="s">
        <v>1244</v>
      </c>
      <c r="D1019" s="6" t="s">
        <v>3622</v>
      </c>
    </row>
    <row r="1020" spans="1:4" x14ac:dyDescent="0.35">
      <c r="A1020" s="6" t="s">
        <v>1322</v>
      </c>
      <c r="B1020" s="6" t="s">
        <v>2244</v>
      </c>
      <c r="C1020" s="6" t="s">
        <v>1244</v>
      </c>
      <c r="D1020" s="6" t="s">
        <v>3622</v>
      </c>
    </row>
    <row r="1021" spans="1:4" x14ac:dyDescent="0.35">
      <c r="A1021" s="6" t="s">
        <v>2246</v>
      </c>
      <c r="B1021" s="6" t="s">
        <v>2245</v>
      </c>
      <c r="C1021" s="6" t="s">
        <v>1244</v>
      </c>
      <c r="D1021" s="6" t="s">
        <v>3622</v>
      </c>
    </row>
    <row r="1022" spans="1:4" x14ac:dyDescent="0.35">
      <c r="A1022" s="6" t="s">
        <v>3073</v>
      </c>
      <c r="B1022" s="6" t="s">
        <v>3072</v>
      </c>
      <c r="C1022" s="6" t="s">
        <v>45</v>
      </c>
      <c r="D1022" s="6" t="s">
        <v>3623</v>
      </c>
    </row>
    <row r="1023" spans="1:4" x14ac:dyDescent="0.35">
      <c r="A1023" s="6" t="s">
        <v>2248</v>
      </c>
      <c r="B1023" s="6" t="s">
        <v>2247</v>
      </c>
      <c r="C1023" s="6" t="s">
        <v>64</v>
      </c>
      <c r="D1023" s="6" t="s">
        <v>3622</v>
      </c>
    </row>
    <row r="1024" spans="1:4" x14ac:dyDescent="0.35">
      <c r="A1024" s="6" t="s">
        <v>2250</v>
      </c>
      <c r="B1024" s="6" t="s">
        <v>2249</v>
      </c>
      <c r="C1024" s="6" t="s">
        <v>1249</v>
      </c>
      <c r="D1024" s="6" t="s">
        <v>3622</v>
      </c>
    </row>
    <row r="1025" spans="1:4" x14ac:dyDescent="0.35">
      <c r="A1025" s="6" t="s">
        <v>1493</v>
      </c>
      <c r="B1025" s="6" t="s">
        <v>2251</v>
      </c>
      <c r="C1025" s="6" t="s">
        <v>1244</v>
      </c>
      <c r="D1025" s="6" t="s">
        <v>3622</v>
      </c>
    </row>
    <row r="1026" spans="1:4" x14ac:dyDescent="0.35">
      <c r="A1026" s="6" t="s">
        <v>3075</v>
      </c>
      <c r="B1026" s="6" t="s">
        <v>3074</v>
      </c>
      <c r="C1026" s="6" t="s">
        <v>64</v>
      </c>
      <c r="D1026" s="6" t="s">
        <v>3624</v>
      </c>
    </row>
    <row r="1027" spans="1:4" x14ac:dyDescent="0.35">
      <c r="A1027" s="6" t="s">
        <v>3077</v>
      </c>
      <c r="B1027" s="6" t="s">
        <v>3076</v>
      </c>
      <c r="C1027" s="6" t="s">
        <v>64</v>
      </c>
      <c r="D1027" s="6" t="s">
        <v>3624</v>
      </c>
    </row>
    <row r="1028" spans="1:4" x14ac:dyDescent="0.35">
      <c r="A1028" s="6" t="s">
        <v>3079</v>
      </c>
      <c r="B1028" s="6" t="s">
        <v>3078</v>
      </c>
      <c r="C1028" s="6" t="s">
        <v>64</v>
      </c>
      <c r="D1028" s="6" t="s">
        <v>3624</v>
      </c>
    </row>
    <row r="1029" spans="1:4" x14ac:dyDescent="0.35">
      <c r="A1029" s="6" t="s">
        <v>2253</v>
      </c>
      <c r="B1029" s="6" t="s">
        <v>2252</v>
      </c>
      <c r="C1029" s="6" t="s">
        <v>1244</v>
      </c>
      <c r="D1029" s="6" t="s">
        <v>3623</v>
      </c>
    </row>
    <row r="1030" spans="1:4" x14ac:dyDescent="0.35">
      <c r="A1030" s="6" t="s">
        <v>3523</v>
      </c>
      <c r="B1030" s="6" t="s">
        <v>1704</v>
      </c>
      <c r="C1030" s="6" t="s">
        <v>1244</v>
      </c>
      <c r="D1030" s="6" t="s">
        <v>3624</v>
      </c>
    </row>
    <row r="1031" spans="1:4" x14ac:dyDescent="0.35">
      <c r="A1031" s="6" t="s">
        <v>2255</v>
      </c>
      <c r="B1031" s="6" t="s">
        <v>2254</v>
      </c>
      <c r="C1031" s="6" t="s">
        <v>1244</v>
      </c>
      <c r="D1031" s="6" t="s">
        <v>3622</v>
      </c>
    </row>
    <row r="1032" spans="1:4" x14ac:dyDescent="0.35">
      <c r="A1032" s="6" t="s">
        <v>1592</v>
      </c>
      <c r="B1032" s="6" t="s">
        <v>2256</v>
      </c>
      <c r="C1032" s="6" t="s">
        <v>1244</v>
      </c>
      <c r="D1032" s="6" t="s">
        <v>3623</v>
      </c>
    </row>
    <row r="1033" spans="1:4" x14ac:dyDescent="0.35">
      <c r="A1033" s="6" t="s">
        <v>2258</v>
      </c>
      <c r="B1033" s="6" t="s">
        <v>2257</v>
      </c>
      <c r="C1033" s="6" t="s">
        <v>1244</v>
      </c>
      <c r="D1033" s="6" t="s">
        <v>3623</v>
      </c>
    </row>
    <row r="1034" spans="1:4" x14ac:dyDescent="0.35">
      <c r="A1034" s="6" t="s">
        <v>1404</v>
      </c>
      <c r="B1034" s="6" t="s">
        <v>2259</v>
      </c>
      <c r="C1034" s="6" t="s">
        <v>1244</v>
      </c>
      <c r="D1034" s="6" t="s">
        <v>3623</v>
      </c>
    </row>
    <row r="1035" spans="1:4" x14ac:dyDescent="0.35">
      <c r="A1035" s="6" t="s">
        <v>1405</v>
      </c>
      <c r="B1035" s="6" t="s">
        <v>2260</v>
      </c>
      <c r="C1035" s="6" t="s">
        <v>1244</v>
      </c>
      <c r="D1035" s="6" t="s">
        <v>3623</v>
      </c>
    </row>
    <row r="1036" spans="1:4" x14ac:dyDescent="0.35">
      <c r="A1036" s="6" t="s">
        <v>1435</v>
      </c>
      <c r="B1036" s="6" t="s">
        <v>2261</v>
      </c>
      <c r="C1036" s="6" t="s">
        <v>64</v>
      </c>
      <c r="D1036" s="6" t="s">
        <v>3622</v>
      </c>
    </row>
    <row r="1037" spans="1:4" x14ac:dyDescent="0.35">
      <c r="A1037" s="6" t="s">
        <v>1543</v>
      </c>
      <c r="B1037" s="6" t="s">
        <v>2262</v>
      </c>
      <c r="C1037" s="6" t="s">
        <v>1244</v>
      </c>
      <c r="D1037" s="6" t="s">
        <v>3622</v>
      </c>
    </row>
    <row r="1038" spans="1:4" x14ac:dyDescent="0.35">
      <c r="A1038" s="6" t="s">
        <v>1544</v>
      </c>
      <c r="B1038" s="6" t="s">
        <v>2263</v>
      </c>
      <c r="C1038" s="6" t="s">
        <v>1244</v>
      </c>
      <c r="D1038" s="6" t="s">
        <v>3624</v>
      </c>
    </row>
    <row r="1039" spans="1:4" x14ac:dyDescent="0.35">
      <c r="A1039" s="6" t="s">
        <v>3081</v>
      </c>
      <c r="B1039" s="6" t="s">
        <v>3080</v>
      </c>
      <c r="C1039" s="6" t="s">
        <v>1242</v>
      </c>
      <c r="D1039" s="6" t="s">
        <v>1084</v>
      </c>
    </row>
    <row r="1040" spans="1:4" x14ac:dyDescent="0.35">
      <c r="A1040" s="6" t="s">
        <v>3083</v>
      </c>
      <c r="B1040" s="6" t="s">
        <v>3082</v>
      </c>
      <c r="C1040" s="6" t="s">
        <v>64</v>
      </c>
      <c r="D1040" s="6" t="s">
        <v>1084</v>
      </c>
    </row>
    <row r="1041" spans="1:4" x14ac:dyDescent="0.35">
      <c r="A1041" s="6" t="s">
        <v>3085</v>
      </c>
      <c r="B1041" s="6" t="s">
        <v>3084</v>
      </c>
      <c r="C1041" s="6" t="s">
        <v>1244</v>
      </c>
      <c r="D1041" s="6" t="s">
        <v>3623</v>
      </c>
    </row>
    <row r="1042" spans="1:4" x14ac:dyDescent="0.35">
      <c r="A1042" s="6" t="s">
        <v>2265</v>
      </c>
      <c r="B1042" s="6" t="s">
        <v>2264</v>
      </c>
      <c r="C1042" s="6" t="s">
        <v>1244</v>
      </c>
      <c r="D1042" s="6" t="s">
        <v>3623</v>
      </c>
    </row>
    <row r="1043" spans="1:4" x14ac:dyDescent="0.35">
      <c r="A1043" s="6" t="s">
        <v>3524</v>
      </c>
      <c r="B1043" s="6" t="s">
        <v>3086</v>
      </c>
      <c r="C1043" s="6" t="s">
        <v>64</v>
      </c>
      <c r="D1043" s="6" t="s">
        <v>3622</v>
      </c>
    </row>
    <row r="1044" spans="1:4" x14ac:dyDescent="0.35">
      <c r="A1044" s="6" t="s">
        <v>3088</v>
      </c>
      <c r="B1044" s="6" t="s">
        <v>3087</v>
      </c>
      <c r="C1044" s="6" t="s">
        <v>1242</v>
      </c>
      <c r="D1044" s="6" t="s">
        <v>3623</v>
      </c>
    </row>
    <row r="1045" spans="1:4" x14ac:dyDescent="0.35">
      <c r="A1045" s="6" t="s">
        <v>3525</v>
      </c>
      <c r="B1045" s="6" t="s">
        <v>3089</v>
      </c>
      <c r="C1045" s="6" t="s">
        <v>64</v>
      </c>
      <c r="D1045" s="6" t="s">
        <v>1084</v>
      </c>
    </row>
    <row r="1046" spans="1:4" x14ac:dyDescent="0.35">
      <c r="A1046" s="6" t="s">
        <v>3091</v>
      </c>
      <c r="B1046" s="6" t="s">
        <v>3090</v>
      </c>
      <c r="C1046" s="6" t="s">
        <v>64</v>
      </c>
      <c r="D1046" s="6" t="s">
        <v>1084</v>
      </c>
    </row>
    <row r="1047" spans="1:4" x14ac:dyDescent="0.35">
      <c r="A1047" s="6" t="s">
        <v>2267</v>
      </c>
      <c r="B1047" s="6" t="s">
        <v>2266</v>
      </c>
      <c r="C1047" s="6" t="s">
        <v>1244</v>
      </c>
      <c r="D1047" s="6" t="s">
        <v>3623</v>
      </c>
    </row>
    <row r="1048" spans="1:4" x14ac:dyDescent="0.35">
      <c r="A1048" s="6" t="s">
        <v>1507</v>
      </c>
      <c r="B1048" s="6" t="s">
        <v>2268</v>
      </c>
      <c r="C1048" s="6" t="s">
        <v>1244</v>
      </c>
      <c r="D1048" s="6" t="s">
        <v>3624</v>
      </c>
    </row>
    <row r="1049" spans="1:4" x14ac:dyDescent="0.35">
      <c r="A1049" s="6" t="s">
        <v>2270</v>
      </c>
      <c r="B1049" s="6" t="s">
        <v>2269</v>
      </c>
      <c r="C1049" s="6" t="s">
        <v>1244</v>
      </c>
      <c r="D1049" s="6" t="s">
        <v>3622</v>
      </c>
    </row>
    <row r="1050" spans="1:4" x14ac:dyDescent="0.35">
      <c r="A1050" s="6" t="s">
        <v>2272</v>
      </c>
      <c r="B1050" s="6" t="s">
        <v>2271</v>
      </c>
      <c r="C1050" s="6" t="s">
        <v>1244</v>
      </c>
      <c r="D1050" s="6" t="s">
        <v>3624</v>
      </c>
    </row>
    <row r="1051" spans="1:4" x14ac:dyDescent="0.35">
      <c r="A1051" s="6" t="s">
        <v>3093</v>
      </c>
      <c r="B1051" s="6" t="s">
        <v>3092</v>
      </c>
      <c r="C1051" s="6" t="s">
        <v>64</v>
      </c>
      <c r="D1051" s="6" t="s">
        <v>1084</v>
      </c>
    </row>
    <row r="1052" spans="1:4" x14ac:dyDescent="0.35">
      <c r="A1052" s="6" t="s">
        <v>1579</v>
      </c>
      <c r="B1052" s="6" t="s">
        <v>2273</v>
      </c>
      <c r="C1052" s="6" t="s">
        <v>1244</v>
      </c>
      <c r="D1052" s="6" t="s">
        <v>3623</v>
      </c>
    </row>
    <row r="1053" spans="1:4" x14ac:dyDescent="0.35">
      <c r="A1053" s="6" t="s">
        <v>3526</v>
      </c>
      <c r="B1053" s="6" t="s">
        <v>3094</v>
      </c>
      <c r="C1053" s="6" t="s">
        <v>45</v>
      </c>
      <c r="D1053" s="6" t="s">
        <v>3623</v>
      </c>
    </row>
    <row r="1054" spans="1:4" x14ac:dyDescent="0.35">
      <c r="A1054" s="6" t="s">
        <v>3096</v>
      </c>
      <c r="B1054" s="6" t="s">
        <v>3095</v>
      </c>
      <c r="C1054" s="6" t="s">
        <v>45</v>
      </c>
      <c r="D1054" s="6" t="s">
        <v>3623</v>
      </c>
    </row>
    <row r="1055" spans="1:4" x14ac:dyDescent="0.35">
      <c r="A1055" s="6" t="s">
        <v>3527</v>
      </c>
      <c r="B1055" s="6" t="s">
        <v>3097</v>
      </c>
      <c r="C1055" s="6" t="s">
        <v>45</v>
      </c>
      <c r="D1055" s="6" t="s">
        <v>3623</v>
      </c>
    </row>
    <row r="1056" spans="1:4" x14ac:dyDescent="0.35">
      <c r="A1056" s="6" t="s">
        <v>1487</v>
      </c>
      <c r="B1056" s="6" t="s">
        <v>2274</v>
      </c>
      <c r="C1056" s="6" t="s">
        <v>1244</v>
      </c>
      <c r="D1056" s="6" t="s">
        <v>3622</v>
      </c>
    </row>
    <row r="1057" spans="1:4" x14ac:dyDescent="0.35">
      <c r="A1057" s="6" t="s">
        <v>3099</v>
      </c>
      <c r="B1057" s="6" t="s">
        <v>3098</v>
      </c>
      <c r="C1057" s="6" t="s">
        <v>1244</v>
      </c>
      <c r="D1057" s="6" t="s">
        <v>3624</v>
      </c>
    </row>
    <row r="1058" spans="1:4" x14ac:dyDescent="0.35">
      <c r="A1058" s="6" t="s">
        <v>1422</v>
      </c>
      <c r="B1058" s="6" t="s">
        <v>2275</v>
      </c>
      <c r="C1058" s="6" t="s">
        <v>1244</v>
      </c>
      <c r="D1058" s="6" t="s">
        <v>3623</v>
      </c>
    </row>
    <row r="1059" spans="1:4" x14ac:dyDescent="0.35">
      <c r="A1059" s="6" t="s">
        <v>1423</v>
      </c>
      <c r="B1059" s="6" t="s">
        <v>2276</v>
      </c>
      <c r="C1059" s="6" t="s">
        <v>1244</v>
      </c>
      <c r="D1059" s="6" t="s">
        <v>3623</v>
      </c>
    </row>
    <row r="1060" spans="1:4" x14ac:dyDescent="0.35">
      <c r="A1060" s="6" t="s">
        <v>2278</v>
      </c>
      <c r="B1060" s="6" t="s">
        <v>2277</v>
      </c>
      <c r="C1060" s="6" t="s">
        <v>1244</v>
      </c>
      <c r="D1060" s="6" t="s">
        <v>3623</v>
      </c>
    </row>
    <row r="1061" spans="1:4" x14ac:dyDescent="0.35">
      <c r="A1061" s="6" t="s">
        <v>1570</v>
      </c>
      <c r="B1061" s="6" t="s">
        <v>2279</v>
      </c>
      <c r="C1061" s="6" t="s">
        <v>1244</v>
      </c>
      <c r="D1061" s="6" t="s">
        <v>3622</v>
      </c>
    </row>
    <row r="1062" spans="1:4" x14ac:dyDescent="0.35">
      <c r="A1062" s="6" t="s">
        <v>1567</v>
      </c>
      <c r="B1062" s="6" t="s">
        <v>2280</v>
      </c>
      <c r="C1062" s="6" t="s">
        <v>1244</v>
      </c>
      <c r="D1062" s="6" t="s">
        <v>3624</v>
      </c>
    </row>
    <row r="1063" spans="1:4" x14ac:dyDescent="0.35">
      <c r="A1063" s="6" t="s">
        <v>2282</v>
      </c>
      <c r="B1063" s="6" t="s">
        <v>2281</v>
      </c>
      <c r="C1063" s="6" t="s">
        <v>1244</v>
      </c>
      <c r="D1063" s="6" t="s">
        <v>3623</v>
      </c>
    </row>
    <row r="1064" spans="1:4" x14ac:dyDescent="0.35">
      <c r="A1064" s="6" t="s">
        <v>1642</v>
      </c>
      <c r="B1064" s="6" t="s">
        <v>2283</v>
      </c>
      <c r="C1064" s="6" t="s">
        <v>1244</v>
      </c>
      <c r="D1064" s="6" t="s">
        <v>3622</v>
      </c>
    </row>
    <row r="1065" spans="1:4" x14ac:dyDescent="0.35">
      <c r="A1065" s="6" t="s">
        <v>1643</v>
      </c>
      <c r="B1065" s="6" t="s">
        <v>2284</v>
      </c>
      <c r="C1065" s="6" t="s">
        <v>1244</v>
      </c>
      <c r="D1065" s="6" t="s">
        <v>3624</v>
      </c>
    </row>
    <row r="1066" spans="1:4" x14ac:dyDescent="0.35">
      <c r="A1066" s="6" t="s">
        <v>3528</v>
      </c>
      <c r="B1066" s="6" t="s">
        <v>1705</v>
      </c>
      <c r="C1066" s="6" t="s">
        <v>1689</v>
      </c>
      <c r="D1066" s="6" t="s">
        <v>3624</v>
      </c>
    </row>
    <row r="1067" spans="1:4" x14ac:dyDescent="0.35">
      <c r="A1067" s="6" t="s">
        <v>1311</v>
      </c>
      <c r="B1067" s="6" t="s">
        <v>2285</v>
      </c>
      <c r="C1067" s="6" t="s">
        <v>1244</v>
      </c>
      <c r="D1067" s="6" t="s">
        <v>3622</v>
      </c>
    </row>
    <row r="1068" spans="1:4" x14ac:dyDescent="0.35">
      <c r="A1068" s="6" t="s">
        <v>1569</v>
      </c>
      <c r="B1068" s="6" t="s">
        <v>2286</v>
      </c>
      <c r="C1068" s="6" t="s">
        <v>64</v>
      </c>
      <c r="D1068" s="6" t="s">
        <v>3624</v>
      </c>
    </row>
    <row r="1069" spans="1:4" x14ac:dyDescent="0.35">
      <c r="A1069" s="6" t="s">
        <v>1568</v>
      </c>
      <c r="B1069" s="6" t="s">
        <v>2287</v>
      </c>
      <c r="C1069" s="6" t="s">
        <v>1244</v>
      </c>
      <c r="D1069" s="6" t="s">
        <v>3622</v>
      </c>
    </row>
    <row r="1070" spans="1:4" x14ac:dyDescent="0.35">
      <c r="A1070" s="6" t="s">
        <v>1313</v>
      </c>
      <c r="B1070" s="6" t="s">
        <v>2288</v>
      </c>
      <c r="C1070" s="6" t="s">
        <v>1244</v>
      </c>
      <c r="D1070" s="6" t="s">
        <v>3622</v>
      </c>
    </row>
    <row r="1071" spans="1:4" x14ac:dyDescent="0.35">
      <c r="A1071" s="6" t="s">
        <v>3101</v>
      </c>
      <c r="B1071" s="6" t="s">
        <v>3100</v>
      </c>
      <c r="C1071" s="6" t="s">
        <v>64</v>
      </c>
      <c r="D1071" s="6" t="s">
        <v>1084</v>
      </c>
    </row>
    <row r="1072" spans="1:4" x14ac:dyDescent="0.35">
      <c r="A1072" s="6" t="s">
        <v>3529</v>
      </c>
      <c r="B1072" s="6" t="s">
        <v>2289</v>
      </c>
      <c r="C1072" s="6" t="s">
        <v>1244</v>
      </c>
      <c r="D1072" s="6" t="s">
        <v>3622</v>
      </c>
    </row>
    <row r="1073" spans="1:4" x14ac:dyDescent="0.35">
      <c r="A1073" s="6" t="s">
        <v>3530</v>
      </c>
      <c r="B1073" s="6" t="s">
        <v>2290</v>
      </c>
      <c r="C1073" s="6" t="s">
        <v>1244</v>
      </c>
      <c r="D1073" s="6" t="s">
        <v>3624</v>
      </c>
    </row>
    <row r="1074" spans="1:4" x14ac:dyDescent="0.35">
      <c r="A1074" s="6" t="s">
        <v>2292</v>
      </c>
      <c r="B1074" s="6" t="s">
        <v>2291</v>
      </c>
      <c r="C1074" s="6" t="s">
        <v>1244</v>
      </c>
      <c r="D1074" s="6" t="s">
        <v>3623</v>
      </c>
    </row>
    <row r="1075" spans="1:4" x14ac:dyDescent="0.35">
      <c r="A1075" s="6" t="s">
        <v>1312</v>
      </c>
      <c r="B1075" s="6" t="s">
        <v>2293</v>
      </c>
      <c r="C1075" s="6" t="s">
        <v>1244</v>
      </c>
      <c r="D1075" s="6" t="s">
        <v>3624</v>
      </c>
    </row>
    <row r="1076" spans="1:4" x14ac:dyDescent="0.35">
      <c r="A1076" s="6" t="s">
        <v>2295</v>
      </c>
      <c r="B1076" s="6" t="s">
        <v>2294</v>
      </c>
      <c r="C1076" s="6" t="s">
        <v>64</v>
      </c>
      <c r="D1076" s="6" t="s">
        <v>3622</v>
      </c>
    </row>
    <row r="1077" spans="1:4" x14ac:dyDescent="0.35">
      <c r="A1077" s="6" t="s">
        <v>3531</v>
      </c>
      <c r="B1077" s="6" t="s">
        <v>3102</v>
      </c>
      <c r="C1077" s="6" t="s">
        <v>64</v>
      </c>
      <c r="D1077" s="6" t="s">
        <v>1084</v>
      </c>
    </row>
    <row r="1078" spans="1:4" x14ac:dyDescent="0.35">
      <c r="A1078" s="6" t="s">
        <v>3532</v>
      </c>
      <c r="B1078" s="6" t="s">
        <v>3103</v>
      </c>
      <c r="C1078" s="6" t="s">
        <v>64</v>
      </c>
      <c r="D1078" s="6" t="s">
        <v>3622</v>
      </c>
    </row>
    <row r="1079" spans="1:4" x14ac:dyDescent="0.35">
      <c r="A1079" s="6" t="s">
        <v>3105</v>
      </c>
      <c r="B1079" s="6" t="s">
        <v>3104</v>
      </c>
      <c r="C1079" s="6" t="s">
        <v>64</v>
      </c>
      <c r="D1079" s="6" t="s">
        <v>1084</v>
      </c>
    </row>
    <row r="1080" spans="1:4" x14ac:dyDescent="0.35">
      <c r="A1080" s="6" t="s">
        <v>2297</v>
      </c>
      <c r="B1080" s="6" t="s">
        <v>2296</v>
      </c>
      <c r="C1080" s="6" t="s">
        <v>64</v>
      </c>
      <c r="D1080" s="6" t="s">
        <v>3622</v>
      </c>
    </row>
    <row r="1081" spans="1:4" x14ac:dyDescent="0.35">
      <c r="A1081" s="6" t="s">
        <v>1505</v>
      </c>
      <c r="B1081" s="6" t="s">
        <v>2298</v>
      </c>
      <c r="C1081" s="6" t="s">
        <v>1244</v>
      </c>
      <c r="D1081" s="6" t="s">
        <v>3623</v>
      </c>
    </row>
    <row r="1082" spans="1:4" x14ac:dyDescent="0.35">
      <c r="A1082" s="6" t="s">
        <v>3107</v>
      </c>
      <c r="B1082" s="6" t="s">
        <v>3106</v>
      </c>
      <c r="C1082" s="6" t="s">
        <v>1244</v>
      </c>
      <c r="D1082" s="6" t="s">
        <v>3623</v>
      </c>
    </row>
    <row r="1083" spans="1:4" x14ac:dyDescent="0.35">
      <c r="A1083" s="6" t="s">
        <v>1314</v>
      </c>
      <c r="B1083" s="6" t="s">
        <v>2299</v>
      </c>
      <c r="C1083" s="6" t="s">
        <v>1244</v>
      </c>
      <c r="D1083" s="6" t="s">
        <v>3624</v>
      </c>
    </row>
    <row r="1084" spans="1:4" x14ac:dyDescent="0.35">
      <c r="A1084" s="6" t="s">
        <v>3109</v>
      </c>
      <c r="B1084" s="6" t="s">
        <v>3108</v>
      </c>
      <c r="C1084" s="6" t="s">
        <v>1244</v>
      </c>
      <c r="D1084" s="6" t="s">
        <v>1084</v>
      </c>
    </row>
    <row r="1085" spans="1:4" x14ac:dyDescent="0.35">
      <c r="A1085" s="6" t="s">
        <v>3533</v>
      </c>
      <c r="B1085" s="6" t="s">
        <v>3110</v>
      </c>
      <c r="C1085" s="6" t="s">
        <v>64</v>
      </c>
      <c r="D1085" s="6" t="s">
        <v>1084</v>
      </c>
    </row>
    <row r="1086" spans="1:4" x14ac:dyDescent="0.35">
      <c r="A1086" s="6" t="s">
        <v>3534</v>
      </c>
      <c r="B1086" s="6" t="s">
        <v>3111</v>
      </c>
      <c r="C1086" s="6" t="s">
        <v>64</v>
      </c>
      <c r="D1086" s="6" t="s">
        <v>3624</v>
      </c>
    </row>
    <row r="1087" spans="1:4" x14ac:dyDescent="0.35">
      <c r="A1087" s="6" t="s">
        <v>3535</v>
      </c>
      <c r="B1087" s="6" t="s">
        <v>3112</v>
      </c>
      <c r="C1087" s="6" t="s">
        <v>64</v>
      </c>
      <c r="D1087" s="6" t="s">
        <v>3622</v>
      </c>
    </row>
    <row r="1088" spans="1:4" x14ac:dyDescent="0.35">
      <c r="A1088" s="6" t="s">
        <v>1513</v>
      </c>
      <c r="B1088" s="6" t="s">
        <v>2300</v>
      </c>
      <c r="C1088" s="6" t="s">
        <v>64</v>
      </c>
      <c r="D1088" s="6" t="s">
        <v>3622</v>
      </c>
    </row>
    <row r="1089" spans="1:4" x14ac:dyDescent="0.35">
      <c r="A1089" s="6" t="s">
        <v>1514</v>
      </c>
      <c r="B1089" s="6" t="s">
        <v>2301</v>
      </c>
      <c r="C1089" s="6" t="s">
        <v>64</v>
      </c>
      <c r="D1089" s="6" t="s">
        <v>3624</v>
      </c>
    </row>
    <row r="1090" spans="1:4" x14ac:dyDescent="0.35">
      <c r="A1090" s="6" t="s">
        <v>3114</v>
      </c>
      <c r="B1090" s="6" t="s">
        <v>3113</v>
      </c>
      <c r="C1090" s="6" t="s">
        <v>1244</v>
      </c>
      <c r="D1090" s="6" t="s">
        <v>3622</v>
      </c>
    </row>
    <row r="1091" spans="1:4" x14ac:dyDescent="0.35">
      <c r="A1091" s="6" t="s">
        <v>3116</v>
      </c>
      <c r="B1091" s="6" t="s">
        <v>3115</v>
      </c>
      <c r="C1091" s="6" t="s">
        <v>1249</v>
      </c>
      <c r="D1091" s="6" t="s">
        <v>3624</v>
      </c>
    </row>
    <row r="1092" spans="1:4" x14ac:dyDescent="0.35">
      <c r="A1092" s="6" t="s">
        <v>3118</v>
      </c>
      <c r="B1092" s="6" t="s">
        <v>3117</v>
      </c>
      <c r="C1092" s="6" t="s">
        <v>1244</v>
      </c>
      <c r="D1092" s="6" t="s">
        <v>3623</v>
      </c>
    </row>
    <row r="1093" spans="1:4" x14ac:dyDescent="0.35">
      <c r="A1093" s="6" t="s">
        <v>3120</v>
      </c>
      <c r="B1093" s="6" t="s">
        <v>3119</v>
      </c>
      <c r="C1093" s="6" t="s">
        <v>1249</v>
      </c>
      <c r="D1093" s="6" t="s">
        <v>1084</v>
      </c>
    </row>
    <row r="1094" spans="1:4" x14ac:dyDescent="0.35">
      <c r="A1094" s="6" t="s">
        <v>2303</v>
      </c>
      <c r="B1094" s="6" t="s">
        <v>2302</v>
      </c>
      <c r="C1094" s="6" t="s">
        <v>1244</v>
      </c>
      <c r="D1094" s="6" t="s">
        <v>3622</v>
      </c>
    </row>
    <row r="1095" spans="1:4" x14ac:dyDescent="0.35">
      <c r="A1095" s="6" t="s">
        <v>1523</v>
      </c>
      <c r="B1095" s="6" t="s">
        <v>2304</v>
      </c>
      <c r="C1095" s="6" t="s">
        <v>1244</v>
      </c>
      <c r="D1095" s="6" t="s">
        <v>3622</v>
      </c>
    </row>
    <row r="1096" spans="1:4" x14ac:dyDescent="0.35">
      <c r="A1096" s="6" t="s">
        <v>1524</v>
      </c>
      <c r="B1096" s="6" t="s">
        <v>2305</v>
      </c>
      <c r="C1096" s="6" t="s">
        <v>1244</v>
      </c>
      <c r="D1096" s="6" t="s">
        <v>3624</v>
      </c>
    </row>
    <row r="1097" spans="1:4" x14ac:dyDescent="0.35">
      <c r="A1097" s="6" t="s">
        <v>3536</v>
      </c>
      <c r="B1097" s="6" t="s">
        <v>2306</v>
      </c>
      <c r="C1097" s="6" t="s">
        <v>1244</v>
      </c>
      <c r="D1097" s="6" t="s">
        <v>3623</v>
      </c>
    </row>
    <row r="1098" spans="1:4" x14ac:dyDescent="0.35">
      <c r="A1098" s="6" t="s">
        <v>3122</v>
      </c>
      <c r="B1098" s="6" t="s">
        <v>3121</v>
      </c>
      <c r="C1098" s="6" t="s">
        <v>64</v>
      </c>
      <c r="D1098" s="6" t="s">
        <v>1084</v>
      </c>
    </row>
    <row r="1099" spans="1:4" x14ac:dyDescent="0.35">
      <c r="A1099" s="6" t="s">
        <v>3124</v>
      </c>
      <c r="B1099" s="6" t="s">
        <v>3123</v>
      </c>
      <c r="C1099" s="6" t="s">
        <v>64</v>
      </c>
      <c r="D1099" s="6" t="s">
        <v>3622</v>
      </c>
    </row>
    <row r="1100" spans="1:4" x14ac:dyDescent="0.35">
      <c r="A1100" s="6" t="s">
        <v>3125</v>
      </c>
      <c r="B1100" s="6" t="s">
        <v>3125</v>
      </c>
      <c r="C1100" s="6" t="s">
        <v>64</v>
      </c>
      <c r="D1100" s="6" t="s">
        <v>3622</v>
      </c>
    </row>
    <row r="1101" spans="1:4" x14ac:dyDescent="0.35">
      <c r="A1101" s="6" t="s">
        <v>3126</v>
      </c>
      <c r="B1101" s="6" t="s">
        <v>3126</v>
      </c>
      <c r="C1101" s="6" t="s">
        <v>64</v>
      </c>
      <c r="D1101" s="6" t="s">
        <v>3622</v>
      </c>
    </row>
    <row r="1102" spans="1:4" x14ac:dyDescent="0.35">
      <c r="A1102" s="6" t="s">
        <v>1492</v>
      </c>
      <c r="B1102" s="6" t="s">
        <v>2307</v>
      </c>
      <c r="C1102" s="6" t="s">
        <v>64</v>
      </c>
      <c r="D1102" s="6" t="s">
        <v>3622</v>
      </c>
    </row>
    <row r="1103" spans="1:4" x14ac:dyDescent="0.35">
      <c r="A1103" s="6" t="s">
        <v>3127</v>
      </c>
      <c r="B1103" s="6" t="s">
        <v>3127</v>
      </c>
      <c r="C1103" s="6" t="s">
        <v>1244</v>
      </c>
      <c r="D1103" s="6" t="s">
        <v>3623</v>
      </c>
    </row>
    <row r="1104" spans="1:4" x14ac:dyDescent="0.35">
      <c r="A1104" s="6" t="s">
        <v>3537</v>
      </c>
      <c r="B1104" s="6" t="s">
        <v>3128</v>
      </c>
      <c r="C1104" s="6" t="s">
        <v>1242</v>
      </c>
      <c r="D1104" s="6" t="s">
        <v>1084</v>
      </c>
    </row>
    <row r="1105" spans="1:4" x14ac:dyDescent="0.35">
      <c r="A1105" s="6" t="s">
        <v>3130</v>
      </c>
      <c r="B1105" s="6" t="s">
        <v>3129</v>
      </c>
      <c r="C1105" s="6" t="s">
        <v>1244</v>
      </c>
      <c r="D1105" s="6" t="s">
        <v>3623</v>
      </c>
    </row>
    <row r="1106" spans="1:4" x14ac:dyDescent="0.35">
      <c r="A1106" s="6" t="s">
        <v>3132</v>
      </c>
      <c r="B1106" s="6" t="s">
        <v>3131</v>
      </c>
      <c r="C1106" s="6" t="s">
        <v>64</v>
      </c>
      <c r="D1106" s="6" t="s">
        <v>1084</v>
      </c>
    </row>
    <row r="1107" spans="1:4" x14ac:dyDescent="0.35">
      <c r="A1107" s="6" t="s">
        <v>2309</v>
      </c>
      <c r="B1107" s="6" t="s">
        <v>2308</v>
      </c>
      <c r="C1107" s="6" t="s">
        <v>1244</v>
      </c>
      <c r="D1107" s="6" t="s">
        <v>3622</v>
      </c>
    </row>
    <row r="1108" spans="1:4" x14ac:dyDescent="0.35">
      <c r="A1108" s="6" t="s">
        <v>2311</v>
      </c>
      <c r="B1108" s="6" t="s">
        <v>2310</v>
      </c>
      <c r="C1108" s="6" t="s">
        <v>1244</v>
      </c>
      <c r="D1108" s="6" t="s">
        <v>3622</v>
      </c>
    </row>
    <row r="1109" spans="1:4" x14ac:dyDescent="0.35">
      <c r="A1109" s="6" t="s">
        <v>2313</v>
      </c>
      <c r="B1109" s="6" t="s">
        <v>2312</v>
      </c>
      <c r="C1109" s="6" t="s">
        <v>1244</v>
      </c>
      <c r="D1109" s="6" t="s">
        <v>3624</v>
      </c>
    </row>
    <row r="1110" spans="1:4" x14ac:dyDescent="0.35">
      <c r="A1110" s="6" t="s">
        <v>2315</v>
      </c>
      <c r="B1110" s="6" t="s">
        <v>2314</v>
      </c>
      <c r="C1110" s="6" t="s">
        <v>1244</v>
      </c>
      <c r="D1110" s="6" t="s">
        <v>3623</v>
      </c>
    </row>
    <row r="1111" spans="1:4" x14ac:dyDescent="0.35">
      <c r="A1111" s="6" t="s">
        <v>3133</v>
      </c>
      <c r="B1111" s="6" t="s">
        <v>3133</v>
      </c>
      <c r="C1111" s="6" t="s">
        <v>1249</v>
      </c>
      <c r="D1111" s="6" t="s">
        <v>3622</v>
      </c>
    </row>
    <row r="1112" spans="1:4" x14ac:dyDescent="0.35">
      <c r="A1112" s="6" t="s">
        <v>3135</v>
      </c>
      <c r="B1112" s="6" t="s">
        <v>3134</v>
      </c>
      <c r="C1112" s="6" t="s">
        <v>1249</v>
      </c>
      <c r="D1112" s="6" t="s">
        <v>3624</v>
      </c>
    </row>
    <row r="1113" spans="1:4" x14ac:dyDescent="0.35">
      <c r="A1113" s="6" t="s">
        <v>2317</v>
      </c>
      <c r="B1113" s="6" t="s">
        <v>2316</v>
      </c>
      <c r="C1113" s="6" t="s">
        <v>1244</v>
      </c>
      <c r="D1113" s="6" t="s">
        <v>3622</v>
      </c>
    </row>
    <row r="1114" spans="1:4" x14ac:dyDescent="0.35">
      <c r="A1114" s="6" t="s">
        <v>1498</v>
      </c>
      <c r="B1114" s="6" t="s">
        <v>2318</v>
      </c>
      <c r="C1114" s="6" t="s">
        <v>1244</v>
      </c>
      <c r="D1114" s="6" t="s">
        <v>3624</v>
      </c>
    </row>
    <row r="1115" spans="1:4" x14ac:dyDescent="0.35">
      <c r="A1115" s="6" t="s">
        <v>2320</v>
      </c>
      <c r="B1115" s="6" t="s">
        <v>2319</v>
      </c>
      <c r="C1115" s="6" t="s">
        <v>1244</v>
      </c>
      <c r="D1115" s="6" t="s">
        <v>3622</v>
      </c>
    </row>
    <row r="1116" spans="1:4" x14ac:dyDescent="0.35">
      <c r="A1116" s="6" t="s">
        <v>3137</v>
      </c>
      <c r="B1116" s="6" t="s">
        <v>3136</v>
      </c>
      <c r="C1116" s="6" t="s">
        <v>64</v>
      </c>
      <c r="D1116" s="6" t="s">
        <v>1084</v>
      </c>
    </row>
    <row r="1117" spans="1:4" x14ac:dyDescent="0.35">
      <c r="A1117" s="6" t="s">
        <v>3138</v>
      </c>
      <c r="B1117" s="6" t="s">
        <v>3138</v>
      </c>
      <c r="C1117" s="6" t="s">
        <v>64</v>
      </c>
      <c r="D1117" s="6" t="s">
        <v>1084</v>
      </c>
    </row>
    <row r="1118" spans="1:4" x14ac:dyDescent="0.35">
      <c r="A1118" s="6" t="s">
        <v>1585</v>
      </c>
      <c r="B1118" s="6" t="s">
        <v>2321</v>
      </c>
      <c r="C1118" s="6" t="s">
        <v>1244</v>
      </c>
      <c r="D1118" s="6" t="s">
        <v>3623</v>
      </c>
    </row>
    <row r="1119" spans="1:4" x14ac:dyDescent="0.35">
      <c r="A1119" s="6" t="s">
        <v>2323</v>
      </c>
      <c r="B1119" s="6" t="s">
        <v>2322</v>
      </c>
      <c r="C1119" s="6" t="s">
        <v>1244</v>
      </c>
      <c r="D1119" s="6" t="s">
        <v>3622</v>
      </c>
    </row>
    <row r="1120" spans="1:4" x14ac:dyDescent="0.35">
      <c r="A1120" s="6" t="s">
        <v>1641</v>
      </c>
      <c r="B1120" s="6" t="s">
        <v>2324</v>
      </c>
      <c r="C1120" s="6" t="s">
        <v>1244</v>
      </c>
      <c r="D1120" s="6" t="s">
        <v>3623</v>
      </c>
    </row>
    <row r="1121" spans="1:4" x14ac:dyDescent="0.35">
      <c r="A1121" s="6" t="s">
        <v>3538</v>
      </c>
      <c r="B1121" s="6" t="s">
        <v>2325</v>
      </c>
      <c r="C1121" s="6" t="s">
        <v>1244</v>
      </c>
      <c r="D1121" s="6" t="s">
        <v>3622</v>
      </c>
    </row>
    <row r="1122" spans="1:4" x14ac:dyDescent="0.35">
      <c r="A1122" s="6" t="s">
        <v>3139</v>
      </c>
      <c r="B1122" s="6" t="s">
        <v>2326</v>
      </c>
      <c r="C1122" s="6" t="s">
        <v>1689</v>
      </c>
      <c r="D1122" s="6" t="s">
        <v>3624</v>
      </c>
    </row>
    <row r="1123" spans="1:4" x14ac:dyDescent="0.35">
      <c r="A1123" s="6" t="s">
        <v>3141</v>
      </c>
      <c r="B1123" s="6" t="s">
        <v>3140</v>
      </c>
      <c r="C1123" s="6" t="s">
        <v>1244</v>
      </c>
      <c r="D1123" s="6" t="s">
        <v>3623</v>
      </c>
    </row>
    <row r="1124" spans="1:4" x14ac:dyDescent="0.35">
      <c r="A1124" s="6" t="s">
        <v>3143</v>
      </c>
      <c r="B1124" s="6" t="s">
        <v>3142</v>
      </c>
      <c r="C1124" s="6" t="s">
        <v>64</v>
      </c>
      <c r="D1124" s="6" t="s">
        <v>1084</v>
      </c>
    </row>
    <row r="1125" spans="1:4" x14ac:dyDescent="0.35">
      <c r="A1125" s="6" t="s">
        <v>3145</v>
      </c>
      <c r="B1125" s="6" t="s">
        <v>3144</v>
      </c>
      <c r="C1125" s="6" t="s">
        <v>1242</v>
      </c>
      <c r="D1125" s="6" t="s">
        <v>1084</v>
      </c>
    </row>
    <row r="1126" spans="1:4" x14ac:dyDescent="0.35">
      <c r="A1126" s="6" t="s">
        <v>3147</v>
      </c>
      <c r="B1126" s="6" t="s">
        <v>3146</v>
      </c>
      <c r="C1126" s="6" t="s">
        <v>1244</v>
      </c>
      <c r="D1126" s="6" t="s">
        <v>1084</v>
      </c>
    </row>
    <row r="1127" spans="1:4" x14ac:dyDescent="0.35">
      <c r="A1127" s="6" t="s">
        <v>1607</v>
      </c>
      <c r="B1127" s="6" t="s">
        <v>2327</v>
      </c>
      <c r="C1127" s="6" t="s">
        <v>1244</v>
      </c>
      <c r="D1127" s="6" t="s">
        <v>3623</v>
      </c>
    </row>
    <row r="1128" spans="1:4" x14ac:dyDescent="0.35">
      <c r="A1128" s="6" t="s">
        <v>3539</v>
      </c>
      <c r="B1128" s="6" t="s">
        <v>2328</v>
      </c>
      <c r="C1128" s="6" t="s">
        <v>1244</v>
      </c>
      <c r="D1128" s="6" t="s">
        <v>3623</v>
      </c>
    </row>
    <row r="1129" spans="1:4" x14ac:dyDescent="0.35">
      <c r="A1129" s="6" t="s">
        <v>3540</v>
      </c>
      <c r="B1129" s="6" t="s">
        <v>3148</v>
      </c>
      <c r="C1129" s="6" t="s">
        <v>1244</v>
      </c>
      <c r="D1129" s="6" t="s">
        <v>3622</v>
      </c>
    </row>
    <row r="1130" spans="1:4" x14ac:dyDescent="0.35">
      <c r="A1130" s="6" t="s">
        <v>3541</v>
      </c>
      <c r="B1130" s="6" t="s">
        <v>3149</v>
      </c>
      <c r="C1130" s="6" t="s">
        <v>1244</v>
      </c>
      <c r="D1130" s="6" t="s">
        <v>3624</v>
      </c>
    </row>
    <row r="1131" spans="1:4" x14ac:dyDescent="0.35">
      <c r="A1131" s="6" t="s">
        <v>1456</v>
      </c>
      <c r="B1131" s="6" t="s">
        <v>2329</v>
      </c>
      <c r="C1131" s="6" t="s">
        <v>1244</v>
      </c>
      <c r="D1131" s="6" t="s">
        <v>3622</v>
      </c>
    </row>
    <row r="1132" spans="1:4" x14ac:dyDescent="0.35">
      <c r="A1132" s="6" t="s">
        <v>1457</v>
      </c>
      <c r="B1132" s="6" t="s">
        <v>2330</v>
      </c>
      <c r="C1132" s="6" t="s">
        <v>1244</v>
      </c>
      <c r="D1132" s="6" t="s">
        <v>3624</v>
      </c>
    </row>
    <row r="1133" spans="1:4" x14ac:dyDescent="0.35">
      <c r="A1133" s="6" t="s">
        <v>2332</v>
      </c>
      <c r="B1133" s="6" t="s">
        <v>2331</v>
      </c>
      <c r="C1133" s="6" t="s">
        <v>1244</v>
      </c>
      <c r="D1133" s="6" t="s">
        <v>3623</v>
      </c>
    </row>
    <row r="1134" spans="1:4" x14ac:dyDescent="0.35">
      <c r="A1134" s="6" t="s">
        <v>3151</v>
      </c>
      <c r="B1134" s="6" t="s">
        <v>3150</v>
      </c>
      <c r="C1134" s="6" t="s">
        <v>1242</v>
      </c>
      <c r="D1134" s="6" t="s">
        <v>1084</v>
      </c>
    </row>
    <row r="1135" spans="1:4" x14ac:dyDescent="0.35">
      <c r="A1135" s="6" t="s">
        <v>3153</v>
      </c>
      <c r="B1135" s="6" t="s">
        <v>3152</v>
      </c>
      <c r="C1135" s="6" t="s">
        <v>45</v>
      </c>
      <c r="D1135" s="6" t="s">
        <v>3623</v>
      </c>
    </row>
    <row r="1136" spans="1:4" x14ac:dyDescent="0.35">
      <c r="A1136" s="6" t="s">
        <v>1298</v>
      </c>
      <c r="B1136" s="6" t="s">
        <v>2333</v>
      </c>
      <c r="C1136" s="6" t="s">
        <v>1249</v>
      </c>
      <c r="D1136" s="6" t="s">
        <v>3622</v>
      </c>
    </row>
    <row r="1137" spans="1:4" x14ac:dyDescent="0.35">
      <c r="A1137" s="6" t="s">
        <v>3155</v>
      </c>
      <c r="B1137" s="6" t="s">
        <v>3154</v>
      </c>
      <c r="C1137" s="6" t="s">
        <v>1249</v>
      </c>
      <c r="D1137" s="6" t="s">
        <v>1084</v>
      </c>
    </row>
    <row r="1138" spans="1:4" x14ac:dyDescent="0.35">
      <c r="A1138" s="6" t="s">
        <v>2335</v>
      </c>
      <c r="B1138" s="6" t="s">
        <v>2334</v>
      </c>
      <c r="C1138" s="6" t="s">
        <v>1249</v>
      </c>
      <c r="D1138" s="6" t="s">
        <v>3624</v>
      </c>
    </row>
    <row r="1139" spans="1:4" x14ac:dyDescent="0.35">
      <c r="A1139" s="6" t="s">
        <v>3542</v>
      </c>
      <c r="B1139" s="6" t="s">
        <v>3156</v>
      </c>
      <c r="C1139" s="6" t="s">
        <v>1244</v>
      </c>
      <c r="D1139" s="6" t="s">
        <v>3623</v>
      </c>
    </row>
    <row r="1140" spans="1:4" x14ac:dyDescent="0.35">
      <c r="A1140" s="6" t="s">
        <v>3158</v>
      </c>
      <c r="B1140" s="6" t="s">
        <v>3157</v>
      </c>
      <c r="C1140" s="6" t="s">
        <v>1244</v>
      </c>
      <c r="D1140" s="6" t="s">
        <v>1084</v>
      </c>
    </row>
    <row r="1141" spans="1:4" x14ac:dyDescent="0.35">
      <c r="A1141" s="6" t="s">
        <v>3160</v>
      </c>
      <c r="B1141" s="6" t="s">
        <v>3159</v>
      </c>
      <c r="C1141" s="6" t="s">
        <v>1244</v>
      </c>
      <c r="D1141" s="6" t="s">
        <v>1084</v>
      </c>
    </row>
    <row r="1142" spans="1:4" x14ac:dyDescent="0.35">
      <c r="A1142" s="6" t="s">
        <v>3162</v>
      </c>
      <c r="B1142" s="6" t="s">
        <v>3161</v>
      </c>
      <c r="C1142" s="6" t="s">
        <v>64</v>
      </c>
      <c r="D1142" s="6" t="s">
        <v>1084</v>
      </c>
    </row>
    <row r="1143" spans="1:4" x14ac:dyDescent="0.35">
      <c r="A1143" s="6" t="s">
        <v>3164</v>
      </c>
      <c r="B1143" s="6" t="s">
        <v>3163</v>
      </c>
      <c r="C1143" s="6" t="s">
        <v>1242</v>
      </c>
      <c r="D1143" s="6" t="s">
        <v>1084</v>
      </c>
    </row>
    <row r="1144" spans="1:4" x14ac:dyDescent="0.35">
      <c r="A1144" s="6" t="s">
        <v>3166</v>
      </c>
      <c r="B1144" s="6" t="s">
        <v>3165</v>
      </c>
      <c r="C1144" s="6" t="s">
        <v>1242</v>
      </c>
      <c r="D1144" s="6" t="s">
        <v>1084</v>
      </c>
    </row>
    <row r="1145" spans="1:4" x14ac:dyDescent="0.35">
      <c r="A1145" s="6" t="s">
        <v>1515</v>
      </c>
      <c r="B1145" s="6" t="s">
        <v>2336</v>
      </c>
      <c r="C1145" s="6" t="s">
        <v>1244</v>
      </c>
      <c r="D1145" s="6" t="s">
        <v>3622</v>
      </c>
    </row>
    <row r="1146" spans="1:4" x14ac:dyDescent="0.35">
      <c r="A1146" s="6" t="s">
        <v>1625</v>
      </c>
      <c r="B1146" s="6" t="s">
        <v>2337</v>
      </c>
      <c r="C1146" s="6" t="s">
        <v>1244</v>
      </c>
      <c r="D1146" s="6" t="s">
        <v>3624</v>
      </c>
    </row>
    <row r="1147" spans="1:4" x14ac:dyDescent="0.35">
      <c r="A1147" s="6" t="s">
        <v>3543</v>
      </c>
      <c r="B1147" s="6" t="s">
        <v>1706</v>
      </c>
      <c r="C1147" s="6" t="s">
        <v>1689</v>
      </c>
      <c r="D1147" s="6" t="s">
        <v>3624</v>
      </c>
    </row>
    <row r="1148" spans="1:4" x14ac:dyDescent="0.35">
      <c r="A1148" s="6" t="s">
        <v>3545</v>
      </c>
      <c r="B1148" s="6" t="s">
        <v>3544</v>
      </c>
      <c r="C1148" s="6" t="s">
        <v>1244</v>
      </c>
      <c r="D1148" s="6" t="s">
        <v>3623</v>
      </c>
    </row>
    <row r="1149" spans="1:4" x14ac:dyDescent="0.35">
      <c r="A1149" s="6" t="s">
        <v>1489</v>
      </c>
      <c r="B1149" s="6" t="s">
        <v>2338</v>
      </c>
      <c r="C1149" s="6" t="s">
        <v>1244</v>
      </c>
      <c r="D1149" s="6" t="s">
        <v>3623</v>
      </c>
    </row>
    <row r="1150" spans="1:4" x14ac:dyDescent="0.35">
      <c r="A1150" s="6" t="s">
        <v>2340</v>
      </c>
      <c r="B1150" s="6" t="s">
        <v>2339</v>
      </c>
      <c r="C1150" s="6" t="s">
        <v>1248</v>
      </c>
      <c r="D1150" s="6" t="s">
        <v>3623</v>
      </c>
    </row>
    <row r="1151" spans="1:4" x14ac:dyDescent="0.35">
      <c r="A1151" s="6" t="s">
        <v>3168</v>
      </c>
      <c r="B1151" s="6" t="s">
        <v>3167</v>
      </c>
      <c r="C1151" s="6" t="s">
        <v>1242</v>
      </c>
      <c r="D1151" s="6" t="s">
        <v>1084</v>
      </c>
    </row>
    <row r="1152" spans="1:4" x14ac:dyDescent="0.35">
      <c r="A1152" s="6" t="s">
        <v>2342</v>
      </c>
      <c r="B1152" s="6" t="s">
        <v>2341</v>
      </c>
      <c r="C1152" s="6" t="s">
        <v>1244</v>
      </c>
      <c r="D1152" s="6" t="s">
        <v>3622</v>
      </c>
    </row>
    <row r="1153" spans="1:4" x14ac:dyDescent="0.35">
      <c r="A1153" s="6" t="s">
        <v>1407</v>
      </c>
      <c r="B1153" s="6" t="s">
        <v>2343</v>
      </c>
      <c r="C1153" s="6" t="s">
        <v>1244</v>
      </c>
      <c r="D1153" s="6" t="s">
        <v>3622</v>
      </c>
    </row>
    <row r="1154" spans="1:4" x14ac:dyDescent="0.35">
      <c r="A1154" s="6" t="s">
        <v>3546</v>
      </c>
      <c r="B1154" s="6" t="s">
        <v>3169</v>
      </c>
      <c r="C1154" s="6" t="s">
        <v>1242</v>
      </c>
      <c r="D1154" s="6" t="s">
        <v>1084</v>
      </c>
    </row>
    <row r="1155" spans="1:4" x14ac:dyDescent="0.35">
      <c r="A1155" s="6" t="s">
        <v>3171</v>
      </c>
      <c r="B1155" s="6" t="s">
        <v>3170</v>
      </c>
      <c r="C1155" s="6" t="s">
        <v>45</v>
      </c>
      <c r="D1155" s="6" t="s">
        <v>3623</v>
      </c>
    </row>
    <row r="1156" spans="1:4" x14ac:dyDescent="0.35">
      <c r="A1156" s="6" t="s">
        <v>1408</v>
      </c>
      <c r="B1156" s="6" t="s">
        <v>2344</v>
      </c>
      <c r="C1156" s="6" t="s">
        <v>1244</v>
      </c>
      <c r="D1156" s="6" t="s">
        <v>3624</v>
      </c>
    </row>
    <row r="1157" spans="1:4" x14ac:dyDescent="0.35">
      <c r="A1157" s="6" t="s">
        <v>3548</v>
      </c>
      <c r="B1157" s="6" t="s">
        <v>3547</v>
      </c>
      <c r="C1157" s="6" t="s">
        <v>1244</v>
      </c>
      <c r="D1157" s="6" t="s">
        <v>3623</v>
      </c>
    </row>
    <row r="1158" spans="1:4" x14ac:dyDescent="0.35">
      <c r="A1158" s="6" t="s">
        <v>3549</v>
      </c>
      <c r="B1158" s="6" t="s">
        <v>804</v>
      </c>
      <c r="C1158" s="6" t="s">
        <v>1244</v>
      </c>
      <c r="D1158" s="6" t="s">
        <v>3623</v>
      </c>
    </row>
    <row r="1159" spans="1:4" x14ac:dyDescent="0.35">
      <c r="A1159" s="6" t="s">
        <v>1252</v>
      </c>
      <c r="B1159" s="6" t="s">
        <v>2345</v>
      </c>
      <c r="C1159" s="6" t="s">
        <v>1244</v>
      </c>
      <c r="D1159" s="6" t="s">
        <v>3622</v>
      </c>
    </row>
    <row r="1160" spans="1:4" x14ac:dyDescent="0.35">
      <c r="A1160" s="6" t="s">
        <v>1442</v>
      </c>
      <c r="B1160" s="6" t="s">
        <v>2346</v>
      </c>
      <c r="C1160" s="6" t="s">
        <v>64</v>
      </c>
      <c r="D1160" s="6" t="s">
        <v>3622</v>
      </c>
    </row>
    <row r="1161" spans="1:4" x14ac:dyDescent="0.35">
      <c r="A1161" s="6" t="s">
        <v>1443</v>
      </c>
      <c r="B1161" s="6" t="s">
        <v>2347</v>
      </c>
      <c r="C1161" s="6" t="s">
        <v>64</v>
      </c>
      <c r="D1161" s="6" t="s">
        <v>3624</v>
      </c>
    </row>
    <row r="1162" spans="1:4" x14ac:dyDescent="0.35">
      <c r="A1162" s="6" t="s">
        <v>3550</v>
      </c>
      <c r="B1162" s="6" t="s">
        <v>3172</v>
      </c>
      <c r="C1162" s="6" t="s">
        <v>1242</v>
      </c>
      <c r="D1162" s="6" t="s">
        <v>3622</v>
      </c>
    </row>
    <row r="1163" spans="1:4" x14ac:dyDescent="0.35">
      <c r="A1163" s="6" t="s">
        <v>3174</v>
      </c>
      <c r="B1163" s="6" t="s">
        <v>3173</v>
      </c>
      <c r="C1163" s="6" t="s">
        <v>1242</v>
      </c>
      <c r="D1163" s="6" t="s">
        <v>1084</v>
      </c>
    </row>
    <row r="1164" spans="1:4" x14ac:dyDescent="0.35">
      <c r="A1164" s="6" t="s">
        <v>2349</v>
      </c>
      <c r="B1164" s="6" t="s">
        <v>2348</v>
      </c>
      <c r="C1164" s="6" t="s">
        <v>1244</v>
      </c>
      <c r="D1164" s="6" t="s">
        <v>3622</v>
      </c>
    </row>
    <row r="1165" spans="1:4" x14ac:dyDescent="0.35">
      <c r="A1165" s="6" t="s">
        <v>3176</v>
      </c>
      <c r="B1165" s="6" t="s">
        <v>3175</v>
      </c>
      <c r="C1165" s="6" t="s">
        <v>64</v>
      </c>
      <c r="D1165" s="6" t="s">
        <v>1084</v>
      </c>
    </row>
    <row r="1166" spans="1:4" x14ac:dyDescent="0.35">
      <c r="A1166" s="6" t="s">
        <v>1490</v>
      </c>
      <c r="B1166" s="6" t="s">
        <v>2350</v>
      </c>
      <c r="C1166" s="6" t="s">
        <v>1244</v>
      </c>
      <c r="D1166" s="6" t="s">
        <v>3622</v>
      </c>
    </row>
    <row r="1167" spans="1:4" x14ac:dyDescent="0.35">
      <c r="A1167" s="6" t="s">
        <v>3551</v>
      </c>
      <c r="B1167" s="6" t="s">
        <v>2351</v>
      </c>
      <c r="C1167" s="6" t="s">
        <v>1244</v>
      </c>
      <c r="D1167" s="6" t="s">
        <v>3622</v>
      </c>
    </row>
    <row r="1168" spans="1:4" x14ac:dyDescent="0.35">
      <c r="A1168" s="6" t="s">
        <v>2353</v>
      </c>
      <c r="B1168" s="6" t="s">
        <v>2352</v>
      </c>
      <c r="C1168" s="6" t="s">
        <v>1244</v>
      </c>
      <c r="D1168" s="6" t="s">
        <v>3623</v>
      </c>
    </row>
    <row r="1169" spans="1:4" x14ac:dyDescent="0.35">
      <c r="A1169" s="6" t="s">
        <v>2355</v>
      </c>
      <c r="B1169" s="6" t="s">
        <v>2354</v>
      </c>
      <c r="C1169" s="6" t="s">
        <v>1244</v>
      </c>
      <c r="D1169" s="6" t="s">
        <v>3623</v>
      </c>
    </row>
    <row r="1170" spans="1:4" x14ac:dyDescent="0.35">
      <c r="A1170" s="6" t="s">
        <v>1377</v>
      </c>
      <c r="B1170" s="6" t="s">
        <v>2356</v>
      </c>
      <c r="C1170" s="6" t="s">
        <v>1244</v>
      </c>
      <c r="D1170" s="6" t="s">
        <v>3623</v>
      </c>
    </row>
    <row r="1171" spans="1:4" x14ac:dyDescent="0.35">
      <c r="A1171" s="6" t="s">
        <v>2358</v>
      </c>
      <c r="B1171" s="6" t="s">
        <v>2357</v>
      </c>
      <c r="C1171" s="6" t="s">
        <v>1244</v>
      </c>
      <c r="D1171" s="6" t="s">
        <v>3623</v>
      </c>
    </row>
    <row r="1172" spans="1:4" x14ac:dyDescent="0.35">
      <c r="A1172" s="6" t="s">
        <v>3552</v>
      </c>
      <c r="B1172" s="6" t="s">
        <v>3177</v>
      </c>
      <c r="C1172" s="6" t="s">
        <v>1242</v>
      </c>
      <c r="D1172" s="6" t="s">
        <v>1084</v>
      </c>
    </row>
    <row r="1173" spans="1:4" x14ac:dyDescent="0.35">
      <c r="A1173" s="6" t="s">
        <v>3553</v>
      </c>
      <c r="B1173" s="6" t="s">
        <v>3178</v>
      </c>
      <c r="C1173" s="6" t="s">
        <v>1242</v>
      </c>
      <c r="D1173" s="6" t="s">
        <v>1084</v>
      </c>
    </row>
    <row r="1174" spans="1:4" x14ac:dyDescent="0.35">
      <c r="A1174" s="6" t="s">
        <v>3180</v>
      </c>
      <c r="B1174" s="6" t="s">
        <v>3179</v>
      </c>
      <c r="C1174" s="6" t="s">
        <v>1242</v>
      </c>
      <c r="D1174" s="6" t="s">
        <v>1084</v>
      </c>
    </row>
    <row r="1175" spans="1:4" x14ac:dyDescent="0.35">
      <c r="A1175" s="6" t="s">
        <v>3182</v>
      </c>
      <c r="B1175" s="6" t="s">
        <v>3181</v>
      </c>
      <c r="C1175" s="6" t="s">
        <v>1244</v>
      </c>
      <c r="D1175" s="6" t="s">
        <v>1084</v>
      </c>
    </row>
    <row r="1176" spans="1:4" x14ac:dyDescent="0.35">
      <c r="A1176" s="6" t="s">
        <v>3184</v>
      </c>
      <c r="B1176" s="6" t="s">
        <v>3183</v>
      </c>
      <c r="C1176" s="6" t="s">
        <v>1244</v>
      </c>
      <c r="D1176" s="6" t="s">
        <v>3622</v>
      </c>
    </row>
    <row r="1177" spans="1:4" x14ac:dyDescent="0.35">
      <c r="A1177" s="6" t="s">
        <v>2360</v>
      </c>
      <c r="B1177" s="6" t="s">
        <v>2359</v>
      </c>
      <c r="C1177" s="6" t="s">
        <v>1244</v>
      </c>
      <c r="D1177" s="6" t="s">
        <v>3623</v>
      </c>
    </row>
    <row r="1178" spans="1:4" x14ac:dyDescent="0.35">
      <c r="A1178" s="6" t="s">
        <v>1581</v>
      </c>
      <c r="B1178" s="6" t="s">
        <v>2361</v>
      </c>
      <c r="C1178" s="6" t="s">
        <v>1244</v>
      </c>
      <c r="D1178" s="6" t="s">
        <v>3622</v>
      </c>
    </row>
    <row r="1179" spans="1:4" x14ac:dyDescent="0.35">
      <c r="A1179" s="6" t="s">
        <v>1491</v>
      </c>
      <c r="B1179" s="6" t="s">
        <v>2362</v>
      </c>
      <c r="C1179" s="6" t="s">
        <v>1244</v>
      </c>
      <c r="D1179" s="6" t="s">
        <v>3624</v>
      </c>
    </row>
    <row r="1180" spans="1:4" x14ac:dyDescent="0.35">
      <c r="A1180" s="6" t="s">
        <v>1582</v>
      </c>
      <c r="B1180" s="6" t="s">
        <v>2363</v>
      </c>
      <c r="C1180" s="6" t="s">
        <v>1244</v>
      </c>
      <c r="D1180" s="6" t="s">
        <v>3624</v>
      </c>
    </row>
    <row r="1181" spans="1:4" x14ac:dyDescent="0.35">
      <c r="A1181" s="6" t="s">
        <v>3186</v>
      </c>
      <c r="B1181" s="6" t="s">
        <v>3185</v>
      </c>
      <c r="C1181" s="6" t="s">
        <v>64</v>
      </c>
      <c r="D1181" s="6" t="s">
        <v>1084</v>
      </c>
    </row>
    <row r="1182" spans="1:4" x14ac:dyDescent="0.35">
      <c r="A1182" s="6" t="s">
        <v>3188</v>
      </c>
      <c r="B1182" s="6" t="s">
        <v>3187</v>
      </c>
      <c r="C1182" s="6" t="s">
        <v>64</v>
      </c>
      <c r="D1182" s="6" t="s">
        <v>1084</v>
      </c>
    </row>
    <row r="1183" spans="1:4" x14ac:dyDescent="0.35">
      <c r="A1183" s="6" t="s">
        <v>1573</v>
      </c>
      <c r="B1183" s="6" t="s">
        <v>2364</v>
      </c>
      <c r="C1183" s="6" t="s">
        <v>1244</v>
      </c>
      <c r="D1183" s="6" t="s">
        <v>3622</v>
      </c>
    </row>
    <row r="1184" spans="1:4" x14ac:dyDescent="0.35">
      <c r="A1184" s="6" t="s">
        <v>1574</v>
      </c>
      <c r="B1184" s="6" t="s">
        <v>2365</v>
      </c>
      <c r="C1184" s="6" t="s">
        <v>1244</v>
      </c>
      <c r="D1184" s="6" t="s">
        <v>3624</v>
      </c>
    </row>
    <row r="1185" spans="1:4" x14ac:dyDescent="0.35">
      <c r="A1185" s="6" t="s">
        <v>3189</v>
      </c>
      <c r="B1185" s="6" t="s">
        <v>2366</v>
      </c>
      <c r="C1185" s="6" t="s">
        <v>1244</v>
      </c>
      <c r="D1185" s="6" t="s">
        <v>3622</v>
      </c>
    </row>
    <row r="1186" spans="1:4" x14ac:dyDescent="0.35">
      <c r="A1186" s="6" t="s">
        <v>3554</v>
      </c>
      <c r="B1186" s="6" t="s">
        <v>2367</v>
      </c>
      <c r="C1186" s="6" t="s">
        <v>1244</v>
      </c>
      <c r="D1186" s="6" t="s">
        <v>3622</v>
      </c>
    </row>
    <row r="1187" spans="1:4" x14ac:dyDescent="0.35">
      <c r="A1187" s="6" t="s">
        <v>3556</v>
      </c>
      <c r="B1187" s="6" t="s">
        <v>3555</v>
      </c>
      <c r="C1187" s="6" t="s">
        <v>1244</v>
      </c>
      <c r="D1187" s="6" t="s">
        <v>3623</v>
      </c>
    </row>
    <row r="1188" spans="1:4" x14ac:dyDescent="0.35">
      <c r="A1188" s="6" t="s">
        <v>2369</v>
      </c>
      <c r="B1188" s="6" t="s">
        <v>2368</v>
      </c>
      <c r="C1188" s="6" t="s">
        <v>1244</v>
      </c>
      <c r="D1188" s="6" t="s">
        <v>3623</v>
      </c>
    </row>
    <row r="1189" spans="1:4" x14ac:dyDescent="0.35">
      <c r="A1189" s="6" t="s">
        <v>1376</v>
      </c>
      <c r="B1189" s="6" t="s">
        <v>2370</v>
      </c>
      <c r="C1189" s="6" t="s">
        <v>1244</v>
      </c>
      <c r="D1189" s="6" t="s">
        <v>3623</v>
      </c>
    </row>
    <row r="1190" spans="1:4" x14ac:dyDescent="0.35">
      <c r="A1190" s="6" t="s">
        <v>1644</v>
      </c>
      <c r="B1190" s="6" t="s">
        <v>2371</v>
      </c>
      <c r="C1190" s="6" t="s">
        <v>1244</v>
      </c>
      <c r="D1190" s="6" t="s">
        <v>3623</v>
      </c>
    </row>
    <row r="1191" spans="1:4" x14ac:dyDescent="0.35">
      <c r="A1191" s="6" t="s">
        <v>2373</v>
      </c>
      <c r="B1191" s="6" t="s">
        <v>2372</v>
      </c>
      <c r="C1191" s="6" t="s">
        <v>1244</v>
      </c>
      <c r="D1191" s="6" t="s">
        <v>3622</v>
      </c>
    </row>
    <row r="1192" spans="1:4" x14ac:dyDescent="0.35">
      <c r="A1192" s="6" t="s">
        <v>3191</v>
      </c>
      <c r="B1192" s="6" t="s">
        <v>3190</v>
      </c>
      <c r="C1192" s="6" t="s">
        <v>64</v>
      </c>
      <c r="D1192" s="6" t="s">
        <v>1084</v>
      </c>
    </row>
    <row r="1193" spans="1:4" x14ac:dyDescent="0.35">
      <c r="A1193" s="6" t="s">
        <v>3193</v>
      </c>
      <c r="B1193" s="6" t="s">
        <v>3192</v>
      </c>
      <c r="C1193" s="6" t="s">
        <v>64</v>
      </c>
      <c r="D1193" s="6" t="s">
        <v>1084</v>
      </c>
    </row>
    <row r="1194" spans="1:4" x14ac:dyDescent="0.35">
      <c r="A1194" s="6" t="s">
        <v>2375</v>
      </c>
      <c r="B1194" s="6" t="s">
        <v>2374</v>
      </c>
      <c r="C1194" s="6" t="s">
        <v>1244</v>
      </c>
      <c r="D1194" s="6" t="s">
        <v>3622</v>
      </c>
    </row>
    <row r="1195" spans="1:4" x14ac:dyDescent="0.35">
      <c r="A1195" s="6" t="s">
        <v>3195</v>
      </c>
      <c r="B1195" s="6" t="s">
        <v>3194</v>
      </c>
      <c r="C1195" s="6" t="s">
        <v>1244</v>
      </c>
      <c r="D1195" s="6" t="s">
        <v>3623</v>
      </c>
    </row>
    <row r="1196" spans="1:4" x14ac:dyDescent="0.35">
      <c r="A1196" s="6" t="s">
        <v>3197</v>
      </c>
      <c r="B1196" s="6" t="s">
        <v>3196</v>
      </c>
      <c r="C1196" s="6" t="s">
        <v>1244</v>
      </c>
      <c r="D1196" s="6" t="s">
        <v>3623</v>
      </c>
    </row>
    <row r="1197" spans="1:4" x14ac:dyDescent="0.35">
      <c r="A1197" s="6" t="s">
        <v>2377</v>
      </c>
      <c r="B1197" s="6" t="s">
        <v>2376</v>
      </c>
      <c r="C1197" s="6" t="s">
        <v>1244</v>
      </c>
      <c r="D1197" s="6" t="s">
        <v>3622</v>
      </c>
    </row>
    <row r="1198" spans="1:4" x14ac:dyDescent="0.35">
      <c r="A1198" s="6" t="s">
        <v>1262</v>
      </c>
      <c r="B1198" s="6" t="s">
        <v>2378</v>
      </c>
      <c r="C1198" s="6" t="s">
        <v>1244</v>
      </c>
      <c r="D1198" s="6" t="s">
        <v>3622</v>
      </c>
    </row>
    <row r="1199" spans="1:4" x14ac:dyDescent="0.35">
      <c r="A1199" s="6" t="s">
        <v>3199</v>
      </c>
      <c r="B1199" s="6" t="s">
        <v>3198</v>
      </c>
      <c r="C1199" s="6" t="s">
        <v>1244</v>
      </c>
      <c r="D1199" s="6" t="s">
        <v>1084</v>
      </c>
    </row>
    <row r="1200" spans="1:4" x14ac:dyDescent="0.35">
      <c r="A1200" s="6" t="s">
        <v>3201</v>
      </c>
      <c r="B1200" s="6" t="s">
        <v>3200</v>
      </c>
      <c r="C1200" s="6" t="s">
        <v>1244</v>
      </c>
      <c r="D1200" s="6" t="s">
        <v>1084</v>
      </c>
    </row>
    <row r="1201" spans="1:4" x14ac:dyDescent="0.35">
      <c r="A1201" s="6" t="s">
        <v>1452</v>
      </c>
      <c r="B1201" s="6" t="s">
        <v>2379</v>
      </c>
      <c r="C1201" s="6" t="s">
        <v>2714</v>
      </c>
      <c r="D1201" s="6" t="s">
        <v>3622</v>
      </c>
    </row>
    <row r="1202" spans="1:4" x14ac:dyDescent="0.35">
      <c r="A1202" s="6" t="s">
        <v>3558</v>
      </c>
      <c r="B1202" s="6" t="s">
        <v>3557</v>
      </c>
      <c r="C1202" s="6" t="s">
        <v>2714</v>
      </c>
      <c r="D1202" s="6" t="s">
        <v>3624</v>
      </c>
    </row>
    <row r="1203" spans="1:4" x14ac:dyDescent="0.35">
      <c r="A1203" s="6" t="s">
        <v>3560</v>
      </c>
      <c r="B1203" s="6" t="s">
        <v>3559</v>
      </c>
      <c r="C1203" s="6" t="s">
        <v>2714</v>
      </c>
      <c r="D1203" s="6" t="s">
        <v>3624</v>
      </c>
    </row>
    <row r="1204" spans="1:4" x14ac:dyDescent="0.35">
      <c r="A1204" s="6" t="s">
        <v>3562</v>
      </c>
      <c r="B1204" s="6" t="s">
        <v>3561</v>
      </c>
      <c r="C1204" s="6" t="s">
        <v>2714</v>
      </c>
      <c r="D1204" s="6" t="s">
        <v>3624</v>
      </c>
    </row>
    <row r="1205" spans="1:4" x14ac:dyDescent="0.35">
      <c r="A1205" s="6" t="s">
        <v>3564</v>
      </c>
      <c r="B1205" s="6" t="s">
        <v>3563</v>
      </c>
      <c r="C1205" s="6" t="s">
        <v>2714</v>
      </c>
      <c r="D1205" s="6" t="s">
        <v>3624</v>
      </c>
    </row>
    <row r="1206" spans="1:4" x14ac:dyDescent="0.35">
      <c r="A1206" s="6" t="s">
        <v>3203</v>
      </c>
      <c r="B1206" s="6" t="s">
        <v>3202</v>
      </c>
      <c r="C1206" s="6" t="s">
        <v>1244</v>
      </c>
      <c r="D1206" s="6" t="s">
        <v>1084</v>
      </c>
    </row>
    <row r="1207" spans="1:4" x14ac:dyDescent="0.35">
      <c r="A1207" s="6" t="s">
        <v>3205</v>
      </c>
      <c r="B1207" s="6" t="s">
        <v>3204</v>
      </c>
      <c r="C1207" s="6" t="s">
        <v>1244</v>
      </c>
      <c r="D1207" s="6" t="s">
        <v>3622</v>
      </c>
    </row>
    <row r="1208" spans="1:4" x14ac:dyDescent="0.35">
      <c r="A1208" s="6" t="s">
        <v>1496</v>
      </c>
      <c r="B1208" s="6" t="s">
        <v>855</v>
      </c>
      <c r="C1208" s="6" t="s">
        <v>1244</v>
      </c>
      <c r="D1208" s="6" t="s">
        <v>3624</v>
      </c>
    </row>
    <row r="1209" spans="1:4" x14ac:dyDescent="0.35">
      <c r="A1209" s="6" t="s">
        <v>1381</v>
      </c>
      <c r="B1209" s="6" t="s">
        <v>2380</v>
      </c>
      <c r="C1209" s="6" t="s">
        <v>2714</v>
      </c>
      <c r="D1209" s="6" t="s">
        <v>3622</v>
      </c>
    </row>
    <row r="1210" spans="1:4" x14ac:dyDescent="0.35">
      <c r="A1210" s="6" t="s">
        <v>1378</v>
      </c>
      <c r="B1210" s="6" t="s">
        <v>2381</v>
      </c>
      <c r="C1210" s="6" t="s">
        <v>1244</v>
      </c>
      <c r="D1210" s="6" t="s">
        <v>3623</v>
      </c>
    </row>
    <row r="1211" spans="1:4" x14ac:dyDescent="0.35">
      <c r="A1211" s="6" t="s">
        <v>3206</v>
      </c>
      <c r="B1211" s="6" t="s">
        <v>2382</v>
      </c>
      <c r="C1211" s="6" t="s">
        <v>1244</v>
      </c>
      <c r="D1211" s="6" t="s">
        <v>3623</v>
      </c>
    </row>
    <row r="1212" spans="1:4" x14ac:dyDescent="0.35">
      <c r="A1212" s="6" t="s">
        <v>3565</v>
      </c>
      <c r="B1212" s="6" t="s">
        <v>3207</v>
      </c>
      <c r="C1212" s="6" t="s">
        <v>2714</v>
      </c>
      <c r="D1212" s="6" t="s">
        <v>3624</v>
      </c>
    </row>
    <row r="1213" spans="1:4" x14ac:dyDescent="0.35">
      <c r="A1213" s="6" t="s">
        <v>3209</v>
      </c>
      <c r="B1213" s="6" t="s">
        <v>3208</v>
      </c>
      <c r="C1213" s="6" t="s">
        <v>94</v>
      </c>
      <c r="D1213" s="6" t="s">
        <v>3622</v>
      </c>
    </row>
    <row r="1214" spans="1:4" x14ac:dyDescent="0.35">
      <c r="A1214" s="6" t="s">
        <v>3566</v>
      </c>
      <c r="B1214" s="6" t="s">
        <v>3210</v>
      </c>
      <c r="C1214" s="6" t="s">
        <v>94</v>
      </c>
      <c r="D1214" s="6" t="s">
        <v>3624</v>
      </c>
    </row>
    <row r="1215" spans="1:4" x14ac:dyDescent="0.35">
      <c r="A1215" s="6" t="s">
        <v>3211</v>
      </c>
      <c r="B1215" s="6" t="s">
        <v>3211</v>
      </c>
      <c r="C1215" s="6" t="s">
        <v>94</v>
      </c>
      <c r="D1215" s="6" t="s">
        <v>1084</v>
      </c>
    </row>
    <row r="1216" spans="1:4" x14ac:dyDescent="0.35">
      <c r="A1216" s="6" t="s">
        <v>3213</v>
      </c>
      <c r="B1216" s="6" t="s">
        <v>3212</v>
      </c>
      <c r="C1216" s="6" t="s">
        <v>1244</v>
      </c>
      <c r="D1216" s="6" t="s">
        <v>3622</v>
      </c>
    </row>
    <row r="1217" spans="1:4" x14ac:dyDescent="0.35">
      <c r="A1217" s="6" t="s">
        <v>3215</v>
      </c>
      <c r="B1217" s="6" t="s">
        <v>3214</v>
      </c>
      <c r="C1217" s="6" t="s">
        <v>1242</v>
      </c>
      <c r="D1217" s="6" t="s">
        <v>3624</v>
      </c>
    </row>
    <row r="1218" spans="1:4" x14ac:dyDescent="0.35">
      <c r="A1218" s="6" t="s">
        <v>1495</v>
      </c>
      <c r="B1218" s="6" t="s">
        <v>2383</v>
      </c>
      <c r="C1218" s="6" t="s">
        <v>1244</v>
      </c>
      <c r="D1218" s="6" t="s">
        <v>3622</v>
      </c>
    </row>
    <row r="1219" spans="1:4" x14ac:dyDescent="0.35">
      <c r="A1219" s="6" t="s">
        <v>2385</v>
      </c>
      <c r="B1219" s="6" t="s">
        <v>2384</v>
      </c>
      <c r="C1219" s="6" t="s">
        <v>1244</v>
      </c>
      <c r="D1219" s="6" t="s">
        <v>3623</v>
      </c>
    </row>
    <row r="1220" spans="1:4" x14ac:dyDescent="0.35">
      <c r="A1220" s="6" t="s">
        <v>3217</v>
      </c>
      <c r="B1220" s="6" t="s">
        <v>3216</v>
      </c>
      <c r="C1220" s="6" t="s">
        <v>1242</v>
      </c>
      <c r="D1220" s="6" t="s">
        <v>3622</v>
      </c>
    </row>
    <row r="1221" spans="1:4" x14ac:dyDescent="0.35">
      <c r="A1221" s="6" t="s">
        <v>3219</v>
      </c>
      <c r="B1221" s="6" t="s">
        <v>3218</v>
      </c>
      <c r="C1221" s="6" t="s">
        <v>1242</v>
      </c>
      <c r="D1221" s="6" t="s">
        <v>1084</v>
      </c>
    </row>
    <row r="1222" spans="1:4" x14ac:dyDescent="0.35">
      <c r="A1222" s="6" t="s">
        <v>3567</v>
      </c>
      <c r="B1222" s="6" t="s">
        <v>3220</v>
      </c>
      <c r="C1222" s="6" t="s">
        <v>45</v>
      </c>
      <c r="D1222" s="6" t="s">
        <v>3623</v>
      </c>
    </row>
    <row r="1223" spans="1:4" x14ac:dyDescent="0.35">
      <c r="A1223" s="6" t="s">
        <v>3568</v>
      </c>
      <c r="B1223" s="6" t="s">
        <v>3221</v>
      </c>
      <c r="C1223" s="6" t="s">
        <v>45</v>
      </c>
      <c r="D1223" s="6" t="s">
        <v>3623</v>
      </c>
    </row>
    <row r="1224" spans="1:4" x14ac:dyDescent="0.35">
      <c r="A1224" s="6" t="s">
        <v>3223</v>
      </c>
      <c r="B1224" s="6" t="s">
        <v>3222</v>
      </c>
      <c r="C1224" s="6" t="s">
        <v>1244</v>
      </c>
      <c r="D1224" s="6" t="s">
        <v>3622</v>
      </c>
    </row>
    <row r="1225" spans="1:4" x14ac:dyDescent="0.35">
      <c r="A1225" s="6" t="s">
        <v>3225</v>
      </c>
      <c r="B1225" s="6" t="s">
        <v>3224</v>
      </c>
      <c r="C1225" s="6" t="s">
        <v>1244</v>
      </c>
      <c r="D1225" s="6" t="s">
        <v>3624</v>
      </c>
    </row>
    <row r="1226" spans="1:4" x14ac:dyDescent="0.35">
      <c r="A1226" s="6" t="s">
        <v>2387</v>
      </c>
      <c r="B1226" s="6" t="s">
        <v>2386</v>
      </c>
      <c r="C1226" s="6" t="s">
        <v>1244</v>
      </c>
      <c r="D1226" s="6" t="s">
        <v>3623</v>
      </c>
    </row>
    <row r="1227" spans="1:4" x14ac:dyDescent="0.35">
      <c r="A1227" s="6" t="s">
        <v>3227</v>
      </c>
      <c r="B1227" s="6" t="s">
        <v>3226</v>
      </c>
      <c r="C1227" s="6" t="s">
        <v>1244</v>
      </c>
      <c r="D1227" s="6" t="s">
        <v>3623</v>
      </c>
    </row>
    <row r="1228" spans="1:4" x14ac:dyDescent="0.35">
      <c r="A1228" s="6" t="s">
        <v>2389</v>
      </c>
      <c r="B1228" s="6" t="s">
        <v>2388</v>
      </c>
      <c r="C1228" s="6" t="s">
        <v>1244</v>
      </c>
      <c r="D1228" s="6" t="s">
        <v>3622</v>
      </c>
    </row>
    <row r="1229" spans="1:4" x14ac:dyDescent="0.35">
      <c r="A1229" s="6" t="s">
        <v>3569</v>
      </c>
      <c r="B1229" s="6" t="s">
        <v>3228</v>
      </c>
      <c r="C1229" s="6" t="s">
        <v>64</v>
      </c>
      <c r="D1229" s="6" t="s">
        <v>1084</v>
      </c>
    </row>
    <row r="1230" spans="1:4" x14ac:dyDescent="0.35">
      <c r="A1230" s="6" t="s">
        <v>3230</v>
      </c>
      <c r="B1230" s="6" t="s">
        <v>3229</v>
      </c>
      <c r="C1230" s="6" t="s">
        <v>1244</v>
      </c>
      <c r="D1230" s="6" t="s">
        <v>1084</v>
      </c>
    </row>
    <row r="1231" spans="1:4" x14ac:dyDescent="0.35">
      <c r="A1231" s="6" t="s">
        <v>2390</v>
      </c>
      <c r="B1231" s="6" t="s">
        <v>38</v>
      </c>
      <c r="C1231" s="6" t="s">
        <v>1244</v>
      </c>
      <c r="D1231" s="6" t="s">
        <v>3622</v>
      </c>
    </row>
    <row r="1232" spans="1:4" x14ac:dyDescent="0.35">
      <c r="A1232" s="6" t="s">
        <v>2392</v>
      </c>
      <c r="B1232" s="6" t="s">
        <v>2391</v>
      </c>
      <c r="C1232" s="6" t="s">
        <v>1244</v>
      </c>
      <c r="D1232" s="6" t="s">
        <v>3622</v>
      </c>
    </row>
    <row r="1233" spans="1:4" x14ac:dyDescent="0.35">
      <c r="A1233" s="6" t="s">
        <v>3232</v>
      </c>
      <c r="B1233" s="6" t="s">
        <v>3231</v>
      </c>
      <c r="C1233" s="6" t="s">
        <v>1249</v>
      </c>
      <c r="D1233" s="6" t="s">
        <v>1084</v>
      </c>
    </row>
    <row r="1234" spans="1:4" x14ac:dyDescent="0.35">
      <c r="A1234" s="6" t="s">
        <v>2394</v>
      </c>
      <c r="B1234" s="6" t="s">
        <v>2393</v>
      </c>
      <c r="C1234" s="6" t="s">
        <v>1244</v>
      </c>
      <c r="D1234" s="6" t="s">
        <v>3624</v>
      </c>
    </row>
    <row r="1235" spans="1:4" x14ac:dyDescent="0.35">
      <c r="A1235" s="6" t="s">
        <v>3234</v>
      </c>
      <c r="B1235" s="6" t="s">
        <v>3233</v>
      </c>
      <c r="C1235" s="6" t="s">
        <v>1244</v>
      </c>
      <c r="D1235" s="6" t="s">
        <v>1084</v>
      </c>
    </row>
    <row r="1236" spans="1:4" x14ac:dyDescent="0.35">
      <c r="A1236" s="6" t="s">
        <v>1390</v>
      </c>
      <c r="B1236" s="6" t="s">
        <v>2395</v>
      </c>
      <c r="C1236" s="6" t="s">
        <v>1244</v>
      </c>
      <c r="D1236" s="6" t="s">
        <v>3622</v>
      </c>
    </row>
    <row r="1237" spans="1:4" x14ac:dyDescent="0.35">
      <c r="A1237" s="6" t="s">
        <v>1391</v>
      </c>
      <c r="B1237" s="6" t="s">
        <v>2396</v>
      </c>
      <c r="C1237" s="6" t="s">
        <v>1244</v>
      </c>
      <c r="D1237" s="6" t="s">
        <v>3624</v>
      </c>
    </row>
    <row r="1238" spans="1:4" x14ac:dyDescent="0.35">
      <c r="A1238" s="6" t="s">
        <v>3236</v>
      </c>
      <c r="B1238" s="6" t="s">
        <v>3235</v>
      </c>
      <c r="C1238" s="6" t="s">
        <v>1249</v>
      </c>
      <c r="D1238" s="6" t="s">
        <v>3622</v>
      </c>
    </row>
    <row r="1239" spans="1:4" x14ac:dyDescent="0.35">
      <c r="A1239" s="6" t="s">
        <v>3238</v>
      </c>
      <c r="B1239" s="6" t="s">
        <v>3237</v>
      </c>
      <c r="C1239" s="6" t="s">
        <v>1249</v>
      </c>
      <c r="D1239" s="6" t="s">
        <v>3624</v>
      </c>
    </row>
    <row r="1240" spans="1:4" x14ac:dyDescent="0.35">
      <c r="A1240" s="6" t="s">
        <v>1671</v>
      </c>
      <c r="B1240" s="6" t="s">
        <v>2397</v>
      </c>
      <c r="C1240" s="6" t="s">
        <v>1244</v>
      </c>
      <c r="D1240" s="6" t="s">
        <v>3622</v>
      </c>
    </row>
    <row r="1241" spans="1:4" x14ac:dyDescent="0.35">
      <c r="A1241" s="6" t="s">
        <v>3240</v>
      </c>
      <c r="B1241" s="6" t="s">
        <v>3239</v>
      </c>
      <c r="C1241" s="6" t="s">
        <v>1242</v>
      </c>
      <c r="D1241" s="6" t="s">
        <v>3623</v>
      </c>
    </row>
    <row r="1242" spans="1:4" x14ac:dyDescent="0.35">
      <c r="A1242" s="6" t="s">
        <v>1672</v>
      </c>
      <c r="B1242" s="6" t="s">
        <v>2398</v>
      </c>
      <c r="C1242" s="6" t="s">
        <v>1244</v>
      </c>
      <c r="D1242" s="6" t="s">
        <v>3624</v>
      </c>
    </row>
    <row r="1243" spans="1:4" x14ac:dyDescent="0.35">
      <c r="A1243" s="6" t="s">
        <v>3242</v>
      </c>
      <c r="B1243" s="6" t="s">
        <v>3241</v>
      </c>
      <c r="C1243" s="6" t="s">
        <v>1242</v>
      </c>
      <c r="D1243" s="6" t="s">
        <v>1084</v>
      </c>
    </row>
    <row r="1244" spans="1:4" x14ac:dyDescent="0.35">
      <c r="A1244" s="6" t="s">
        <v>1571</v>
      </c>
      <c r="B1244" s="6" t="s">
        <v>2399</v>
      </c>
      <c r="C1244" s="6" t="s">
        <v>1244</v>
      </c>
      <c r="D1244" s="6" t="s">
        <v>3622</v>
      </c>
    </row>
    <row r="1245" spans="1:4" x14ac:dyDescent="0.35">
      <c r="A1245" s="6" t="s">
        <v>1572</v>
      </c>
      <c r="B1245" s="6" t="s">
        <v>2400</v>
      </c>
      <c r="C1245" s="6" t="s">
        <v>1244</v>
      </c>
      <c r="D1245" s="6" t="s">
        <v>3624</v>
      </c>
    </row>
    <row r="1246" spans="1:4" x14ac:dyDescent="0.35">
      <c r="A1246" s="6" t="s">
        <v>2402</v>
      </c>
      <c r="B1246" s="6" t="s">
        <v>2401</v>
      </c>
      <c r="C1246" s="6" t="s">
        <v>1244</v>
      </c>
      <c r="D1246" s="6" t="s">
        <v>3623</v>
      </c>
    </row>
    <row r="1247" spans="1:4" x14ac:dyDescent="0.35">
      <c r="A1247" s="6" t="s">
        <v>2404</v>
      </c>
      <c r="B1247" s="6" t="s">
        <v>2403</v>
      </c>
      <c r="C1247" s="6" t="s">
        <v>1244</v>
      </c>
      <c r="D1247" s="6" t="s">
        <v>3623</v>
      </c>
    </row>
    <row r="1248" spans="1:4" x14ac:dyDescent="0.35">
      <c r="A1248" s="6" t="s">
        <v>1536</v>
      </c>
      <c r="B1248" s="6" t="s">
        <v>2405</v>
      </c>
      <c r="C1248" s="6" t="s">
        <v>1244</v>
      </c>
      <c r="D1248" s="6" t="s">
        <v>3622</v>
      </c>
    </row>
    <row r="1249" spans="1:4" x14ac:dyDescent="0.35">
      <c r="A1249" s="6" t="s">
        <v>2407</v>
      </c>
      <c r="B1249" s="6" t="s">
        <v>2406</v>
      </c>
      <c r="C1249" s="6" t="s">
        <v>1244</v>
      </c>
      <c r="D1249" s="6" t="s">
        <v>3622</v>
      </c>
    </row>
    <row r="1250" spans="1:4" x14ac:dyDescent="0.35">
      <c r="A1250" s="6" t="s">
        <v>1371</v>
      </c>
      <c r="B1250" s="6" t="s">
        <v>2408</v>
      </c>
      <c r="C1250" s="6" t="s">
        <v>1244</v>
      </c>
      <c r="D1250" s="6" t="s">
        <v>3624</v>
      </c>
    </row>
    <row r="1251" spans="1:4" x14ac:dyDescent="0.35">
      <c r="A1251" s="6" t="s">
        <v>2410</v>
      </c>
      <c r="B1251" s="6" t="s">
        <v>2409</v>
      </c>
      <c r="C1251" s="6" t="s">
        <v>1244</v>
      </c>
      <c r="D1251" s="6" t="s">
        <v>3622</v>
      </c>
    </row>
    <row r="1252" spans="1:4" x14ac:dyDescent="0.35">
      <c r="A1252" s="6" t="s">
        <v>1392</v>
      </c>
      <c r="B1252" s="6" t="s">
        <v>2411</v>
      </c>
      <c r="C1252" s="6" t="s">
        <v>1244</v>
      </c>
      <c r="D1252" s="6" t="s">
        <v>3623</v>
      </c>
    </row>
    <row r="1253" spans="1:4" x14ac:dyDescent="0.35">
      <c r="A1253" s="6" t="s">
        <v>3244</v>
      </c>
      <c r="B1253" s="6" t="s">
        <v>3243</v>
      </c>
      <c r="C1253" s="6" t="s">
        <v>1249</v>
      </c>
      <c r="D1253" s="6" t="s">
        <v>3622</v>
      </c>
    </row>
    <row r="1254" spans="1:4" x14ac:dyDescent="0.35">
      <c r="A1254" s="6" t="s">
        <v>3246</v>
      </c>
      <c r="B1254" s="6" t="s">
        <v>3245</v>
      </c>
      <c r="C1254" s="6" t="s">
        <v>1249</v>
      </c>
      <c r="D1254" s="6" t="s">
        <v>3624</v>
      </c>
    </row>
    <row r="1255" spans="1:4" x14ac:dyDescent="0.35">
      <c r="A1255" s="6" t="s">
        <v>1393</v>
      </c>
      <c r="B1255" s="6" t="s">
        <v>901</v>
      </c>
      <c r="C1255" s="6" t="s">
        <v>1244</v>
      </c>
      <c r="D1255" s="6" t="s">
        <v>3622</v>
      </c>
    </row>
    <row r="1256" spans="1:4" x14ac:dyDescent="0.35">
      <c r="A1256" s="6" t="s">
        <v>1394</v>
      </c>
      <c r="B1256" s="6" t="s">
        <v>2412</v>
      </c>
      <c r="C1256" s="6" t="s">
        <v>1244</v>
      </c>
      <c r="D1256" s="6" t="s">
        <v>3624</v>
      </c>
    </row>
    <row r="1257" spans="1:4" x14ac:dyDescent="0.35">
      <c r="A1257" s="6" t="s">
        <v>3248</v>
      </c>
      <c r="B1257" s="6" t="s">
        <v>3247</v>
      </c>
      <c r="C1257" s="6" t="s">
        <v>1249</v>
      </c>
      <c r="D1257" s="6" t="s">
        <v>1084</v>
      </c>
    </row>
    <row r="1258" spans="1:4" x14ac:dyDescent="0.35">
      <c r="A1258" s="6" t="s">
        <v>3250</v>
      </c>
      <c r="B1258" s="6" t="s">
        <v>3249</v>
      </c>
      <c r="C1258" s="6" t="s">
        <v>64</v>
      </c>
      <c r="D1258" s="6" t="s">
        <v>1084</v>
      </c>
    </row>
    <row r="1259" spans="1:4" x14ac:dyDescent="0.35">
      <c r="A1259" s="6" t="s">
        <v>3252</v>
      </c>
      <c r="B1259" s="6" t="s">
        <v>3251</v>
      </c>
      <c r="C1259" s="6" t="s">
        <v>1249</v>
      </c>
      <c r="D1259" s="6" t="s">
        <v>1084</v>
      </c>
    </row>
    <row r="1260" spans="1:4" x14ac:dyDescent="0.35">
      <c r="A1260" s="6" t="s">
        <v>1332</v>
      </c>
      <c r="B1260" s="6" t="s">
        <v>2413</v>
      </c>
      <c r="C1260" s="6" t="s">
        <v>1244</v>
      </c>
      <c r="D1260" s="6" t="s">
        <v>3622</v>
      </c>
    </row>
    <row r="1261" spans="1:4" x14ac:dyDescent="0.35">
      <c r="A1261" s="6" t="s">
        <v>1333</v>
      </c>
      <c r="B1261" s="6" t="s">
        <v>2414</v>
      </c>
      <c r="C1261" s="6" t="s">
        <v>1244</v>
      </c>
      <c r="D1261" s="6" t="s">
        <v>3624</v>
      </c>
    </row>
    <row r="1262" spans="1:4" x14ac:dyDescent="0.35">
      <c r="A1262" s="6" t="s">
        <v>3570</v>
      </c>
      <c r="B1262" s="6" t="s">
        <v>3253</v>
      </c>
      <c r="C1262" s="6" t="s">
        <v>64</v>
      </c>
      <c r="D1262" s="6" t="s">
        <v>3622</v>
      </c>
    </row>
    <row r="1263" spans="1:4" x14ac:dyDescent="0.35">
      <c r="A1263" s="6" t="s">
        <v>2416</v>
      </c>
      <c r="B1263" s="6" t="s">
        <v>2415</v>
      </c>
      <c r="C1263" s="6" t="s">
        <v>64</v>
      </c>
      <c r="D1263" s="6" t="s">
        <v>3622</v>
      </c>
    </row>
    <row r="1264" spans="1:4" x14ac:dyDescent="0.35">
      <c r="A1264" s="6" t="s">
        <v>2418</v>
      </c>
      <c r="B1264" s="6" t="s">
        <v>2417</v>
      </c>
      <c r="C1264" s="6" t="s">
        <v>64</v>
      </c>
      <c r="D1264" s="6" t="s">
        <v>3622</v>
      </c>
    </row>
    <row r="1265" spans="1:4" x14ac:dyDescent="0.35">
      <c r="A1265" s="6" t="s">
        <v>3255</v>
      </c>
      <c r="B1265" s="6" t="s">
        <v>3254</v>
      </c>
      <c r="C1265" s="6" t="s">
        <v>45</v>
      </c>
      <c r="D1265" s="6" t="s">
        <v>3623</v>
      </c>
    </row>
    <row r="1266" spans="1:4" x14ac:dyDescent="0.35">
      <c r="A1266" s="6" t="s">
        <v>1508</v>
      </c>
      <c r="B1266" s="6" t="s">
        <v>2419</v>
      </c>
      <c r="C1266" s="6" t="s">
        <v>1244</v>
      </c>
      <c r="D1266" s="6" t="s">
        <v>3622</v>
      </c>
    </row>
    <row r="1267" spans="1:4" x14ac:dyDescent="0.35">
      <c r="A1267" s="6" t="s">
        <v>1509</v>
      </c>
      <c r="B1267" s="6" t="s">
        <v>2420</v>
      </c>
      <c r="C1267" s="6" t="s">
        <v>1244</v>
      </c>
      <c r="D1267" s="6" t="s">
        <v>3624</v>
      </c>
    </row>
    <row r="1268" spans="1:4" x14ac:dyDescent="0.35">
      <c r="A1268" s="6" t="s">
        <v>1528</v>
      </c>
      <c r="B1268" s="6" t="s">
        <v>2421</v>
      </c>
      <c r="C1268" s="6" t="s">
        <v>1244</v>
      </c>
      <c r="D1268" s="6" t="s">
        <v>3622</v>
      </c>
    </row>
    <row r="1269" spans="1:4" x14ac:dyDescent="0.35">
      <c r="A1269" s="6" t="s">
        <v>3571</v>
      </c>
      <c r="B1269" s="6" t="s">
        <v>3256</v>
      </c>
      <c r="C1269" s="6" t="s">
        <v>1242</v>
      </c>
      <c r="D1269" s="6" t="s">
        <v>1084</v>
      </c>
    </row>
    <row r="1270" spans="1:4" x14ac:dyDescent="0.35">
      <c r="A1270" s="6" t="s">
        <v>3572</v>
      </c>
      <c r="B1270" s="6" t="s">
        <v>3257</v>
      </c>
      <c r="C1270" s="6" t="s">
        <v>1242</v>
      </c>
      <c r="D1270" s="6" t="s">
        <v>1084</v>
      </c>
    </row>
    <row r="1271" spans="1:4" x14ac:dyDescent="0.35">
      <c r="A1271" s="6" t="s">
        <v>1589</v>
      </c>
      <c r="B1271" s="6" t="s">
        <v>2422</v>
      </c>
      <c r="C1271" s="6" t="s">
        <v>1244</v>
      </c>
      <c r="D1271" s="6" t="s">
        <v>3622</v>
      </c>
    </row>
    <row r="1272" spans="1:4" x14ac:dyDescent="0.35">
      <c r="A1272" s="6" t="s">
        <v>1590</v>
      </c>
      <c r="B1272" s="6" t="s">
        <v>2423</v>
      </c>
      <c r="C1272" s="6" t="s">
        <v>1244</v>
      </c>
      <c r="D1272" s="6" t="s">
        <v>3624</v>
      </c>
    </row>
    <row r="1273" spans="1:4" x14ac:dyDescent="0.35">
      <c r="A1273" s="6" t="s">
        <v>1395</v>
      </c>
      <c r="B1273" s="6" t="s">
        <v>2424</v>
      </c>
      <c r="C1273" s="6" t="s">
        <v>1244</v>
      </c>
      <c r="D1273" s="6" t="s">
        <v>3622</v>
      </c>
    </row>
    <row r="1274" spans="1:4" x14ac:dyDescent="0.35">
      <c r="A1274" s="6" t="s">
        <v>1396</v>
      </c>
      <c r="B1274" s="6" t="s">
        <v>2425</v>
      </c>
      <c r="C1274" s="6" t="s">
        <v>1244</v>
      </c>
      <c r="D1274" s="6" t="s">
        <v>3624</v>
      </c>
    </row>
    <row r="1275" spans="1:4" x14ac:dyDescent="0.35">
      <c r="A1275" s="6" t="s">
        <v>1563</v>
      </c>
      <c r="B1275" s="6" t="s">
        <v>2426</v>
      </c>
      <c r="C1275" s="6" t="s">
        <v>1244</v>
      </c>
      <c r="D1275" s="6" t="s">
        <v>3624</v>
      </c>
    </row>
    <row r="1276" spans="1:4" x14ac:dyDescent="0.35">
      <c r="A1276" s="6" t="s">
        <v>1383</v>
      </c>
      <c r="B1276" s="6" t="s">
        <v>2427</v>
      </c>
      <c r="C1276" s="6" t="s">
        <v>1244</v>
      </c>
      <c r="D1276" s="6" t="s">
        <v>3622</v>
      </c>
    </row>
    <row r="1277" spans="1:4" x14ac:dyDescent="0.35">
      <c r="A1277" s="6" t="s">
        <v>1334</v>
      </c>
      <c r="B1277" s="6" t="s">
        <v>2428</v>
      </c>
      <c r="C1277" s="6" t="s">
        <v>1244</v>
      </c>
      <c r="D1277" s="6" t="s">
        <v>3622</v>
      </c>
    </row>
    <row r="1278" spans="1:4" x14ac:dyDescent="0.35">
      <c r="A1278" s="6" t="s">
        <v>2430</v>
      </c>
      <c r="B1278" s="6" t="s">
        <v>2429</v>
      </c>
      <c r="C1278" s="6" t="s">
        <v>1244</v>
      </c>
      <c r="D1278" s="6" t="s">
        <v>3622</v>
      </c>
    </row>
    <row r="1279" spans="1:4" x14ac:dyDescent="0.35">
      <c r="A1279" s="6" t="s">
        <v>1335</v>
      </c>
      <c r="B1279" s="6" t="s">
        <v>2431</v>
      </c>
      <c r="C1279" s="6" t="s">
        <v>1244</v>
      </c>
      <c r="D1279" s="6" t="s">
        <v>3624</v>
      </c>
    </row>
    <row r="1280" spans="1:4" x14ac:dyDescent="0.35">
      <c r="A1280" s="6" t="s">
        <v>2433</v>
      </c>
      <c r="B1280" s="6" t="s">
        <v>2432</v>
      </c>
      <c r="C1280" s="6" t="s">
        <v>1244</v>
      </c>
      <c r="D1280" s="6" t="s">
        <v>3623</v>
      </c>
    </row>
    <row r="1281" spans="1:4" x14ac:dyDescent="0.35">
      <c r="A1281" s="6" t="s">
        <v>3574</v>
      </c>
      <c r="B1281" s="6" t="s">
        <v>3573</v>
      </c>
      <c r="C1281" s="6" t="s">
        <v>1244</v>
      </c>
      <c r="D1281" s="6" t="s">
        <v>3623</v>
      </c>
    </row>
    <row r="1282" spans="1:4" x14ac:dyDescent="0.35">
      <c r="A1282" s="6" t="s">
        <v>3576</v>
      </c>
      <c r="B1282" s="6" t="s">
        <v>3575</v>
      </c>
      <c r="C1282" s="6" t="s">
        <v>1244</v>
      </c>
      <c r="D1282" s="6" t="s">
        <v>3623</v>
      </c>
    </row>
    <row r="1283" spans="1:4" x14ac:dyDescent="0.35">
      <c r="A1283" s="6" t="s">
        <v>1315</v>
      </c>
      <c r="B1283" s="6" t="s">
        <v>2434</v>
      </c>
      <c r="C1283" s="6" t="s">
        <v>1244</v>
      </c>
      <c r="D1283" s="6" t="s">
        <v>3622</v>
      </c>
    </row>
    <row r="1284" spans="1:4" x14ac:dyDescent="0.35">
      <c r="A1284" s="6" t="s">
        <v>2436</v>
      </c>
      <c r="B1284" s="6" t="s">
        <v>2435</v>
      </c>
      <c r="C1284" s="6" t="s">
        <v>1244</v>
      </c>
      <c r="D1284" s="6" t="s">
        <v>3623</v>
      </c>
    </row>
    <row r="1285" spans="1:4" x14ac:dyDescent="0.35">
      <c r="A1285" s="6" t="s">
        <v>3577</v>
      </c>
      <c r="B1285" s="6" t="s">
        <v>3258</v>
      </c>
      <c r="C1285" s="6" t="s">
        <v>1242</v>
      </c>
      <c r="D1285" s="6" t="s">
        <v>1084</v>
      </c>
    </row>
    <row r="1286" spans="1:4" x14ac:dyDescent="0.35">
      <c r="A1286" s="6" t="s">
        <v>3260</v>
      </c>
      <c r="B1286" s="6" t="s">
        <v>3259</v>
      </c>
      <c r="C1286" s="6" t="s">
        <v>1242</v>
      </c>
      <c r="D1286" s="6" t="s">
        <v>1084</v>
      </c>
    </row>
    <row r="1287" spans="1:4" x14ac:dyDescent="0.35">
      <c r="A1287" s="6" t="s">
        <v>3262</v>
      </c>
      <c r="B1287" s="6" t="s">
        <v>3261</v>
      </c>
      <c r="C1287" s="6" t="s">
        <v>1242</v>
      </c>
      <c r="D1287" s="6" t="s">
        <v>1084</v>
      </c>
    </row>
    <row r="1288" spans="1:4" x14ac:dyDescent="0.35">
      <c r="A1288" s="6" t="s">
        <v>3264</v>
      </c>
      <c r="B1288" s="6" t="s">
        <v>3263</v>
      </c>
      <c r="C1288" s="6" t="s">
        <v>1242</v>
      </c>
      <c r="D1288" s="6" t="s">
        <v>1084</v>
      </c>
    </row>
    <row r="1289" spans="1:4" x14ac:dyDescent="0.35">
      <c r="A1289" s="6" t="s">
        <v>2438</v>
      </c>
      <c r="B1289" s="6" t="s">
        <v>2437</v>
      </c>
      <c r="C1289" s="6" t="s">
        <v>1242</v>
      </c>
      <c r="D1289" s="6" t="s">
        <v>3622</v>
      </c>
    </row>
    <row r="1290" spans="1:4" x14ac:dyDescent="0.35">
      <c r="A1290" s="6" t="s">
        <v>1388</v>
      </c>
      <c r="B1290" s="6" t="s">
        <v>2439</v>
      </c>
      <c r="C1290" s="6" t="s">
        <v>64</v>
      </c>
      <c r="D1290" s="6" t="s">
        <v>3622</v>
      </c>
    </row>
    <row r="1291" spans="1:4" x14ac:dyDescent="0.35">
      <c r="A1291" s="6" t="s">
        <v>3578</v>
      </c>
      <c r="B1291" s="6" t="s">
        <v>3265</v>
      </c>
      <c r="C1291" s="6" t="s">
        <v>1242</v>
      </c>
      <c r="D1291" s="6" t="s">
        <v>3622</v>
      </c>
    </row>
    <row r="1292" spans="1:4" x14ac:dyDescent="0.35">
      <c r="A1292" s="6" t="s">
        <v>3267</v>
      </c>
      <c r="B1292" s="6" t="s">
        <v>3266</v>
      </c>
      <c r="C1292" s="6" t="s">
        <v>1244</v>
      </c>
      <c r="D1292" s="6" t="s">
        <v>1084</v>
      </c>
    </row>
    <row r="1293" spans="1:4" x14ac:dyDescent="0.35">
      <c r="A1293" s="6" t="s">
        <v>3269</v>
      </c>
      <c r="B1293" s="6" t="s">
        <v>3268</v>
      </c>
      <c r="C1293" s="6" t="s">
        <v>1242</v>
      </c>
      <c r="D1293" s="6" t="s">
        <v>1084</v>
      </c>
    </row>
    <row r="1294" spans="1:4" x14ac:dyDescent="0.35">
      <c r="A1294" s="6" t="s">
        <v>1460</v>
      </c>
      <c r="B1294" s="6" t="s">
        <v>2440</v>
      </c>
      <c r="C1294" s="6" t="s">
        <v>1244</v>
      </c>
      <c r="D1294" s="6" t="s">
        <v>3623</v>
      </c>
    </row>
    <row r="1295" spans="1:4" x14ac:dyDescent="0.35">
      <c r="A1295" s="6" t="s">
        <v>3580</v>
      </c>
      <c r="B1295" s="6" t="s">
        <v>3579</v>
      </c>
      <c r="C1295" s="6" t="s">
        <v>1244</v>
      </c>
      <c r="D1295" s="6" t="s">
        <v>3623</v>
      </c>
    </row>
    <row r="1296" spans="1:4" x14ac:dyDescent="0.35">
      <c r="A1296" s="6" t="s">
        <v>3582</v>
      </c>
      <c r="B1296" s="6" t="s">
        <v>3581</v>
      </c>
      <c r="C1296" s="6" t="s">
        <v>1244</v>
      </c>
      <c r="D1296" s="6" t="s">
        <v>3623</v>
      </c>
    </row>
    <row r="1297" spans="1:4" x14ac:dyDescent="0.35">
      <c r="A1297" s="6" t="s">
        <v>1461</v>
      </c>
      <c r="B1297" s="6" t="s">
        <v>2441</v>
      </c>
      <c r="C1297" s="6" t="s">
        <v>1244</v>
      </c>
      <c r="D1297" s="6" t="s">
        <v>3623</v>
      </c>
    </row>
    <row r="1298" spans="1:4" x14ac:dyDescent="0.35">
      <c r="A1298" s="6" t="s">
        <v>1462</v>
      </c>
      <c r="B1298" s="6" t="s">
        <v>2442</v>
      </c>
      <c r="C1298" s="6" t="s">
        <v>1244</v>
      </c>
      <c r="D1298" s="6" t="s">
        <v>3623</v>
      </c>
    </row>
    <row r="1299" spans="1:4" x14ac:dyDescent="0.35">
      <c r="A1299" s="6" t="s">
        <v>1463</v>
      </c>
      <c r="B1299" s="6" t="s">
        <v>2443</v>
      </c>
      <c r="C1299" s="6" t="s">
        <v>1244</v>
      </c>
      <c r="D1299" s="6" t="s">
        <v>3623</v>
      </c>
    </row>
    <row r="1300" spans="1:4" x14ac:dyDescent="0.35">
      <c r="A1300" s="6" t="s">
        <v>1468</v>
      </c>
      <c r="B1300" s="6" t="s">
        <v>2444</v>
      </c>
      <c r="C1300" s="6" t="s">
        <v>1244</v>
      </c>
      <c r="D1300" s="6" t="s">
        <v>3623</v>
      </c>
    </row>
    <row r="1301" spans="1:4" x14ac:dyDescent="0.35">
      <c r="A1301" s="6" t="s">
        <v>1470</v>
      </c>
      <c r="B1301" s="6" t="s">
        <v>2445</v>
      </c>
      <c r="C1301" s="6" t="s">
        <v>1244</v>
      </c>
      <c r="D1301" s="6" t="s">
        <v>3623</v>
      </c>
    </row>
    <row r="1302" spans="1:4" x14ac:dyDescent="0.35">
      <c r="A1302" s="6" t="s">
        <v>1484</v>
      </c>
      <c r="B1302" s="6" t="s">
        <v>2446</v>
      </c>
      <c r="C1302" s="6" t="s">
        <v>1244</v>
      </c>
      <c r="D1302" s="6" t="s">
        <v>3623</v>
      </c>
    </row>
    <row r="1303" spans="1:4" x14ac:dyDescent="0.35">
      <c r="A1303" s="6" t="s">
        <v>1485</v>
      </c>
      <c r="B1303" s="6" t="s">
        <v>2447</v>
      </c>
      <c r="C1303" s="6" t="s">
        <v>1244</v>
      </c>
      <c r="D1303" s="6" t="s">
        <v>3623</v>
      </c>
    </row>
    <row r="1304" spans="1:4" x14ac:dyDescent="0.35">
      <c r="A1304" s="6" t="s">
        <v>3584</v>
      </c>
      <c r="B1304" s="6" t="s">
        <v>3583</v>
      </c>
      <c r="C1304" s="6" t="s">
        <v>1244</v>
      </c>
      <c r="D1304" s="6" t="s">
        <v>3623</v>
      </c>
    </row>
    <row r="1305" spans="1:4" x14ac:dyDescent="0.35">
      <c r="A1305" s="6" t="s">
        <v>1545</v>
      </c>
      <c r="B1305" s="6" t="s">
        <v>2448</v>
      </c>
      <c r="C1305" s="6" t="s">
        <v>1244</v>
      </c>
      <c r="D1305" s="6" t="s">
        <v>3622</v>
      </c>
    </row>
    <row r="1306" spans="1:4" x14ac:dyDescent="0.35">
      <c r="A1306" s="6" t="s">
        <v>1546</v>
      </c>
      <c r="B1306" s="6" t="s">
        <v>2449</v>
      </c>
      <c r="C1306" s="6" t="s">
        <v>1244</v>
      </c>
      <c r="D1306" s="6" t="s">
        <v>3624</v>
      </c>
    </row>
    <row r="1307" spans="1:4" x14ac:dyDescent="0.35">
      <c r="A1307" s="6" t="s">
        <v>1410</v>
      </c>
      <c r="B1307" s="6" t="s">
        <v>2450</v>
      </c>
      <c r="C1307" s="6" t="s">
        <v>1244</v>
      </c>
      <c r="D1307" s="6" t="s">
        <v>3622</v>
      </c>
    </row>
    <row r="1308" spans="1:4" x14ac:dyDescent="0.35">
      <c r="A1308" s="6" t="s">
        <v>3271</v>
      </c>
      <c r="B1308" s="6" t="s">
        <v>3270</v>
      </c>
      <c r="C1308" s="6" t="s">
        <v>64</v>
      </c>
      <c r="D1308" s="6" t="s">
        <v>1084</v>
      </c>
    </row>
    <row r="1309" spans="1:4" x14ac:dyDescent="0.35">
      <c r="A1309" s="6" t="s">
        <v>3585</v>
      </c>
      <c r="B1309" s="6" t="s">
        <v>3272</v>
      </c>
      <c r="C1309" s="6" t="s">
        <v>1244</v>
      </c>
      <c r="D1309" s="6" t="s">
        <v>3623</v>
      </c>
    </row>
    <row r="1310" spans="1:4" x14ac:dyDescent="0.35">
      <c r="A1310" s="6" t="s">
        <v>3274</v>
      </c>
      <c r="B1310" s="6" t="s">
        <v>3273</v>
      </c>
      <c r="C1310" s="6" t="s">
        <v>1244</v>
      </c>
      <c r="D1310" s="6" t="s">
        <v>1084</v>
      </c>
    </row>
    <row r="1311" spans="1:4" x14ac:dyDescent="0.35">
      <c r="A1311" s="6" t="s">
        <v>3276</v>
      </c>
      <c r="B1311" s="6" t="s">
        <v>3275</v>
      </c>
      <c r="C1311" s="6" t="s">
        <v>64</v>
      </c>
      <c r="D1311" s="6" t="s">
        <v>1084</v>
      </c>
    </row>
    <row r="1312" spans="1:4" x14ac:dyDescent="0.35">
      <c r="A1312" s="6" t="s">
        <v>3278</v>
      </c>
      <c r="B1312" s="6" t="s">
        <v>3277</v>
      </c>
      <c r="C1312" s="6" t="s">
        <v>64</v>
      </c>
      <c r="D1312" s="6" t="s">
        <v>3622</v>
      </c>
    </row>
    <row r="1313" spans="1:4" x14ac:dyDescent="0.35">
      <c r="A1313" s="6" t="s">
        <v>2452</v>
      </c>
      <c r="B1313" s="6" t="s">
        <v>2451</v>
      </c>
      <c r="C1313" s="6" t="s">
        <v>1244</v>
      </c>
      <c r="D1313" s="6" t="s">
        <v>3622</v>
      </c>
    </row>
    <row r="1314" spans="1:4" x14ac:dyDescent="0.35">
      <c r="A1314" s="6" t="s">
        <v>2454</v>
      </c>
      <c r="B1314" s="6" t="s">
        <v>2453</v>
      </c>
      <c r="C1314" s="6" t="s">
        <v>1244</v>
      </c>
      <c r="D1314" s="6" t="s">
        <v>3622</v>
      </c>
    </row>
    <row r="1315" spans="1:4" x14ac:dyDescent="0.35">
      <c r="A1315" s="6" t="s">
        <v>3279</v>
      </c>
      <c r="B1315" s="6" t="s">
        <v>3279</v>
      </c>
      <c r="C1315" s="6" t="s">
        <v>1242</v>
      </c>
      <c r="D1315" s="6" t="s">
        <v>1084</v>
      </c>
    </row>
    <row r="1316" spans="1:4" x14ac:dyDescent="0.35">
      <c r="A1316" s="6" t="s">
        <v>3281</v>
      </c>
      <c r="B1316" s="6" t="s">
        <v>3280</v>
      </c>
      <c r="C1316" s="6" t="s">
        <v>1244</v>
      </c>
      <c r="D1316" s="6" t="s">
        <v>3622</v>
      </c>
    </row>
    <row r="1317" spans="1:4" x14ac:dyDescent="0.35">
      <c r="A1317" s="6" t="s">
        <v>1265</v>
      </c>
      <c r="B1317" s="6" t="s">
        <v>2455</v>
      </c>
      <c r="C1317" s="6" t="s">
        <v>1244</v>
      </c>
      <c r="D1317" s="6" t="s">
        <v>3623</v>
      </c>
    </row>
    <row r="1318" spans="1:4" x14ac:dyDescent="0.35">
      <c r="A1318" s="6" t="s">
        <v>1438</v>
      </c>
      <c r="B1318" s="6" t="s">
        <v>2456</v>
      </c>
      <c r="C1318" s="6" t="s">
        <v>64</v>
      </c>
      <c r="D1318" s="6" t="s">
        <v>3622</v>
      </c>
    </row>
    <row r="1319" spans="1:4" x14ac:dyDescent="0.35">
      <c r="A1319" s="6" t="s">
        <v>3283</v>
      </c>
      <c r="B1319" s="6" t="s">
        <v>3282</v>
      </c>
      <c r="C1319" s="6" t="s">
        <v>1249</v>
      </c>
      <c r="D1319" s="6" t="s">
        <v>3622</v>
      </c>
    </row>
    <row r="1320" spans="1:4" x14ac:dyDescent="0.35">
      <c r="A1320" s="6" t="s">
        <v>3285</v>
      </c>
      <c r="B1320" s="6" t="s">
        <v>3284</v>
      </c>
      <c r="C1320" s="6" t="s">
        <v>1249</v>
      </c>
      <c r="D1320" s="6" t="s">
        <v>3624</v>
      </c>
    </row>
    <row r="1321" spans="1:4" x14ac:dyDescent="0.35">
      <c r="A1321" s="6" t="s">
        <v>1439</v>
      </c>
      <c r="B1321" s="6" t="s">
        <v>2457</v>
      </c>
      <c r="C1321" s="6" t="s">
        <v>64</v>
      </c>
      <c r="D1321" s="6" t="s">
        <v>3624</v>
      </c>
    </row>
    <row r="1322" spans="1:4" x14ac:dyDescent="0.35">
      <c r="A1322" s="6" t="s">
        <v>3287</v>
      </c>
      <c r="B1322" s="6" t="s">
        <v>3286</v>
      </c>
      <c r="C1322" s="6" t="s">
        <v>1244</v>
      </c>
      <c r="D1322" s="6" t="s">
        <v>3623</v>
      </c>
    </row>
    <row r="1323" spans="1:4" x14ac:dyDescent="0.35">
      <c r="A1323" s="6" t="s">
        <v>3289</v>
      </c>
      <c r="B1323" s="6" t="s">
        <v>3288</v>
      </c>
      <c r="C1323" s="6" t="s">
        <v>1249</v>
      </c>
      <c r="D1323" s="6" t="s">
        <v>1084</v>
      </c>
    </row>
    <row r="1324" spans="1:4" x14ac:dyDescent="0.35">
      <c r="A1324" s="6" t="s">
        <v>3291</v>
      </c>
      <c r="B1324" s="6" t="s">
        <v>3290</v>
      </c>
      <c r="C1324" s="6" t="s">
        <v>64</v>
      </c>
      <c r="D1324" s="6" t="s">
        <v>1084</v>
      </c>
    </row>
    <row r="1325" spans="1:4" x14ac:dyDescent="0.35">
      <c r="A1325" s="6" t="s">
        <v>3586</v>
      </c>
      <c r="B1325" s="6" t="s">
        <v>2458</v>
      </c>
      <c r="C1325" s="6" t="s">
        <v>1244</v>
      </c>
      <c r="D1325" s="6" t="s">
        <v>3623</v>
      </c>
    </row>
    <row r="1326" spans="1:4" x14ac:dyDescent="0.35">
      <c r="A1326" s="6" t="s">
        <v>2460</v>
      </c>
      <c r="B1326" s="6" t="s">
        <v>2459</v>
      </c>
      <c r="C1326" s="6" t="s">
        <v>1244</v>
      </c>
      <c r="D1326" s="6" t="s">
        <v>3623</v>
      </c>
    </row>
    <row r="1327" spans="1:4" x14ac:dyDescent="0.35">
      <c r="A1327" s="6" t="s">
        <v>3292</v>
      </c>
      <c r="B1327" s="6" t="s">
        <v>2461</v>
      </c>
      <c r="C1327" s="6" t="s">
        <v>1244</v>
      </c>
      <c r="D1327" s="6" t="s">
        <v>3622</v>
      </c>
    </row>
    <row r="1328" spans="1:4" x14ac:dyDescent="0.35">
      <c r="A1328" s="6" t="s">
        <v>1411</v>
      </c>
      <c r="B1328" s="6" t="s">
        <v>2462</v>
      </c>
      <c r="C1328" s="6" t="s">
        <v>1244</v>
      </c>
      <c r="D1328" s="6" t="s">
        <v>3623</v>
      </c>
    </row>
    <row r="1329" spans="1:4" x14ac:dyDescent="0.35">
      <c r="A1329" s="6" t="s">
        <v>1412</v>
      </c>
      <c r="B1329" s="6" t="s">
        <v>2463</v>
      </c>
      <c r="C1329" s="6" t="s">
        <v>1244</v>
      </c>
      <c r="D1329" s="6" t="s">
        <v>3623</v>
      </c>
    </row>
    <row r="1330" spans="1:4" x14ac:dyDescent="0.35">
      <c r="A1330" s="6" t="s">
        <v>3587</v>
      </c>
      <c r="B1330" s="6" t="s">
        <v>3293</v>
      </c>
      <c r="C1330" s="6" t="s">
        <v>64</v>
      </c>
      <c r="D1330" s="6" t="s">
        <v>3622</v>
      </c>
    </row>
    <row r="1331" spans="1:4" x14ac:dyDescent="0.35">
      <c r="A1331" s="6" t="s">
        <v>1337</v>
      </c>
      <c r="B1331" s="6" t="s">
        <v>2464</v>
      </c>
      <c r="C1331" s="6" t="s">
        <v>64</v>
      </c>
      <c r="D1331" s="6" t="s">
        <v>3624</v>
      </c>
    </row>
    <row r="1332" spans="1:4" x14ac:dyDescent="0.35">
      <c r="A1332" s="6" t="s">
        <v>2466</v>
      </c>
      <c r="B1332" s="6" t="s">
        <v>2465</v>
      </c>
      <c r="C1332" s="6" t="s">
        <v>64</v>
      </c>
      <c r="D1332" s="6" t="s">
        <v>3622</v>
      </c>
    </row>
    <row r="1333" spans="1:4" x14ac:dyDescent="0.35">
      <c r="A1333" s="6" t="s">
        <v>1336</v>
      </c>
      <c r="B1333" s="6" t="s">
        <v>2467</v>
      </c>
      <c r="C1333" s="6" t="s">
        <v>64</v>
      </c>
      <c r="D1333" s="6" t="s">
        <v>3622</v>
      </c>
    </row>
    <row r="1334" spans="1:4" x14ac:dyDescent="0.35">
      <c r="A1334" s="6" t="s">
        <v>1517</v>
      </c>
      <c r="B1334" s="6" t="s">
        <v>2468</v>
      </c>
      <c r="C1334" s="6" t="s">
        <v>1244</v>
      </c>
      <c r="D1334" s="6" t="s">
        <v>3622</v>
      </c>
    </row>
    <row r="1335" spans="1:4" x14ac:dyDescent="0.35">
      <c r="A1335" s="6" t="s">
        <v>1421</v>
      </c>
      <c r="B1335" s="6" t="s">
        <v>2469</v>
      </c>
      <c r="C1335" s="6" t="s">
        <v>1244</v>
      </c>
      <c r="D1335" s="6" t="s">
        <v>3623</v>
      </c>
    </row>
    <row r="1336" spans="1:4" x14ac:dyDescent="0.35">
      <c r="A1336" s="6" t="s">
        <v>1518</v>
      </c>
      <c r="B1336" s="6" t="s">
        <v>2470</v>
      </c>
      <c r="C1336" s="6" t="s">
        <v>1244</v>
      </c>
      <c r="D1336" s="6" t="s">
        <v>3622</v>
      </c>
    </row>
    <row r="1337" spans="1:4" x14ac:dyDescent="0.35">
      <c r="A1337" s="6" t="s">
        <v>3592</v>
      </c>
      <c r="B1337" s="6">
        <v>111185</v>
      </c>
      <c r="C1337" s="6" t="s">
        <v>2475</v>
      </c>
      <c r="D1337" s="6" t="s">
        <v>3623</v>
      </c>
    </row>
    <row r="1338" spans="1:4" x14ac:dyDescent="0.35">
      <c r="A1338" s="6" t="s">
        <v>3804</v>
      </c>
      <c r="B1338" s="6" t="s">
        <v>3625</v>
      </c>
      <c r="C1338" s="6" t="s">
        <v>1244</v>
      </c>
      <c r="D1338" s="6" t="s">
        <v>3622</v>
      </c>
    </row>
    <row r="1339" spans="1:4" x14ac:dyDescent="0.35">
      <c r="A1339" s="6" t="s">
        <v>3593</v>
      </c>
      <c r="B1339" s="6" t="s">
        <v>3626</v>
      </c>
      <c r="C1339" s="6" t="s">
        <v>1244</v>
      </c>
      <c r="D1339" s="6" t="s">
        <v>3622</v>
      </c>
    </row>
    <row r="1340" spans="1:4" x14ac:dyDescent="0.35">
      <c r="A1340" s="6" t="s">
        <v>3594</v>
      </c>
      <c r="B1340" s="6" t="s">
        <v>3627</v>
      </c>
      <c r="C1340" s="6" t="s">
        <v>1244</v>
      </c>
      <c r="D1340" s="6" t="s">
        <v>3624</v>
      </c>
    </row>
    <row r="1341" spans="1:4" x14ac:dyDescent="0.35">
      <c r="A1341" s="6" t="s">
        <v>3595</v>
      </c>
      <c r="B1341" s="6" t="s">
        <v>3628</v>
      </c>
      <c r="C1341" s="6" t="s">
        <v>1244</v>
      </c>
      <c r="D1341" s="6" t="s">
        <v>3624</v>
      </c>
    </row>
    <row r="1342" spans="1:4" x14ac:dyDescent="0.35">
      <c r="A1342" s="6" t="s">
        <v>3596</v>
      </c>
      <c r="B1342" s="6" t="s">
        <v>3629</v>
      </c>
      <c r="C1342" s="6" t="s">
        <v>1244</v>
      </c>
      <c r="D1342" s="6" t="s">
        <v>3624</v>
      </c>
    </row>
    <row r="1343" spans="1:4" x14ac:dyDescent="0.35">
      <c r="A1343" s="6" t="s">
        <v>3597</v>
      </c>
      <c r="B1343" s="6" t="s">
        <v>3630</v>
      </c>
      <c r="C1343" s="6" t="s">
        <v>1244</v>
      </c>
      <c r="D1343" s="6" t="s">
        <v>3622</v>
      </c>
    </row>
    <row r="1344" spans="1:4" x14ac:dyDescent="0.35">
      <c r="A1344" s="6" t="s">
        <v>3598</v>
      </c>
      <c r="B1344" s="6" t="s">
        <v>3631</v>
      </c>
      <c r="C1344" s="6" t="s">
        <v>1244</v>
      </c>
      <c r="D1344" s="6" t="s">
        <v>3623</v>
      </c>
    </row>
    <row r="1345" spans="1:4" x14ac:dyDescent="0.35">
      <c r="A1345" s="6" t="s">
        <v>3599</v>
      </c>
      <c r="B1345" s="6" t="s">
        <v>3632</v>
      </c>
      <c r="C1345" s="6" t="s">
        <v>1244</v>
      </c>
      <c r="D1345" s="6" t="s">
        <v>3623</v>
      </c>
    </row>
    <row r="1346" spans="1:4" x14ac:dyDescent="0.35">
      <c r="A1346" s="6" t="s">
        <v>3600</v>
      </c>
      <c r="B1346" s="6" t="s">
        <v>3633</v>
      </c>
      <c r="C1346" s="6" t="s">
        <v>64</v>
      </c>
      <c r="D1346" s="6" t="s">
        <v>3622</v>
      </c>
    </row>
    <row r="1347" spans="1:4" x14ac:dyDescent="0.35">
      <c r="A1347" s="6" t="s">
        <v>3601</v>
      </c>
      <c r="B1347" s="6" t="s">
        <v>3634</v>
      </c>
      <c r="C1347" s="6" t="s">
        <v>64</v>
      </c>
      <c r="D1347" s="6" t="s">
        <v>3622</v>
      </c>
    </row>
    <row r="1348" spans="1:4" x14ac:dyDescent="0.35">
      <c r="A1348" s="6" t="s">
        <v>3602</v>
      </c>
      <c r="B1348" s="6" t="s">
        <v>3635</v>
      </c>
      <c r="C1348" s="6" t="s">
        <v>64</v>
      </c>
      <c r="D1348" s="6" t="s">
        <v>3624</v>
      </c>
    </row>
    <row r="1349" spans="1:4" x14ac:dyDescent="0.35">
      <c r="A1349" s="6" t="s">
        <v>3603</v>
      </c>
      <c r="B1349" s="6" t="s">
        <v>3636</v>
      </c>
      <c r="C1349" s="6" t="s">
        <v>1244</v>
      </c>
      <c r="D1349" s="6" t="s">
        <v>3623</v>
      </c>
    </row>
    <row r="1350" spans="1:4" x14ac:dyDescent="0.35">
      <c r="A1350" s="6" t="s">
        <v>3604</v>
      </c>
      <c r="B1350" s="6" t="s">
        <v>3637</v>
      </c>
      <c r="C1350" s="6" t="s">
        <v>3605</v>
      </c>
      <c r="D1350" s="6" t="s">
        <v>3622</v>
      </c>
    </row>
    <row r="1351" spans="1:4" x14ac:dyDescent="0.35">
      <c r="A1351" s="6" t="s">
        <v>3606</v>
      </c>
      <c r="B1351" s="6" t="s">
        <v>3638</v>
      </c>
      <c r="C1351" s="6" t="s">
        <v>3607</v>
      </c>
      <c r="D1351" s="6" t="s">
        <v>3622</v>
      </c>
    </row>
    <row r="1352" spans="1:4" x14ac:dyDescent="0.35">
      <c r="A1352" s="6" t="s">
        <v>3608</v>
      </c>
      <c r="B1352" s="6" t="s">
        <v>3639</v>
      </c>
      <c r="C1352" s="6" t="s">
        <v>3609</v>
      </c>
      <c r="D1352" s="6" t="s">
        <v>3622</v>
      </c>
    </row>
    <row r="1353" spans="1:4" x14ac:dyDescent="0.35">
      <c r="A1353" s="6" t="s">
        <v>3610</v>
      </c>
      <c r="B1353" s="6" t="s">
        <v>3640</v>
      </c>
      <c r="C1353" s="6" t="s">
        <v>3611</v>
      </c>
      <c r="D1353" s="6" t="s">
        <v>3622</v>
      </c>
    </row>
    <row r="1354" spans="1:4" x14ac:dyDescent="0.35">
      <c r="A1354" s="6" t="s">
        <v>3612</v>
      </c>
      <c r="B1354" s="6" t="s">
        <v>3641</v>
      </c>
      <c r="C1354" s="6" t="s">
        <v>3613</v>
      </c>
      <c r="D1354" s="6" t="s">
        <v>3622</v>
      </c>
    </row>
    <row r="1355" spans="1:4" x14ac:dyDescent="0.35">
      <c r="A1355" s="6" t="s">
        <v>3614</v>
      </c>
      <c r="B1355" s="6" t="s">
        <v>3642</v>
      </c>
      <c r="C1355" s="6" t="s">
        <v>3615</v>
      </c>
      <c r="D1355" s="6" t="s">
        <v>3622</v>
      </c>
    </row>
    <row r="1356" spans="1:4" x14ac:dyDescent="0.35">
      <c r="A1356" s="6" t="s">
        <v>3616</v>
      </c>
      <c r="B1356" s="6" t="s">
        <v>3643</v>
      </c>
      <c r="C1356" s="6" t="s">
        <v>1098</v>
      </c>
      <c r="D1356" s="6" t="s">
        <v>3622</v>
      </c>
    </row>
    <row r="1357" spans="1:4" x14ac:dyDescent="0.35">
      <c r="A1357" s="6" t="s">
        <v>3617</v>
      </c>
      <c r="B1357" s="6" t="s">
        <v>3644</v>
      </c>
      <c r="C1357" s="6" t="s">
        <v>64</v>
      </c>
      <c r="D1357" s="6" t="s">
        <v>3624</v>
      </c>
    </row>
    <row r="1358" spans="1:4" x14ac:dyDescent="0.35">
      <c r="A1358" s="6" t="s">
        <v>3806</v>
      </c>
      <c r="B1358" s="6" t="s">
        <v>3645</v>
      </c>
      <c r="C1358" s="6" t="s">
        <v>3618</v>
      </c>
      <c r="D1358" s="6" t="s">
        <v>3622</v>
      </c>
    </row>
    <row r="1359" spans="1:4" x14ac:dyDescent="0.35">
      <c r="A1359" s="6" t="s">
        <v>3619</v>
      </c>
      <c r="B1359" s="6" t="s">
        <v>3646</v>
      </c>
      <c r="C1359" s="6" t="s">
        <v>3620</v>
      </c>
      <c r="D1359" s="6" t="s">
        <v>3622</v>
      </c>
    </row>
    <row r="1360" spans="1:4" x14ac:dyDescent="0.35">
      <c r="A1360" s="6" t="s">
        <v>3621</v>
      </c>
      <c r="B1360" s="6" t="s">
        <v>3647</v>
      </c>
      <c r="C1360" s="6" t="s">
        <v>1244</v>
      </c>
      <c r="D1360" s="6" t="s">
        <v>3623</v>
      </c>
    </row>
    <row r="1361" spans="1:4" x14ac:dyDescent="0.35">
      <c r="A1361" s="6" t="s">
        <v>3705</v>
      </c>
      <c r="B1361">
        <v>101715</v>
      </c>
      <c r="C1361" s="6" t="s">
        <v>1541</v>
      </c>
      <c r="D1361" s="6" t="s">
        <v>3623</v>
      </c>
    </row>
    <row r="1362" spans="1:4" x14ac:dyDescent="0.35">
      <c r="A1362" s="6" t="s">
        <v>3706</v>
      </c>
      <c r="B1362">
        <v>101780</v>
      </c>
      <c r="C1362" s="6" t="s">
        <v>1244</v>
      </c>
      <c r="D1362" s="6" t="s">
        <v>3623</v>
      </c>
    </row>
    <row r="1363" spans="1:4" x14ac:dyDescent="0.35">
      <c r="A1363" s="6" t="s">
        <v>3707</v>
      </c>
      <c r="B1363">
        <v>101790</v>
      </c>
      <c r="C1363" s="6" t="s">
        <v>1244</v>
      </c>
      <c r="D1363" s="6" t="s">
        <v>3622</v>
      </c>
    </row>
    <row r="1364" spans="1:4" x14ac:dyDescent="0.35">
      <c r="A1364" s="6" t="s">
        <v>3708</v>
      </c>
      <c r="B1364">
        <v>101796</v>
      </c>
      <c r="C1364" s="6" t="s">
        <v>2472</v>
      </c>
      <c r="D1364" s="6" t="s">
        <v>3623</v>
      </c>
    </row>
    <row r="1365" spans="1:4" x14ac:dyDescent="0.35">
      <c r="A1365" s="6" t="s">
        <v>3709</v>
      </c>
      <c r="B1365">
        <v>101821</v>
      </c>
      <c r="C1365" s="6" t="s">
        <v>2475</v>
      </c>
      <c r="D1365" s="6" t="s">
        <v>3623</v>
      </c>
    </row>
    <row r="1366" spans="1:4" x14ac:dyDescent="0.35">
      <c r="A1366" s="6" t="s">
        <v>3710</v>
      </c>
      <c r="B1366">
        <v>101822</v>
      </c>
      <c r="C1366" s="6" t="s">
        <v>2478</v>
      </c>
      <c r="D1366" s="6" t="s">
        <v>3623</v>
      </c>
    </row>
    <row r="1367" spans="1:4" x14ac:dyDescent="0.35">
      <c r="A1367" s="6" t="s">
        <v>3711</v>
      </c>
      <c r="B1367">
        <v>101830</v>
      </c>
      <c r="C1367" s="6" t="s">
        <v>3802</v>
      </c>
      <c r="D1367" s="6" t="s">
        <v>3623</v>
      </c>
    </row>
    <row r="1368" spans="1:4" x14ac:dyDescent="0.35">
      <c r="A1368" s="6" t="s">
        <v>3712</v>
      </c>
      <c r="B1368">
        <v>104496</v>
      </c>
      <c r="C1368" s="6" t="s">
        <v>1087</v>
      </c>
      <c r="D1368" s="6" t="s">
        <v>3623</v>
      </c>
    </row>
    <row r="1369" spans="1:4" x14ac:dyDescent="0.35">
      <c r="A1369" s="6" t="s">
        <v>3713</v>
      </c>
      <c r="B1369">
        <v>111452</v>
      </c>
      <c r="C1369" s="6" t="s">
        <v>1087</v>
      </c>
      <c r="D1369" s="6" t="s">
        <v>3623</v>
      </c>
    </row>
    <row r="1370" spans="1:4" x14ac:dyDescent="0.35">
      <c r="A1370" s="6" t="s">
        <v>3714</v>
      </c>
      <c r="B1370">
        <v>111722</v>
      </c>
      <c r="C1370" s="6" t="s">
        <v>1087</v>
      </c>
      <c r="D1370" s="6" t="s">
        <v>3623</v>
      </c>
    </row>
    <row r="1371" spans="1:4" x14ac:dyDescent="0.35">
      <c r="A1371" s="6" t="s">
        <v>3715</v>
      </c>
      <c r="B1371">
        <v>111723</v>
      </c>
      <c r="C1371" s="6" t="s">
        <v>1087</v>
      </c>
      <c r="D1371" s="6" t="s">
        <v>3623</v>
      </c>
    </row>
    <row r="1372" spans="1:4" x14ac:dyDescent="0.35">
      <c r="A1372" s="6" t="s">
        <v>3716</v>
      </c>
      <c r="B1372">
        <v>203531</v>
      </c>
      <c r="C1372" s="6" t="s">
        <v>1087</v>
      </c>
      <c r="D1372" s="6" t="s">
        <v>3623</v>
      </c>
    </row>
    <row r="1373" spans="1:4" x14ac:dyDescent="0.35">
      <c r="A1373" s="6" t="s">
        <v>3717</v>
      </c>
      <c r="B1373" t="s">
        <v>3760</v>
      </c>
      <c r="C1373" s="6" t="s">
        <v>64</v>
      </c>
      <c r="D1373" s="6" t="s">
        <v>3622</v>
      </c>
    </row>
    <row r="1374" spans="1:4" x14ac:dyDescent="0.35">
      <c r="A1374" s="6" t="s">
        <v>3718</v>
      </c>
      <c r="B1374" t="s">
        <v>3761</v>
      </c>
      <c r="C1374" s="6" t="s">
        <v>64</v>
      </c>
      <c r="D1374" s="6" t="s">
        <v>3624</v>
      </c>
    </row>
    <row r="1375" spans="1:4" x14ac:dyDescent="0.35">
      <c r="A1375" s="6" t="s">
        <v>3719</v>
      </c>
      <c r="B1375" t="s">
        <v>3762</v>
      </c>
      <c r="C1375" s="6" t="s">
        <v>64</v>
      </c>
      <c r="D1375" s="6" t="s">
        <v>3622</v>
      </c>
    </row>
    <row r="1376" spans="1:4" x14ac:dyDescent="0.35">
      <c r="A1376" s="6" t="s">
        <v>3720</v>
      </c>
      <c r="B1376" t="s">
        <v>3763</v>
      </c>
      <c r="C1376" s="6" t="s">
        <v>1244</v>
      </c>
      <c r="D1376" s="6" t="s">
        <v>3622</v>
      </c>
    </row>
    <row r="1377" spans="1:4" x14ac:dyDescent="0.35">
      <c r="A1377" s="6" t="s">
        <v>3721</v>
      </c>
      <c r="B1377" t="s">
        <v>3764</v>
      </c>
      <c r="C1377" s="6" t="s">
        <v>1244</v>
      </c>
      <c r="D1377" s="6" t="s">
        <v>3622</v>
      </c>
    </row>
    <row r="1378" spans="1:4" x14ac:dyDescent="0.35">
      <c r="A1378" s="6" t="s">
        <v>3722</v>
      </c>
      <c r="B1378" t="s">
        <v>3765</v>
      </c>
      <c r="C1378" s="6" t="s">
        <v>1244</v>
      </c>
      <c r="D1378" s="6" t="s">
        <v>3622</v>
      </c>
    </row>
    <row r="1379" spans="1:4" x14ac:dyDescent="0.35">
      <c r="A1379" s="6" t="s">
        <v>3723</v>
      </c>
      <c r="B1379" t="s">
        <v>3766</v>
      </c>
      <c r="C1379" s="6" t="s">
        <v>1244</v>
      </c>
      <c r="D1379" s="6" t="s">
        <v>3622</v>
      </c>
    </row>
    <row r="1380" spans="1:4" x14ac:dyDescent="0.35">
      <c r="A1380" s="6" t="s">
        <v>3724</v>
      </c>
      <c r="B1380" t="s">
        <v>3767</v>
      </c>
      <c r="C1380" s="6" t="s">
        <v>1244</v>
      </c>
      <c r="D1380" s="6" t="s">
        <v>3622</v>
      </c>
    </row>
    <row r="1381" spans="1:4" x14ac:dyDescent="0.35">
      <c r="A1381" s="6" t="s">
        <v>3725</v>
      </c>
      <c r="B1381" t="s">
        <v>3768</v>
      </c>
      <c r="C1381" s="6" t="s">
        <v>1244</v>
      </c>
      <c r="D1381" s="6" t="s">
        <v>3622</v>
      </c>
    </row>
    <row r="1382" spans="1:4" x14ac:dyDescent="0.35">
      <c r="A1382" s="6" t="s">
        <v>3726</v>
      </c>
      <c r="B1382" t="s">
        <v>3769</v>
      </c>
      <c r="C1382" s="6" t="s">
        <v>1244</v>
      </c>
      <c r="D1382" s="6" t="s">
        <v>3624</v>
      </c>
    </row>
    <row r="1383" spans="1:4" x14ac:dyDescent="0.35">
      <c r="A1383" s="6" t="s">
        <v>3727</v>
      </c>
      <c r="B1383" t="s">
        <v>3770</v>
      </c>
      <c r="C1383" s="6" t="s">
        <v>1244</v>
      </c>
      <c r="D1383" s="6" t="s">
        <v>3622</v>
      </c>
    </row>
    <row r="1384" spans="1:4" x14ac:dyDescent="0.35">
      <c r="A1384" s="6" t="s">
        <v>3728</v>
      </c>
      <c r="B1384" t="s">
        <v>3771</v>
      </c>
      <c r="C1384" s="6" t="s">
        <v>1244</v>
      </c>
      <c r="D1384" s="6" t="s">
        <v>3622</v>
      </c>
    </row>
    <row r="1385" spans="1:4" x14ac:dyDescent="0.35">
      <c r="A1385" s="6" t="s">
        <v>3729</v>
      </c>
      <c r="B1385" t="s">
        <v>3772</v>
      </c>
      <c r="C1385" s="6" t="s">
        <v>1244</v>
      </c>
      <c r="D1385" s="6" t="s">
        <v>3622</v>
      </c>
    </row>
    <row r="1386" spans="1:4" x14ac:dyDescent="0.35">
      <c r="A1386" s="6" t="s">
        <v>3730</v>
      </c>
      <c r="B1386" t="s">
        <v>3773</v>
      </c>
      <c r="C1386" s="6" t="s">
        <v>1244</v>
      </c>
      <c r="D1386" s="6" t="s">
        <v>3624</v>
      </c>
    </row>
    <row r="1387" spans="1:4" x14ac:dyDescent="0.35">
      <c r="A1387" s="6" t="s">
        <v>3731</v>
      </c>
      <c r="B1387" t="s">
        <v>3774</v>
      </c>
      <c r="C1387" s="6" t="s">
        <v>1244</v>
      </c>
      <c r="D1387" s="6" t="s">
        <v>3622</v>
      </c>
    </row>
    <row r="1388" spans="1:4" x14ac:dyDescent="0.35">
      <c r="A1388" s="6" t="s">
        <v>3732</v>
      </c>
      <c r="B1388" t="s">
        <v>3775</v>
      </c>
      <c r="C1388" s="6" t="s">
        <v>1244</v>
      </c>
      <c r="D1388" s="6" t="s">
        <v>3622</v>
      </c>
    </row>
    <row r="1389" spans="1:4" x14ac:dyDescent="0.35">
      <c r="A1389" s="6" t="s">
        <v>3733</v>
      </c>
      <c r="B1389" t="s">
        <v>3776</v>
      </c>
      <c r="C1389" s="6" t="s">
        <v>1244</v>
      </c>
      <c r="D1389" s="6" t="s">
        <v>3624</v>
      </c>
    </row>
    <row r="1390" spans="1:4" x14ac:dyDescent="0.35">
      <c r="A1390" s="6" t="s">
        <v>3734</v>
      </c>
      <c r="B1390" t="s">
        <v>3777</v>
      </c>
      <c r="C1390" s="6" t="s">
        <v>1244</v>
      </c>
      <c r="D1390" s="6" t="s">
        <v>3622</v>
      </c>
    </row>
    <row r="1391" spans="1:4" x14ac:dyDescent="0.35">
      <c r="A1391" s="6" t="s">
        <v>3735</v>
      </c>
      <c r="B1391" t="s">
        <v>3778</v>
      </c>
      <c r="C1391" s="6" t="s">
        <v>64</v>
      </c>
      <c r="D1391" s="6" t="s">
        <v>3624</v>
      </c>
    </row>
    <row r="1392" spans="1:4" x14ac:dyDescent="0.35">
      <c r="A1392" s="6" t="s">
        <v>3736</v>
      </c>
      <c r="B1392" t="s">
        <v>3779</v>
      </c>
      <c r="C1392" s="6" t="s">
        <v>1244</v>
      </c>
      <c r="D1392" s="6" t="s">
        <v>3624</v>
      </c>
    </row>
    <row r="1393" spans="1:4" x14ac:dyDescent="0.35">
      <c r="A1393" s="6" t="s">
        <v>3737</v>
      </c>
      <c r="B1393" t="s">
        <v>3780</v>
      </c>
      <c r="C1393" s="6" t="s">
        <v>1244</v>
      </c>
      <c r="D1393" s="6" t="s">
        <v>3622</v>
      </c>
    </row>
    <row r="1394" spans="1:4" x14ac:dyDescent="0.35">
      <c r="A1394" s="6" t="s">
        <v>3738</v>
      </c>
      <c r="B1394" t="s">
        <v>3781</v>
      </c>
      <c r="C1394" s="6" t="s">
        <v>1244</v>
      </c>
      <c r="D1394" s="6" t="s">
        <v>3622</v>
      </c>
    </row>
    <row r="1395" spans="1:4" x14ac:dyDescent="0.35">
      <c r="A1395" s="6" t="s">
        <v>3739</v>
      </c>
      <c r="B1395" t="s">
        <v>3782</v>
      </c>
      <c r="C1395" s="6" t="s">
        <v>64</v>
      </c>
      <c r="D1395" s="6" t="s">
        <v>3622</v>
      </c>
    </row>
    <row r="1396" spans="1:4" x14ac:dyDescent="0.35">
      <c r="A1396" s="6" t="s">
        <v>3740</v>
      </c>
      <c r="B1396" t="s">
        <v>3783</v>
      </c>
      <c r="C1396" s="6" t="s">
        <v>1244</v>
      </c>
      <c r="D1396" s="6" t="s">
        <v>3622</v>
      </c>
    </row>
    <row r="1397" spans="1:4" x14ac:dyDescent="0.35">
      <c r="A1397" s="6" t="s">
        <v>3741</v>
      </c>
      <c r="B1397" t="s">
        <v>494</v>
      </c>
      <c r="C1397" s="6" t="s">
        <v>1244</v>
      </c>
      <c r="D1397" s="6" t="s">
        <v>3624</v>
      </c>
    </row>
    <row r="1398" spans="1:4" x14ac:dyDescent="0.35">
      <c r="A1398" s="6" t="s">
        <v>3742</v>
      </c>
      <c r="B1398" t="s">
        <v>3784</v>
      </c>
      <c r="C1398" s="6" t="s">
        <v>1244</v>
      </c>
      <c r="D1398" s="6" t="s">
        <v>3622</v>
      </c>
    </row>
    <row r="1399" spans="1:4" x14ac:dyDescent="0.35">
      <c r="A1399" s="6" t="s">
        <v>3743</v>
      </c>
      <c r="B1399" t="s">
        <v>3785</v>
      </c>
      <c r="C1399" s="6" t="s">
        <v>64</v>
      </c>
      <c r="D1399" s="6" t="s">
        <v>3624</v>
      </c>
    </row>
    <row r="1400" spans="1:4" x14ac:dyDescent="0.35">
      <c r="A1400" s="6" t="s">
        <v>3744</v>
      </c>
      <c r="B1400" t="s">
        <v>3786</v>
      </c>
      <c r="C1400" s="6" t="s">
        <v>1244</v>
      </c>
      <c r="D1400" s="6" t="s">
        <v>3622</v>
      </c>
    </row>
    <row r="1401" spans="1:4" x14ac:dyDescent="0.35">
      <c r="A1401" s="6" t="s">
        <v>3745</v>
      </c>
      <c r="B1401" t="s">
        <v>3787</v>
      </c>
      <c r="C1401" s="6" t="s">
        <v>1244</v>
      </c>
      <c r="D1401" s="6" t="s">
        <v>3623</v>
      </c>
    </row>
    <row r="1402" spans="1:4" x14ac:dyDescent="0.35">
      <c r="A1402" s="6" t="s">
        <v>3746</v>
      </c>
      <c r="B1402" t="s">
        <v>3788</v>
      </c>
      <c r="C1402" s="6" t="s">
        <v>64</v>
      </c>
      <c r="D1402" s="6" t="s">
        <v>3622</v>
      </c>
    </row>
    <row r="1403" spans="1:4" x14ac:dyDescent="0.35">
      <c r="A1403" s="6" t="s">
        <v>3747</v>
      </c>
      <c r="B1403" t="s">
        <v>3789</v>
      </c>
      <c r="C1403" s="6" t="s">
        <v>1244</v>
      </c>
      <c r="D1403" s="6" t="s">
        <v>3622</v>
      </c>
    </row>
    <row r="1404" spans="1:4" x14ac:dyDescent="0.35">
      <c r="A1404" s="6" t="s">
        <v>3748</v>
      </c>
      <c r="B1404" t="s">
        <v>3790</v>
      </c>
      <c r="C1404" s="6" t="s">
        <v>1244</v>
      </c>
      <c r="D1404" s="6" t="s">
        <v>3624</v>
      </c>
    </row>
    <row r="1405" spans="1:4" x14ac:dyDescent="0.35">
      <c r="A1405" s="6" t="s">
        <v>3749</v>
      </c>
      <c r="B1405" t="s">
        <v>3791</v>
      </c>
      <c r="C1405" s="6" t="s">
        <v>1244</v>
      </c>
      <c r="D1405" s="6" t="s">
        <v>3624</v>
      </c>
    </row>
    <row r="1406" spans="1:4" x14ac:dyDescent="0.35">
      <c r="A1406" s="6" t="s">
        <v>3750</v>
      </c>
      <c r="B1406" t="s">
        <v>3792</v>
      </c>
      <c r="C1406" s="6" t="s">
        <v>1244</v>
      </c>
      <c r="D1406" s="6" t="s">
        <v>3624</v>
      </c>
    </row>
    <row r="1407" spans="1:4" x14ac:dyDescent="0.35">
      <c r="A1407" s="6" t="s">
        <v>3751</v>
      </c>
      <c r="B1407" t="s">
        <v>3793</v>
      </c>
      <c r="C1407" s="6" t="s">
        <v>1244</v>
      </c>
      <c r="D1407" s="6" t="s">
        <v>3624</v>
      </c>
    </row>
    <row r="1408" spans="1:4" x14ac:dyDescent="0.35">
      <c r="A1408" s="6" t="s">
        <v>3752</v>
      </c>
      <c r="B1408" t="s">
        <v>3794</v>
      </c>
      <c r="C1408" s="6" t="s">
        <v>1244</v>
      </c>
      <c r="D1408" s="6" t="s">
        <v>3622</v>
      </c>
    </row>
    <row r="1409" spans="1:4" x14ac:dyDescent="0.35">
      <c r="A1409" s="6" t="s">
        <v>3753</v>
      </c>
      <c r="B1409" t="s">
        <v>3795</v>
      </c>
      <c r="C1409" s="6" t="s">
        <v>2475</v>
      </c>
      <c r="D1409" s="6" t="s">
        <v>3623</v>
      </c>
    </row>
    <row r="1410" spans="1:4" x14ac:dyDescent="0.35">
      <c r="A1410" s="6" t="s">
        <v>3754</v>
      </c>
      <c r="B1410" t="s">
        <v>3796</v>
      </c>
      <c r="C1410" s="6" t="s">
        <v>2478</v>
      </c>
      <c r="D1410" s="6" t="s">
        <v>3623</v>
      </c>
    </row>
    <row r="1411" spans="1:4" x14ac:dyDescent="0.35">
      <c r="A1411" s="6" t="s">
        <v>3755</v>
      </c>
      <c r="B1411" t="s">
        <v>3797</v>
      </c>
      <c r="C1411" s="6" t="s">
        <v>1244</v>
      </c>
      <c r="D1411" s="6" t="s">
        <v>3624</v>
      </c>
    </row>
    <row r="1412" spans="1:4" x14ac:dyDescent="0.35">
      <c r="A1412" s="6" t="s">
        <v>3756</v>
      </c>
      <c r="B1412" t="s">
        <v>3798</v>
      </c>
      <c r="C1412" s="6" t="s">
        <v>1244</v>
      </c>
      <c r="D1412" s="6" t="s">
        <v>3622</v>
      </c>
    </row>
    <row r="1413" spans="1:4" x14ac:dyDescent="0.35">
      <c r="A1413" s="6" t="s">
        <v>3757</v>
      </c>
      <c r="B1413" t="s">
        <v>3799</v>
      </c>
      <c r="C1413" s="6" t="s">
        <v>3802</v>
      </c>
      <c r="D1413" s="6" t="s">
        <v>3623</v>
      </c>
    </row>
    <row r="1414" spans="1:4" x14ac:dyDescent="0.35">
      <c r="A1414" s="6" t="s">
        <v>3758</v>
      </c>
      <c r="B1414" t="s">
        <v>3800</v>
      </c>
      <c r="C1414" s="6" t="s">
        <v>1244</v>
      </c>
      <c r="D1414" s="6" t="s">
        <v>3624</v>
      </c>
    </row>
    <row r="1415" spans="1:4" x14ac:dyDescent="0.35">
      <c r="A1415" s="6" t="s">
        <v>3759</v>
      </c>
      <c r="B1415" t="s">
        <v>3801</v>
      </c>
      <c r="C1415" s="6" t="s">
        <v>1244</v>
      </c>
      <c r="D1415" s="6" t="s">
        <v>3622</v>
      </c>
    </row>
  </sheetData>
  <autoFilter ref="A1:C1415" xr:uid="{9B3D3438-6515-4C4C-BA13-9F1B1C3D033D}"/>
  <conditionalFormatting sqref="A2:A1336">
    <cfRule type="duplicateValues" dxfId="2" priority="3"/>
  </conditionalFormatting>
  <conditionalFormatting sqref="A1361:A1415">
    <cfRule type="duplicateValues" dxfId="1" priority="2"/>
  </conditionalFormatting>
  <conditionalFormatting sqref="A1361:A1415">
    <cfRule type="duplicateValues" dxfId="0" priority="1"/>
  </conditionalFormatting>
  <pageMargins left="0.7" right="0.7" top="0.75" bottom="0.75" header="0.3" footer="0.3"/>
  <pageSetup paperSize="9" orientation="portrait" r:id="rId1"/>
  <headerFooter>
    <oddFooter>&amp;L&amp;1#&amp;"Calibri"&amp;10&amp;K000000Classification: 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Table</vt:lpstr>
      <vt:lpstr>Read me</vt:lpstr>
      <vt:lpstr>BIT_UPLOAD</vt:lpstr>
      <vt:lpstr>Field reference</vt:lpstr>
      <vt:lpstr>How to find a BP and CA</vt:lpstr>
      <vt:lpstr>Charge Codes</vt:lpstr>
      <vt:lpstr>CBU-BA List</vt:lpstr>
      <vt:lpstr>Field List</vt:lpstr>
      <vt:lpstr>InvoiceType</vt:lpstr>
      <vt:lpstr>Charge LookUp</vt:lpstr>
      <vt:lpstr>BIT_Type</vt:lpstr>
      <vt:lpstr>Class</vt:lpstr>
      <vt:lpstr>Client</vt:lpstr>
      <vt:lpstr>InvRange</vt:lpstr>
      <vt:lpstr>SubProcess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Racal, Floyd G.</dc:creator>
  <cp:keywords/>
  <dc:description/>
  <cp:lastModifiedBy>Hitesh Anant Gurav</cp:lastModifiedBy>
  <cp:revision/>
  <dcterms:created xsi:type="dcterms:W3CDTF">2020-05-15T20:59:55Z</dcterms:created>
  <dcterms:modified xsi:type="dcterms:W3CDTF">2024-08-12T09:00:35Z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2021-05-25T06:43:21Z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ed73ba4d-8032-46d8-9051-2b9cb987b9d7</vt:lpwstr>
  </property>
  <property fmtid="{D5CDD505-2E9C-101B-9397-08002B2CF9AE}" pid="8" name="MSIP_Label_ea60d57e-af5b-4752-ac57-3e4f28ca11dc_ContentBits">
    <vt:lpwstr>0</vt:lpwstr>
  </property>
  <property fmtid="{D5CDD505-2E9C-101B-9397-08002B2CF9AE}" pid="9" name="MSIP_Label_71bba39d-4745-4e9d-97db-0c1927b54242_Enabled">
    <vt:lpwstr>true</vt:lpwstr>
  </property>
  <property fmtid="{D5CDD505-2E9C-101B-9397-08002B2CF9AE}" pid="10" name="MSIP_Label_71bba39d-4745-4e9d-97db-0c1927b54242_SetDate">
    <vt:lpwstr>2023-11-22T10:00:54Z</vt:lpwstr>
  </property>
  <property fmtid="{D5CDD505-2E9C-101B-9397-08002B2CF9AE}" pid="11" name="MSIP_Label_71bba39d-4745-4e9d-97db-0c1927b54242_Method">
    <vt:lpwstr>Privileged</vt:lpwstr>
  </property>
  <property fmtid="{D5CDD505-2E9C-101B-9397-08002B2CF9AE}" pid="12" name="MSIP_Label_71bba39d-4745-4e9d-97db-0c1927b54242_Name">
    <vt:lpwstr>Internal</vt:lpwstr>
  </property>
  <property fmtid="{D5CDD505-2E9C-101B-9397-08002B2CF9AE}" pid="13" name="MSIP_Label_71bba39d-4745-4e9d-97db-0c1927b54242_SiteId">
    <vt:lpwstr>05d75c05-fa1a-42e7-9cf1-eb416c396f2d</vt:lpwstr>
  </property>
  <property fmtid="{D5CDD505-2E9C-101B-9397-08002B2CF9AE}" pid="14" name="MSIP_Label_71bba39d-4745-4e9d-97db-0c1927b54242_ActionId">
    <vt:lpwstr>4546732b-3997-4641-b62a-5e271a9a9d93</vt:lpwstr>
  </property>
  <property fmtid="{D5CDD505-2E9C-101B-9397-08002B2CF9AE}" pid="15" name="MSIP_Label_71bba39d-4745-4e9d-97db-0c1927b54242_ContentBits">
    <vt:lpwstr>2</vt:lpwstr>
  </property>
</Properties>
</file>