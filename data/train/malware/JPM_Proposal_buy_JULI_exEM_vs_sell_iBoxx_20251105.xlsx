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PORTFOLIO TRADING\Trade Ideas\Nov-25 - long 10y USD v short 10y EUR\"/>
    </mc:Choice>
  </mc:AlternateContent>
  <xr:revisionPtr revIDLastSave="0" documentId="13_ncr:1_{CFE392F0-FAEC-4903-B4F3-7A0657A84CA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Overview" sheetId="1" r:id="rId1"/>
    <sheet name="EUR iBoxx IG proxy" sheetId="2" r:id="rId2"/>
    <sheet name="USD JULI-ex EM proxy" sheetId="3" r:id="rId3"/>
    <sheet name="Rating Map" sheetId="4" state="veryHidden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Z2" i="3"/>
  <c r="S2" i="3" s="1"/>
  <c r="Z3" i="3"/>
  <c r="Z4" i="3"/>
  <c r="Z5" i="3"/>
  <c r="Z6" i="3"/>
  <c r="Z7" i="3"/>
  <c r="S7" i="3" s="1"/>
  <c r="Z8" i="3"/>
  <c r="S8" i="3" s="1"/>
  <c r="Z9" i="3"/>
  <c r="S9" i="3" s="1"/>
  <c r="Z10" i="3"/>
  <c r="Z11" i="3"/>
  <c r="Z12" i="3"/>
  <c r="Z13" i="3"/>
  <c r="Z14" i="3"/>
  <c r="S14" i="3" s="1"/>
  <c r="Z15" i="3"/>
  <c r="S15" i="3" s="1"/>
  <c r="Z16" i="3"/>
  <c r="S16" i="3" s="1"/>
  <c r="Z17" i="3"/>
  <c r="S17" i="3" s="1"/>
  <c r="Z18" i="3"/>
  <c r="S18" i="3" s="1"/>
  <c r="Z19" i="3"/>
  <c r="S19" i="3" s="1"/>
  <c r="Z20" i="3"/>
  <c r="S20" i="3" s="1"/>
  <c r="Z21" i="3"/>
  <c r="S21" i="3" s="1"/>
  <c r="Z22" i="3"/>
  <c r="Z23" i="3"/>
  <c r="Z24" i="3"/>
  <c r="Z25" i="3"/>
  <c r="S25" i="3" s="1"/>
  <c r="Z26" i="3"/>
  <c r="Z27" i="3"/>
  <c r="Z28" i="3"/>
  <c r="Z29" i="3"/>
  <c r="Z30" i="3"/>
  <c r="S30" i="3" s="1"/>
  <c r="Z31" i="3"/>
  <c r="S31" i="3" s="1"/>
  <c r="Z32" i="3"/>
  <c r="S32" i="3" s="1"/>
  <c r="Z33" i="3"/>
  <c r="S33" i="3" s="1"/>
  <c r="Z34" i="3"/>
  <c r="S34" i="3" s="1"/>
  <c r="Z35" i="3"/>
  <c r="S35" i="3" s="1"/>
  <c r="Z36" i="3"/>
  <c r="S36" i="3" s="1"/>
  <c r="Z37" i="3"/>
  <c r="S37" i="3" s="1"/>
  <c r="Z38" i="3"/>
  <c r="S38" i="3" s="1"/>
  <c r="Z39" i="3"/>
  <c r="S39" i="3" s="1"/>
  <c r="Z40" i="3"/>
  <c r="S40" i="3" s="1"/>
  <c r="Z41" i="3"/>
  <c r="S41" i="3" s="1"/>
  <c r="Z42" i="3"/>
  <c r="Z43" i="3"/>
  <c r="Z44" i="3"/>
  <c r="Z45" i="3"/>
  <c r="Z46" i="3"/>
  <c r="S46" i="3" s="1"/>
  <c r="Z47" i="3"/>
  <c r="S47" i="3" s="1"/>
  <c r="Z48" i="3"/>
  <c r="S48" i="3" s="1"/>
  <c r="Z49" i="3"/>
  <c r="S49" i="3" s="1"/>
  <c r="Z50" i="3"/>
  <c r="S50" i="3" s="1"/>
  <c r="Z51" i="3"/>
  <c r="Z52" i="3"/>
  <c r="Z53" i="3"/>
  <c r="Z54" i="3"/>
  <c r="S54" i="3" s="1"/>
  <c r="Z55" i="3"/>
  <c r="S55" i="3" s="1"/>
  <c r="Z56" i="3"/>
  <c r="S56" i="3" s="1"/>
  <c r="Z57" i="3"/>
  <c r="S57" i="3" s="1"/>
  <c r="Z58" i="3"/>
  <c r="Z59" i="3"/>
  <c r="Z60" i="3"/>
  <c r="Z61" i="3"/>
  <c r="Z62" i="3"/>
  <c r="Z63" i="3"/>
  <c r="S63" i="3" s="1"/>
  <c r="Z64" i="3"/>
  <c r="S64" i="3" s="1"/>
  <c r="Z65" i="3"/>
  <c r="S65" i="3" s="1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S3" i="3"/>
  <c r="S4" i="3"/>
  <c r="S5" i="3"/>
  <c r="S6" i="3"/>
  <c r="S10" i="3"/>
  <c r="S11" i="3"/>
  <c r="S12" i="3"/>
  <c r="S13" i="3"/>
  <c r="S22" i="3"/>
  <c r="S23" i="3"/>
  <c r="S24" i="3"/>
  <c r="S26" i="3"/>
  <c r="S27" i="3"/>
  <c r="S28" i="3"/>
  <c r="S29" i="3"/>
  <c r="S42" i="3"/>
  <c r="S43" i="3"/>
  <c r="S44" i="3"/>
  <c r="S45" i="3"/>
  <c r="S51" i="3"/>
  <c r="S52" i="3"/>
  <c r="S53" i="3"/>
  <c r="S58" i="3"/>
  <c r="S59" i="3"/>
  <c r="S60" i="3"/>
  <c r="S61" i="3"/>
  <c r="S62" i="3"/>
</calcChain>
</file>

<file path=xl/sharedStrings.xml><?xml version="1.0" encoding="utf-8"?>
<sst xmlns="http://schemas.openxmlformats.org/spreadsheetml/2006/main" count="2030" uniqueCount="725">
  <si>
    <t>Summary</t>
  </si>
  <si>
    <t>EUR iBoxx IG proxy</t>
  </si>
  <si>
    <t>USD JULI-ex EM proxy</t>
  </si>
  <si>
    <t># of Bonds</t>
  </si>
  <si>
    <t># of Issuers</t>
  </si>
  <si>
    <t>Average Rating</t>
  </si>
  <si>
    <t>Px</t>
  </si>
  <si>
    <t>MV Spread</t>
  </si>
  <si>
    <t>MV-Duration Spread</t>
  </si>
  <si>
    <t>Duration</t>
  </si>
  <si>
    <t>Average Maturity</t>
  </si>
  <si>
    <t>Rating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</si>
  <si>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</si>
  <si>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</si>
  <si>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</si>
  <si>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</si>
  <si>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</si>
  <si>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</si>
  <si>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</si>
  <si>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</si>
  <si>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</si>
  <si>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</si>
  <si>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</si>
  <si>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</si>
  <si>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None</t>
  </si>
  <si>
    <t>Sector</t>
  </si>
  <si>
    <t>Financial</t>
  </si>
  <si>
    <t>Communications</t>
  </si>
  <si>
    <t>Consumer, Non-cyclical</t>
  </si>
  <si>
    <t>Energy</t>
  </si>
  <si>
    <t>Consumer, Cyclical</t>
  </si>
  <si>
    <t>Technology</t>
  </si>
  <si>
    <t>Basic Materials</t>
  </si>
  <si>
    <t>Industrial</t>
  </si>
  <si>
    <t>Utilities</t>
  </si>
  <si>
    <t>Maturity Bucket</t>
  </si>
  <si>
    <t>&lt;1yr</t>
  </si>
  <si>
    <t>1-3yrs</t>
  </si>
  <si>
    <t>3-5yrs</t>
  </si>
  <si>
    <t>5-7yrs</t>
  </si>
  <si>
    <t>7-10yrs</t>
  </si>
  <si>
    <t>10yrs+</t>
  </si>
  <si>
    <t>US</t>
  </si>
  <si>
    <t>Payment Rank</t>
  </si>
  <si>
    <t>Senior Secured</t>
  </si>
  <si>
    <t>Senior Unsecured</t>
  </si>
  <si>
    <t>Subordinated LT2</t>
  </si>
  <si>
    <t>ISIN</t>
  </si>
  <si>
    <t>CUSIP</t>
  </si>
  <si>
    <t>Bond</t>
  </si>
  <si>
    <t>Notional</t>
  </si>
  <si>
    <t>Ticker</t>
  </si>
  <si>
    <t>Issuer</t>
  </si>
  <si>
    <t>Group</t>
  </si>
  <si>
    <t>Moody</t>
  </si>
  <si>
    <t xml:space="preserve">S&amp;P </t>
  </si>
  <si>
    <t>Fitch</t>
  </si>
  <si>
    <t>Quote Type</t>
  </si>
  <si>
    <t>JPM Price</t>
  </si>
  <si>
    <t>JPM Spread</t>
  </si>
  <si>
    <t>JPM Yield</t>
  </si>
  <si>
    <t>JPM MV</t>
  </si>
  <si>
    <t>Years to Maturity</t>
  </si>
  <si>
    <t>Country</t>
  </si>
  <si>
    <t>Amount Outstanding</t>
  </si>
  <si>
    <t>Ordinal Rating</t>
  </si>
  <si>
    <t>BE6285455497</t>
  </si>
  <si>
    <t>ABIBB 2 03/17/28</t>
  </si>
  <si>
    <t>ABIBB</t>
  </si>
  <si>
    <t>Anheuser-Busch InBev SA/NV</t>
  </si>
  <si>
    <t>Beverages</t>
  </si>
  <si>
    <t>A3</t>
  </si>
  <si>
    <t>WD</t>
  </si>
  <si>
    <t>Spread</t>
  </si>
  <si>
    <t>BE</t>
  </si>
  <si>
    <t>XS3083189319</t>
  </si>
  <si>
    <t>ABNANV 2 3/4 06/04/29</t>
  </si>
  <si>
    <t>ABNANV</t>
  </si>
  <si>
    <t>ABN AMRO Bank NV</t>
  </si>
  <si>
    <t>Banks</t>
  </si>
  <si>
    <t>Aa3</t>
  </si>
  <si>
    <t>NL</t>
  </si>
  <si>
    <t>FR0014012B88</t>
  </si>
  <si>
    <t>ACFP 3 5/8 09/03/32</t>
  </si>
  <si>
    <t>ACFP</t>
  </si>
  <si>
    <t>Accor SA</t>
  </si>
  <si>
    <t>Lodging</t>
  </si>
  <si>
    <t>N/A</t>
  </si>
  <si>
    <t>FR</t>
  </si>
  <si>
    <t>FR0013505633</t>
  </si>
  <si>
    <t>ADPFP 2 3/4 04/02/30</t>
  </si>
  <si>
    <t>ADPFP</t>
  </si>
  <si>
    <t>Aeroports de Paris SA</t>
  </si>
  <si>
    <t>Engineering&amp;Construction</t>
  </si>
  <si>
    <t>XS3215529192</t>
  </si>
  <si>
    <t>ASNBNK 3 3/8 10/27/32</t>
  </si>
  <si>
    <t>ASNBNK</t>
  </si>
  <si>
    <t>ASN Bank NV</t>
  </si>
  <si>
    <t>Baa1</t>
  </si>
  <si>
    <t>XS3135127119</t>
  </si>
  <si>
    <t>ATH 2 7/8 07/21/28</t>
  </si>
  <si>
    <t>ATH</t>
  </si>
  <si>
    <t>Athene Global Funding</t>
  </si>
  <si>
    <t>Insurance</t>
  </si>
  <si>
    <t>A1</t>
  </si>
  <si>
    <t>FR001400F6E7</t>
  </si>
  <si>
    <t>AYVFP 4 1/4 01/18/27</t>
  </si>
  <si>
    <t>AYVFP</t>
  </si>
  <si>
    <t>Ayvens SA</t>
  </si>
  <si>
    <t>Commercial Services</t>
  </si>
  <si>
    <t>XS3217583049</t>
  </si>
  <si>
    <t>BAC 2.984 10/30/31</t>
  </si>
  <si>
    <t>BAC</t>
  </si>
  <si>
    <t>Bank of America Corp</t>
  </si>
  <si>
    <t>XS3075491152</t>
  </si>
  <si>
    <t>BMW 2 5/8 05/20/28</t>
  </si>
  <si>
    <t>BMW</t>
  </si>
  <si>
    <t>BMW Finance NV</t>
  </si>
  <si>
    <t>Auto Manufacturers</t>
  </si>
  <si>
    <t>A2</t>
  </si>
  <si>
    <t>DE</t>
  </si>
  <si>
    <t>FR0013484458</t>
  </si>
  <si>
    <t>BNP 0 1/2 02/19/28</t>
  </si>
  <si>
    <t>BNP</t>
  </si>
  <si>
    <t>BNP Paribas SA</t>
  </si>
  <si>
    <t>XS3084359036</t>
  </si>
  <si>
    <t>BRITEL 3 3/4 01/03/35</t>
  </si>
  <si>
    <t>BRITEL</t>
  </si>
  <si>
    <t>British Telecommunications PLC</t>
  </si>
  <si>
    <t>Telecommunications</t>
  </si>
  <si>
    <t>Baa2</t>
  </si>
  <si>
    <t>GB</t>
  </si>
  <si>
    <t>XS1200679071</t>
  </si>
  <si>
    <t>084670BN7</t>
  </si>
  <si>
    <t>BRK 1 1/8 03/16/27</t>
  </si>
  <si>
    <t>BRK</t>
  </si>
  <si>
    <t>Berkshire Hathaway Inc</t>
  </si>
  <si>
    <t>Aa2</t>
  </si>
  <si>
    <t>XS3214409834</t>
  </si>
  <si>
    <t>C 3.493 10/22/34</t>
  </si>
  <si>
    <t>C</t>
  </si>
  <si>
    <t>Citigroup Inc</t>
  </si>
  <si>
    <t>XS2679904768</t>
  </si>
  <si>
    <t>CAJAMA 7 1/2 09/14/29</t>
  </si>
  <si>
    <t>CAJAMA</t>
  </si>
  <si>
    <t>Banco de Credito Social Cooperativo SA</t>
  </si>
  <si>
    <t>ES</t>
  </si>
  <si>
    <t>XS3002420498</t>
  </si>
  <si>
    <t>CARLB 3 1/4 02/28/32</t>
  </si>
  <si>
    <t>CARLB</t>
  </si>
  <si>
    <t>Carlsberg Breweries A/S</t>
  </si>
  <si>
    <t>DK</t>
  </si>
  <si>
    <t>XS3151775023</t>
  </si>
  <si>
    <t>CAT 2.521 08/22/28</t>
  </si>
  <si>
    <t>CAT</t>
  </si>
  <si>
    <t>Caterpillar Financial Services Corp</t>
  </si>
  <si>
    <t>Machinery-Constr&amp;Mining</t>
  </si>
  <si>
    <t>XS3118936452</t>
  </si>
  <si>
    <t>CM 3 1/4 07/16/31</t>
  </si>
  <si>
    <t>CM</t>
  </si>
  <si>
    <t>Canadian Imperial Bank of Commerce</t>
  </si>
  <si>
    <t>CA</t>
  </si>
  <si>
    <t>XS3017991368</t>
  </si>
  <si>
    <t>CTPNV 4 1/4 03/10/35</t>
  </si>
  <si>
    <t>CTPNV</t>
  </si>
  <si>
    <t>CTP NV</t>
  </si>
  <si>
    <t>Real Estate</t>
  </si>
  <si>
    <t>Baa3</t>
  </si>
  <si>
    <t>DE000DL19U23</t>
  </si>
  <si>
    <t>DB 1 5/8 01/20/27</t>
  </si>
  <si>
    <t>DB</t>
  </si>
  <si>
    <t>Deutsche Bank AG</t>
  </si>
  <si>
    <t>DE000A4DFSK4</t>
  </si>
  <si>
    <t>DB 2 5/8 08/13/28</t>
  </si>
  <si>
    <t>XS3198651872</t>
  </si>
  <si>
    <t>DGELN 3 1/4 10/03/32</t>
  </si>
  <si>
    <t>DGELN</t>
  </si>
  <si>
    <t>Diageo Finance PLC</t>
  </si>
  <si>
    <t>XS2932831923</t>
  </si>
  <si>
    <t>DSVDC 3 1/8 11/06/28</t>
  </si>
  <si>
    <t>DSVDC</t>
  </si>
  <si>
    <t>DSV Finance BV</t>
  </si>
  <si>
    <t>Transportation</t>
  </si>
  <si>
    <t>XS2948768556</t>
  </si>
  <si>
    <t>DT 3 1/4 06/04/35</t>
  </si>
  <si>
    <t>DT</t>
  </si>
  <si>
    <t>Deutsche Telekom AG</t>
  </si>
  <si>
    <t>XS3081821699</t>
  </si>
  <si>
    <t>DTRGR 3 11/27/29</t>
  </si>
  <si>
    <t>DTRGR</t>
  </si>
  <si>
    <t>Daimler Truck International Finance BV</t>
  </si>
  <si>
    <t>FR0014010BK0</t>
  </si>
  <si>
    <t>EFFP 2 5/8 01/10/30</t>
  </si>
  <si>
    <t>EFFP</t>
  </si>
  <si>
    <t>EssilorLuxottica SA</t>
  </si>
  <si>
    <t>Healthcare-Products</t>
  </si>
  <si>
    <t>XS2047500926</t>
  </si>
  <si>
    <t>EOANGR 0.35 02/28/30</t>
  </si>
  <si>
    <t>EOANGR</t>
  </si>
  <si>
    <t>E.ON SE</t>
  </si>
  <si>
    <t>Electric</t>
  </si>
  <si>
    <t>XS3201899856</t>
  </si>
  <si>
    <t>EUROGR 2.886 10/16/29</t>
  </si>
  <si>
    <t>EUROGR</t>
  </si>
  <si>
    <t>Eurogrid GmbH</t>
  </si>
  <si>
    <t>XS3201905091</t>
  </si>
  <si>
    <t>EUROGR 4.165 10/16/40</t>
  </si>
  <si>
    <t>XS3060660563</t>
  </si>
  <si>
    <t>337735AC8</t>
  </si>
  <si>
    <t>FI 4 06/15/36</t>
  </si>
  <si>
    <t>FI</t>
  </si>
  <si>
    <t>Fiserv Funding ULC</t>
  </si>
  <si>
    <t>XS3194155563</t>
  </si>
  <si>
    <t>GLENLN 3.668 10/06/32</t>
  </si>
  <si>
    <t>GLENLN</t>
  </si>
  <si>
    <t>Glencore Capital Finance DAC</t>
  </si>
  <si>
    <t>Mining</t>
  </si>
  <si>
    <t>AU</t>
  </si>
  <si>
    <t>XS2908095172</t>
  </si>
  <si>
    <t>HBRLN 4.357 10/03/32</t>
  </si>
  <si>
    <t>HBRLN</t>
  </si>
  <si>
    <t>Wintershall Dea Finance BV</t>
  </si>
  <si>
    <t>Oil&amp;Gas</t>
  </si>
  <si>
    <t>XS3000561566</t>
  </si>
  <si>
    <t>HOG 4 03/12/30</t>
  </si>
  <si>
    <t>HOG</t>
  </si>
  <si>
    <t>Harley-Davidson Financial Services Inc</t>
  </si>
  <si>
    <t>Leisure Time</t>
  </si>
  <si>
    <t>XS2583741934</t>
  </si>
  <si>
    <t>459200LA7</t>
  </si>
  <si>
    <t>IBM 3 3/8 02/06/27</t>
  </si>
  <si>
    <t>IBM</t>
  </si>
  <si>
    <t>International Business Machines Corp</t>
  </si>
  <si>
    <t>Computers</t>
  </si>
  <si>
    <t>XS3189697793</t>
  </si>
  <si>
    <t>IDSLN 4 10/01/32</t>
  </si>
  <si>
    <t>IDSLN</t>
  </si>
  <si>
    <t>IDS Financing PLC</t>
  </si>
  <si>
    <t>XS2123320033</t>
  </si>
  <si>
    <t>JPM 0.389 02/24/28</t>
  </si>
  <si>
    <t>JPM</t>
  </si>
  <si>
    <t>JPMorgan Chase &amp; Co</t>
  </si>
  <si>
    <t>XS2905504671</t>
  </si>
  <si>
    <t>KNOGR 3 09/30/29</t>
  </si>
  <si>
    <t>KNOGR</t>
  </si>
  <si>
    <t>Knorr-Bremse AG</t>
  </si>
  <si>
    <t>Miscellaneous Manufactur</t>
  </si>
  <si>
    <t>FR0014013DU9</t>
  </si>
  <si>
    <t>LAMON 4 3/8 10/20/35</t>
  </si>
  <si>
    <t>LAMON</t>
  </si>
  <si>
    <t>La Mondiale SAM</t>
  </si>
  <si>
    <t>XS3214761473</t>
  </si>
  <si>
    <t>MNDILN 3 3/8 05/23/31</t>
  </si>
  <si>
    <t>MNDILN</t>
  </si>
  <si>
    <t>Mondi Finance PLC</t>
  </si>
  <si>
    <t>Forest Products&amp;Paper</t>
  </si>
  <si>
    <t>AT</t>
  </si>
  <si>
    <t>DE000MHB67Q8</t>
  </si>
  <si>
    <t>MUNHYP 3 3/8 04/11/35</t>
  </si>
  <si>
    <t>MUNHYP</t>
  </si>
  <si>
    <t>Muenchener Hypothekenbank eG</t>
  </si>
  <si>
    <t>XS3185372326</t>
  </si>
  <si>
    <t>NESNVX 3 09/23/33</t>
  </si>
  <si>
    <t>NESNVX</t>
  </si>
  <si>
    <t>Nestle Finance International Ltd</t>
  </si>
  <si>
    <t>Food</t>
  </si>
  <si>
    <t>XS1821883102</t>
  </si>
  <si>
    <t>NFLX 3 5/8 05/15/27</t>
  </si>
  <si>
    <t>NFLX</t>
  </si>
  <si>
    <t>Netflix Inc</t>
  </si>
  <si>
    <t>Internet</t>
  </si>
  <si>
    <t>XS3066581664</t>
  </si>
  <si>
    <t>NOMURA 3.459 05/28/30</t>
  </si>
  <si>
    <t>NOMURA</t>
  </si>
  <si>
    <t>Nomura Holdings Inc</t>
  </si>
  <si>
    <t>Diversified Finan Serv</t>
  </si>
  <si>
    <t>JP</t>
  </si>
  <si>
    <t>XS3002552993</t>
  </si>
  <si>
    <t>NOVOB 2 3/8 05/27/28</t>
  </si>
  <si>
    <t>NOVOB</t>
  </si>
  <si>
    <t>Novo Nordisk Finance Netherlands BV</t>
  </si>
  <si>
    <t>Pharmaceuticals</t>
  </si>
  <si>
    <t>XS3002553298</t>
  </si>
  <si>
    <t>NOVOB 2 7/8 08/27/30</t>
  </si>
  <si>
    <t>XS3009472989</t>
  </si>
  <si>
    <t>NWG 3.723 02/25/35</t>
  </si>
  <si>
    <t>NWG</t>
  </si>
  <si>
    <t>NatWest Group PLC</t>
  </si>
  <si>
    <t>XS3087807916</t>
  </si>
  <si>
    <t>NWIDE 4 03/18/28</t>
  </si>
  <si>
    <t>NWIDE</t>
  </si>
  <si>
    <t>Nationwide Building Society</t>
  </si>
  <si>
    <t>Savings&amp;Loans</t>
  </si>
  <si>
    <t>XS2482887879</t>
  </si>
  <si>
    <t>RWE 2 3/4 05/24/30</t>
  </si>
  <si>
    <t>RWE</t>
  </si>
  <si>
    <t>RWE AG</t>
  </si>
  <si>
    <t>XS2511906310</t>
  </si>
  <si>
    <t>SEGPLP 3 3/4 08/10/27</t>
  </si>
  <si>
    <t>SEGPLP</t>
  </si>
  <si>
    <t>SELP Finance Sarl</t>
  </si>
  <si>
    <t>REITS</t>
  </si>
  <si>
    <t>LU</t>
  </si>
  <si>
    <t>XS2616008970</t>
  </si>
  <si>
    <t>SIKASW 3 3/4 05/03/30</t>
  </si>
  <si>
    <t>SIKASW</t>
  </si>
  <si>
    <t>Sika Capital BV</t>
  </si>
  <si>
    <t>Building Materials</t>
  </si>
  <si>
    <t>CH</t>
  </si>
  <si>
    <t>FR0013479276</t>
  </si>
  <si>
    <t>SOCGEN 0 3/4 01/25/27</t>
  </si>
  <si>
    <t>SOCGEN</t>
  </si>
  <si>
    <t>Societe Generale SA</t>
  </si>
  <si>
    <t>XS3096163160</t>
  </si>
  <si>
    <t>SRGIM 3 1/4 07/01/32</t>
  </si>
  <si>
    <t>SRGIM</t>
  </si>
  <si>
    <t>Snam SpA</t>
  </si>
  <si>
    <t>Gas</t>
  </si>
  <si>
    <t>IT</t>
  </si>
  <si>
    <t>XS3212395100</t>
  </si>
  <si>
    <t>STATNE 3 5/8 10/21/38</t>
  </si>
  <si>
    <t>STATNE</t>
  </si>
  <si>
    <t>Statnett SF</t>
  </si>
  <si>
    <t>NO</t>
  </si>
  <si>
    <t>FR0014012CM0</t>
  </si>
  <si>
    <t>SUFP 2 5/8 09/02/29</t>
  </si>
  <si>
    <t>SUFP</t>
  </si>
  <si>
    <t>Schneider Electric SE</t>
  </si>
  <si>
    <t>Electrical Compo&amp;Equip</t>
  </si>
  <si>
    <t>XS3189681011</t>
  </si>
  <si>
    <t>SUMIBK 3.686 10/06/36</t>
  </si>
  <si>
    <t>SUMIBK</t>
  </si>
  <si>
    <t>Sumitomo Mitsui Financial Group Inc</t>
  </si>
  <si>
    <t>XS3203385227</t>
  </si>
  <si>
    <t>SWEDA 3 1/4 10/13/32</t>
  </si>
  <si>
    <t>SWEDA</t>
  </si>
  <si>
    <t>Swedbank AB</t>
  </si>
  <si>
    <t>SE</t>
  </si>
  <si>
    <t>XS3178086230</t>
  </si>
  <si>
    <t>SYMRIS 3 1/4 09/24/32</t>
  </si>
  <si>
    <t>SYMRIS</t>
  </si>
  <si>
    <t>Symrise AG</t>
  </si>
  <si>
    <t>Chemicals</t>
  </si>
  <si>
    <t>XS1843449122</t>
  </si>
  <si>
    <t>TACHEM 2 1/4 11/21/26</t>
  </si>
  <si>
    <t>TACHEM</t>
  </si>
  <si>
    <t>Takeda Pharmaceutical Co Ltd</t>
  </si>
  <si>
    <t>Price</t>
  </si>
  <si>
    <t>XS3187612216</t>
  </si>
  <si>
    <t>TD 3.357 09/22/32</t>
  </si>
  <si>
    <t>TD</t>
  </si>
  <si>
    <t>Toronto-Dominion Bank/The</t>
  </si>
  <si>
    <t>XS2746662936</t>
  </si>
  <si>
    <t>87264ADJ1</t>
  </si>
  <si>
    <t>TMUS 3.7 05/08/32</t>
  </si>
  <si>
    <t>TMUS</t>
  </si>
  <si>
    <t>T-Mobile USA Inc</t>
  </si>
  <si>
    <t>DE000A4EFPS1</t>
  </si>
  <si>
    <t>TRAGR 2 7/8 08/26/28</t>
  </si>
  <si>
    <t>TRAGR</t>
  </si>
  <si>
    <t>Traton Finance Luxembourg SA</t>
  </si>
  <si>
    <t>XS3201918409</t>
  </si>
  <si>
    <t>TSCOLN 3 1/2 10/13/33</t>
  </si>
  <si>
    <t>TSCOLN</t>
  </si>
  <si>
    <t>Tesco Corporate Treasury Services PLC</t>
  </si>
  <si>
    <t>XS3106109765</t>
  </si>
  <si>
    <t>TTEFP 3.075 07/01/31</t>
  </si>
  <si>
    <t>TTEFP</t>
  </si>
  <si>
    <t>TotalEnergies Capital International SA</t>
  </si>
  <si>
    <t>XS3081333547</t>
  </si>
  <si>
    <t>UNANA 2 3/4 05/22/30</t>
  </si>
  <si>
    <t>UNANA</t>
  </si>
  <si>
    <t>Unilever Capital Corp</t>
  </si>
  <si>
    <t>Cosmetics/Personal Care</t>
  </si>
  <si>
    <t>XS3063724325</t>
  </si>
  <si>
    <t>92826CAU6</t>
  </si>
  <si>
    <t>V 2 1/4 05/15/28</t>
  </si>
  <si>
    <t>V</t>
  </si>
  <si>
    <t>Visa Inc</t>
  </si>
  <si>
    <t>XS3019303133</t>
  </si>
  <si>
    <t>VARNO 3 7/8 03/12/31</t>
  </si>
  <si>
    <t>VARNO</t>
  </si>
  <si>
    <t>Var Energi ASA</t>
  </si>
  <si>
    <t>XS3201936724</t>
  </si>
  <si>
    <t>VRDIUM 4 3/8 11/16/35</t>
  </si>
  <si>
    <t>VRDIUM</t>
  </si>
  <si>
    <t>Viridium Group Sarl</t>
  </si>
  <si>
    <t>US00287YDW66</t>
  </si>
  <si>
    <t>00287YDW6</t>
  </si>
  <si>
    <t>ABBV 5.4 03/15/54</t>
  </si>
  <si>
    <t>ABBV</t>
  </si>
  <si>
    <t>AbbVie Inc</t>
  </si>
  <si>
    <t>US03522AAJ97</t>
  </si>
  <si>
    <t>03522AAJ9</t>
  </si>
  <si>
    <t>ABIBB 4.9 02/01/46</t>
  </si>
  <si>
    <t>Anheuser-Busch Cos LLC / Anheuser-Busch InBev Worldwide Inc</t>
  </si>
  <si>
    <t>US00774MAW55</t>
  </si>
  <si>
    <t>00774MAW5</t>
  </si>
  <si>
    <t>AER 3 10/29/28</t>
  </si>
  <si>
    <t>AER</t>
  </si>
  <si>
    <t>AerCap Ireland Capital DAC / AerCap Global Aviation Trust</t>
  </si>
  <si>
    <t>IE</t>
  </si>
  <si>
    <t>US031162DR88</t>
  </si>
  <si>
    <t>031162DR8</t>
  </si>
  <si>
    <t>AMGN 5 1/4 03/02/33</t>
  </si>
  <si>
    <t>AMGN</t>
  </si>
  <si>
    <t>Amgen Inc</t>
  </si>
  <si>
    <t>Biotechnology</t>
  </si>
  <si>
    <t>US11135FAQ46</t>
  </si>
  <si>
    <t>11135FAQ4</t>
  </si>
  <si>
    <t>AVGO 4.15 11/15/30</t>
  </si>
  <si>
    <t>AVGO</t>
  </si>
  <si>
    <t>Broadcom Inc</t>
  </si>
  <si>
    <t>Semiconductors</t>
  </si>
  <si>
    <t>US11135FBV22</t>
  </si>
  <si>
    <t>11135FBV2</t>
  </si>
  <si>
    <t>AVGO 4.926 05/15/37</t>
  </si>
  <si>
    <t>US025816CS64</t>
  </si>
  <si>
    <t>025816CS6</t>
  </si>
  <si>
    <t>AXP 2.55 03/04/27</t>
  </si>
  <si>
    <t>AXP</t>
  </si>
  <si>
    <t>American Express Co</t>
  </si>
  <si>
    <t>US097023CW33</t>
  </si>
  <si>
    <t>097023CW3</t>
  </si>
  <si>
    <t>BA 5.805 05/01/50</t>
  </si>
  <si>
    <t>BA</t>
  </si>
  <si>
    <t>Boeing Co/The</t>
  </si>
  <si>
    <t>Aerospace/Defense</t>
  </si>
  <si>
    <t>US06051GHD43</t>
  </si>
  <si>
    <t>06051GHD4</t>
  </si>
  <si>
    <t>BAC 3.419 12/20/28</t>
  </si>
  <si>
    <t>US06738ECG89</t>
  </si>
  <si>
    <t>06738ECG8</t>
  </si>
  <si>
    <t>BACR 6.224 05/09/34</t>
  </si>
  <si>
    <t>BACR</t>
  </si>
  <si>
    <t>Barclays PLC</t>
  </si>
  <si>
    <t>US110122EK02</t>
  </si>
  <si>
    <t>110122EK0</t>
  </si>
  <si>
    <t>BMY 5.55 02/22/54</t>
  </si>
  <si>
    <t>BMY</t>
  </si>
  <si>
    <t>Bristol-Myers Squibb Co</t>
  </si>
  <si>
    <t>US09659W2P81</t>
  </si>
  <si>
    <t>09659W2P8</t>
  </si>
  <si>
    <t>BNP 2.871 04/19/32</t>
  </si>
  <si>
    <t>US59562VAM90</t>
  </si>
  <si>
    <t>59562VAM9</t>
  </si>
  <si>
    <t>BRKHEC 6 1/8 04/01/36</t>
  </si>
  <si>
    <t>BRKHEC</t>
  </si>
  <si>
    <t>Berkshire Hathaway Energy Co</t>
  </si>
  <si>
    <t>US172967LD18</t>
  </si>
  <si>
    <t>172967LD1</t>
  </si>
  <si>
    <t>C 3.887 01/10/28</t>
  </si>
  <si>
    <t>US210385AF78</t>
  </si>
  <si>
    <t>210385AF7</t>
  </si>
  <si>
    <t>CEG 5 3/4 03/15/54</t>
  </si>
  <si>
    <t>CEG</t>
  </si>
  <si>
    <t>Constellation Energy Generation LLC</t>
  </si>
  <si>
    <t>US161175BA14</t>
  </si>
  <si>
    <t>161175BA1</t>
  </si>
  <si>
    <t>CHTR 6.484 10/23/45</t>
  </si>
  <si>
    <t>CHTR</t>
  </si>
  <si>
    <t>Charter Communications Operating LLC / Charter Communications Operating Capital</t>
  </si>
  <si>
    <t>Media</t>
  </si>
  <si>
    <t>Ba1</t>
  </si>
  <si>
    <t>US20030NCT63</t>
  </si>
  <si>
    <t>20030NCT6</t>
  </si>
  <si>
    <t>CMCSA 4.15 10/15/28</t>
  </si>
  <si>
    <t>CMCSA</t>
  </si>
  <si>
    <t>Comcast Corp</t>
  </si>
  <si>
    <t>US15135BAW19</t>
  </si>
  <si>
    <t>15135BAW1</t>
  </si>
  <si>
    <t>CNC 3 10/15/30</t>
  </si>
  <si>
    <t>CNC</t>
  </si>
  <si>
    <t>Centene Corp</t>
  </si>
  <si>
    <t>Healthcare-Services</t>
  </si>
  <si>
    <t>US14040HBN44</t>
  </si>
  <si>
    <t>14040HBN4</t>
  </si>
  <si>
    <t>COF 3 3/4 03/09/27</t>
  </si>
  <si>
    <t>COF</t>
  </si>
  <si>
    <t>Capital One Financial Corp</t>
  </si>
  <si>
    <t>US17275RBT86</t>
  </si>
  <si>
    <t>17275RBT8</t>
  </si>
  <si>
    <t>CSCO 5.05 02/26/34</t>
  </si>
  <si>
    <t>CSCO</t>
  </si>
  <si>
    <t>Cisco Systems Inc</t>
  </si>
  <si>
    <t>US126650CX62</t>
  </si>
  <si>
    <t>126650CX6</t>
  </si>
  <si>
    <t>CVS 4.3 03/25/28</t>
  </si>
  <si>
    <t>CVS</t>
  </si>
  <si>
    <t>CVS Health Corp</t>
  </si>
  <si>
    <t>US251526CY36</t>
  </si>
  <si>
    <t>251526CY3</t>
  </si>
  <si>
    <t>DB 5.403 09/11/35</t>
  </si>
  <si>
    <t>Deutsche Bank AG/New York NY</t>
  </si>
  <si>
    <t>US26441CBT18</t>
  </si>
  <si>
    <t>26441CBT1</t>
  </si>
  <si>
    <t>DUK 4 1/2 08/15/32</t>
  </si>
  <si>
    <t>DUK</t>
  </si>
  <si>
    <t>Duke Energy Corp</t>
  </si>
  <si>
    <t>US25179MBG78</t>
  </si>
  <si>
    <t>25179MBG7</t>
  </si>
  <si>
    <t>DVN 5.2 09/15/34</t>
  </si>
  <si>
    <t>DVN</t>
  </si>
  <si>
    <t>Devon Energy Corp</t>
  </si>
  <si>
    <t>US285512AE93</t>
  </si>
  <si>
    <t>285512AE9</t>
  </si>
  <si>
    <t>EA 1.85 02/15/31</t>
  </si>
  <si>
    <t>EA</t>
  </si>
  <si>
    <t>Electronic Arts Inc</t>
  </si>
  <si>
    <t>Software</t>
  </si>
  <si>
    <t>US29278NAR44</t>
  </si>
  <si>
    <t>29278NAR4</t>
  </si>
  <si>
    <t>ET 5 05/15/50</t>
  </si>
  <si>
    <t>ET</t>
  </si>
  <si>
    <t>Energy Transfer LP</t>
  </si>
  <si>
    <t>Pipelines</t>
  </si>
  <si>
    <t>US345370CQ17</t>
  </si>
  <si>
    <t>345370CQ1</t>
  </si>
  <si>
    <t>F 4 3/4 01/15/43</t>
  </si>
  <si>
    <t>F</t>
  </si>
  <si>
    <t>Ford Motor Co</t>
  </si>
  <si>
    <t>US25278XBA63</t>
  </si>
  <si>
    <t>25278XBA6</t>
  </si>
  <si>
    <t>FANG 5 3/4 04/18/54</t>
  </si>
  <si>
    <t>FANG</t>
  </si>
  <si>
    <t>Diamondback Energy Inc</t>
  </si>
  <si>
    <t>US337738AU25</t>
  </si>
  <si>
    <t>337738AU2</t>
  </si>
  <si>
    <t>FI 3 1/2 07/01/29</t>
  </si>
  <si>
    <t>Fiserv Inc</t>
  </si>
  <si>
    <t>US37045XFA90</t>
  </si>
  <si>
    <t>37045XFA9</t>
  </si>
  <si>
    <t>GM 5.45 09/06/34</t>
  </si>
  <si>
    <t>GM</t>
  </si>
  <si>
    <t>General Motors Financial Co Inc</t>
  </si>
  <si>
    <t>US38141GYM04</t>
  </si>
  <si>
    <t>38141GYM0</t>
  </si>
  <si>
    <t>GS 1.948 10/21/27</t>
  </si>
  <si>
    <t>GS</t>
  </si>
  <si>
    <t>Goldman Sachs Group Inc/The</t>
  </si>
  <si>
    <t>US444859BR26</t>
  </si>
  <si>
    <t>444859BR2</t>
  </si>
  <si>
    <t>HUM 2.15 02/03/32</t>
  </si>
  <si>
    <t>HUM</t>
  </si>
  <si>
    <t>Humana Inc</t>
  </si>
  <si>
    <t>US456837AV55</t>
  </si>
  <si>
    <t>456837AV5</t>
  </si>
  <si>
    <t>INTNED 1.726 04/01/27</t>
  </si>
  <si>
    <t>INTNED</t>
  </si>
  <si>
    <t>ING Groep NV</t>
  </si>
  <si>
    <t>US46647PCP99</t>
  </si>
  <si>
    <t>46647PCP9</t>
  </si>
  <si>
    <t>JPM 1.47 09/22/27</t>
  </si>
  <si>
    <t>US50077LAB27</t>
  </si>
  <si>
    <t>50077LAB2</t>
  </si>
  <si>
    <t>KHC 4 3/8 06/01/46</t>
  </si>
  <si>
    <t>KHC</t>
  </si>
  <si>
    <t>Kraft Heinz Foods Co</t>
  </si>
  <si>
    <t>US191216CT51</t>
  </si>
  <si>
    <t>191216CT5</t>
  </si>
  <si>
    <t>KO 3.45 03/25/30</t>
  </si>
  <si>
    <t>KO</t>
  </si>
  <si>
    <t>Coca-Cola Co/The</t>
  </si>
  <si>
    <t>US49177JAP75</t>
  </si>
  <si>
    <t>49177JAP7</t>
  </si>
  <si>
    <t>KVUE 5.05 03/22/53</t>
  </si>
  <si>
    <t>KVUE</t>
  </si>
  <si>
    <t>Kenvue Inc</t>
  </si>
  <si>
    <t>US539439AY57</t>
  </si>
  <si>
    <t>539439AY5</t>
  </si>
  <si>
    <t>LLOYDS 5.985 08/07/27</t>
  </si>
  <si>
    <t>LLOYDS</t>
  </si>
  <si>
    <t>Lloyds Banking Group PLC</t>
  </si>
  <si>
    <t>US50249AAM53</t>
  </si>
  <si>
    <t>50249AAM5</t>
  </si>
  <si>
    <t>LYB 5 1/2 03/01/34</t>
  </si>
  <si>
    <t>LYB</t>
  </si>
  <si>
    <t>LYB International Finance III LLC</t>
  </si>
  <si>
    <t>US30303M8V78</t>
  </si>
  <si>
    <t>30303M8V7</t>
  </si>
  <si>
    <t>META 5.4 08/15/54</t>
  </si>
  <si>
    <t>META</t>
  </si>
  <si>
    <t>Meta Platforms Inc</t>
  </si>
  <si>
    <t>US61690U8G80</t>
  </si>
  <si>
    <t>61690U8G8</t>
  </si>
  <si>
    <t>MS 4.447 10/15/27</t>
  </si>
  <si>
    <t>MS</t>
  </si>
  <si>
    <t>Morgan Stanley Bank NA</t>
  </si>
  <si>
    <t>US594918CC64</t>
  </si>
  <si>
    <t>594918CC6</t>
  </si>
  <si>
    <t>MSFT 2.525 06/01/50</t>
  </si>
  <si>
    <t>MSFT</t>
  </si>
  <si>
    <t>Microsoft Corp</t>
  </si>
  <si>
    <t>Aaa</t>
  </si>
  <si>
    <t>US64110LAZ94</t>
  </si>
  <si>
    <t>64110LAZ9</t>
  </si>
  <si>
    <t>NFLX 4.9 08/15/34</t>
  </si>
  <si>
    <t>US666807BN13</t>
  </si>
  <si>
    <t>666807BN1</t>
  </si>
  <si>
    <t>NOC 3 1/4 01/15/28</t>
  </si>
  <si>
    <t>NOC</t>
  </si>
  <si>
    <t>Northrop Grumman Corp</t>
  </si>
  <si>
    <t>US68389XBX21</t>
  </si>
  <si>
    <t>68389XBX2</t>
  </si>
  <si>
    <t>ORCL 3.6 04/01/50</t>
  </si>
  <si>
    <t>ORCL</t>
  </si>
  <si>
    <t>Oracle Corp</t>
  </si>
  <si>
    <t>US674599DF90</t>
  </si>
  <si>
    <t>674599DF9</t>
  </si>
  <si>
    <t>OXY 6.45 09/15/36</t>
  </si>
  <si>
    <t>OXY</t>
  </si>
  <si>
    <t>Occidental Petroleum Corp</t>
  </si>
  <si>
    <t>US694308JM04</t>
  </si>
  <si>
    <t>694308JM0</t>
  </si>
  <si>
    <t>PCG 4.55 07/01/30</t>
  </si>
  <si>
    <t>PCG</t>
  </si>
  <si>
    <t>Pacific Gas and Electric Co</t>
  </si>
  <si>
    <t>US716973AF98</t>
  </si>
  <si>
    <t>716973AF9</t>
  </si>
  <si>
    <t>PFE 5.11 05/19/43</t>
  </si>
  <si>
    <t>PFE</t>
  </si>
  <si>
    <t>Pfizer Investment Enterprises Pte Ltd</t>
  </si>
  <si>
    <t>US693475BR55</t>
  </si>
  <si>
    <t>693475BR5</t>
  </si>
  <si>
    <t>PNC 5.582 06/12/29</t>
  </si>
  <si>
    <t>PNC</t>
  </si>
  <si>
    <t>PNC Financial Services Group Inc/The</t>
  </si>
  <si>
    <t>US780153BV38</t>
  </si>
  <si>
    <t>780153BV3</t>
  </si>
  <si>
    <t>RCL 6 02/01/33</t>
  </si>
  <si>
    <t>RCL</t>
  </si>
  <si>
    <t>Royal Caribbean Cruises Ltd</t>
  </si>
  <si>
    <t>US7591EPAV24</t>
  </si>
  <si>
    <t>7591EPAV2</t>
  </si>
  <si>
    <t>RF 5.502 09/06/35</t>
  </si>
  <si>
    <t>RF</t>
  </si>
  <si>
    <t>Regions Financial Corp</t>
  </si>
  <si>
    <t>US75513ECT64</t>
  </si>
  <si>
    <t>75513ECT6</t>
  </si>
  <si>
    <t>RTX 5 3/4 11/08/26</t>
  </si>
  <si>
    <t>RTX</t>
  </si>
  <si>
    <t>RTX Corp</t>
  </si>
  <si>
    <t>US78016HZZ62</t>
  </si>
  <si>
    <t>78016HZZ6</t>
  </si>
  <si>
    <t>RY 4.969 08/02/30</t>
  </si>
  <si>
    <t>RY</t>
  </si>
  <si>
    <t>Royal Bank of Canada</t>
  </si>
  <si>
    <t>US855244AZ28</t>
  </si>
  <si>
    <t>855244AZ2</t>
  </si>
  <si>
    <t>SBUX 2.55 11/15/30</t>
  </si>
  <si>
    <t>SBUX</t>
  </si>
  <si>
    <t>Starbucks Corp</t>
  </si>
  <si>
    <t>Retail</t>
  </si>
  <si>
    <t>US83368RBX98</t>
  </si>
  <si>
    <t>83368RBX9</t>
  </si>
  <si>
    <t>SOCGEN 6.066 01/19/35</t>
  </si>
  <si>
    <t>US00206RKH48</t>
  </si>
  <si>
    <t>00206RKH4</t>
  </si>
  <si>
    <t>T 2 1/4 02/01/32</t>
  </si>
  <si>
    <t>T</t>
  </si>
  <si>
    <t>AT&amp;T Inc</t>
  </si>
  <si>
    <t>US90932LAH06</t>
  </si>
  <si>
    <t>90932LAH0</t>
  </si>
  <si>
    <t>UAL 4 5/8 04/15/29</t>
  </si>
  <si>
    <t>UAL</t>
  </si>
  <si>
    <t>United Airlines Inc</t>
  </si>
  <si>
    <t>Airlines</t>
  </si>
  <si>
    <t>US225401AU28</t>
  </si>
  <si>
    <t>225401AU2</t>
  </si>
  <si>
    <t>UBS 3.091 05/14/32</t>
  </si>
  <si>
    <t>UBS</t>
  </si>
  <si>
    <t>UBS Group AG</t>
  </si>
  <si>
    <t>US91324PFK30</t>
  </si>
  <si>
    <t>91324PFK3</t>
  </si>
  <si>
    <t>UNH 5 1/2 07/15/44</t>
  </si>
  <si>
    <t>UNH</t>
  </si>
  <si>
    <t>UnitedHealth Group Inc</t>
  </si>
  <si>
    <t>US91159HJS04</t>
  </si>
  <si>
    <t>91159HJS0</t>
  </si>
  <si>
    <t>USB 5.1 07/23/30</t>
  </si>
  <si>
    <t>USB</t>
  </si>
  <si>
    <t>US Bancorp</t>
  </si>
  <si>
    <t>US92343VGN82</t>
  </si>
  <si>
    <t>92343VGN8</t>
  </si>
  <si>
    <t>VZ 2.355 03/15/32</t>
  </si>
  <si>
    <t>VZ</t>
  </si>
  <si>
    <t>Verizon Communications Inc</t>
  </si>
  <si>
    <t>US95000U3E14</t>
  </si>
  <si>
    <t>95000U3E1</t>
  </si>
  <si>
    <t>WFC 5.574 07/25/29</t>
  </si>
  <si>
    <t>WFC</t>
  </si>
  <si>
    <t>Wells Fargo &amp; Co</t>
  </si>
  <si>
    <t>US744448CZ26</t>
  </si>
  <si>
    <t>744448CZ2</t>
  </si>
  <si>
    <t>XEL 5.35 05/15/34</t>
  </si>
  <si>
    <t>XEL</t>
  </si>
  <si>
    <t>Public Service Co of Colorado</t>
  </si>
  <si>
    <t>US30231GBF81</t>
  </si>
  <si>
    <t>30231GBF8</t>
  </si>
  <si>
    <t>XOM 4.227 03/19/40</t>
  </si>
  <si>
    <t>XOM</t>
  </si>
  <si>
    <t>Exxon Mobil Corp</t>
  </si>
  <si>
    <t>BB-</t>
  </si>
  <si>
    <t>B+</t>
  </si>
  <si>
    <t>B</t>
  </si>
  <si>
    <t>B-</t>
  </si>
  <si>
    <t>CCC+</t>
  </si>
  <si>
    <t>CCC</t>
  </si>
  <si>
    <t>CCC-</t>
  </si>
  <si>
    <t>CC+</t>
  </si>
  <si>
    <t>CC</t>
  </si>
  <si>
    <t>CC-</t>
  </si>
  <si>
    <t>C+</t>
  </si>
  <si>
    <t>C-</t>
  </si>
  <si>
    <t>D</t>
  </si>
  <si>
    <t>Assumptions</t>
  </si>
  <si>
    <t>EURUSD FX Spot</t>
  </si>
  <si>
    <t>EURUSD 3m Fwd Hedge Cost</t>
  </si>
  <si>
    <t>JPM MV USD</t>
  </si>
  <si>
    <t>JPM Yield USD</t>
  </si>
  <si>
    <t>Market Value (EUR mm equiv)</t>
  </si>
  <si>
    <t>Notional (native CCY mm)</t>
  </si>
  <si>
    <t>Yield (FX adj)</t>
  </si>
  <si>
    <t>Notional (EUR mm equiv)</t>
  </si>
  <si>
    <t>Notional EUR 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</si>
</sst>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2"/>
      <name val="AmplitudeWide Medium"/>
      <family val="3"/>
    </font>
    <font>
      <sz val="12"/>
      <name val="Amplitude Book"/>
      <family val="3"/>
    </font>
    <font>
      <b/>
      <sz val="12"/>
      <color rgb="FFFF0000"/>
      <name val="AmplitudeWide Medium"/>
      <family val="3"/>
    </font>
  </fonts>
  <fills count="7">
    <fill>
      <patternFill patternType="none"/>
    </fill>
    <fill>
      <patternFill patternType="gray125"/>
    </fill>
    <fill>
      <patternFill patternType="solid">
        <fgColor rgb="FFEDE5D8"/>
        <bgColor rgb="FFEDE5D8"/>
      </patternFill>
    </fill>
    <fill>
      <patternFill patternType="solid">
        <fgColor rgb="FFB88A67"/>
        <bgColor rgb="FFB88A67"/>
      </patternFill>
    </fill>
    <fill>
      <patternFill patternType="solid">
        <fgColor rgb="FFF8F5F2"/>
        <bgColor rgb="FFF8F5F2"/>
      </patternFill>
    </fill>
    <fill>
      <patternFill patternType="solid">
        <fgColor rgb="FFFFFF00"/>
        <bgColor rgb="FFEDE5D8"/>
      </patternFill>
    </fill>
    <fill>
      <patternFill patternType="solid">
        <fgColor theme="4" tint="0.39997558519241921"/>
        <bgColor rgb="FFB88A67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3" fontId="0" fillId="2" borderId="0" xfId="0" applyNumberFormat="1" applyFill="1"/>
    <xf numFmtId="3" fontId="1" fillId="3" borderId="1" xfId="0" applyNumberFormat="1" applyFont="1" applyFill="1" applyBorder="1" applyAlignment="1">
      <alignment horizontal="left"/>
    </xf>
    <xf numFmtId="3" fontId="1" fillId="3" borderId="2" xfId="0" applyNumberFormat="1" applyFont="1" applyFill="1" applyBorder="1" applyAlignment="1">
      <alignment horizontal="right"/>
    </xf>
    <xf numFmtId="3" fontId="1" fillId="3" borderId="3" xfId="0" applyNumberFormat="1" applyFont="1" applyFill="1" applyBorder="1" applyAlignment="1">
      <alignment horizontal="right"/>
    </xf>
    <xf numFmtId="0" fontId="2" fillId="4" borderId="4" xfId="0" applyFont="1" applyFill="1" applyBorder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right"/>
    </xf>
    <xf numFmtId="3" fontId="2" fillId="4" borderId="4" xfId="0" applyNumberFormat="1" applyFont="1" applyFill="1" applyBorder="1"/>
    <xf numFmtId="3" fontId="2" fillId="4" borderId="0" xfId="0" applyNumberFormat="1" applyFont="1" applyFill="1" applyAlignment="1">
      <alignment horizontal="right"/>
    </xf>
    <xf numFmtId="3" fontId="2" fillId="4" borderId="5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2" fillId="4" borderId="4" xfId="0" applyNumberFormat="1" applyFont="1" applyFill="1" applyBorder="1"/>
    <xf numFmtId="164" fontId="2" fillId="4" borderId="0" xfId="0" applyNumberFormat="1" applyFont="1" applyFill="1" applyAlignment="1">
      <alignment horizontal="right"/>
    </xf>
    <xf numFmtId="164" fontId="2" fillId="4" borderId="5" xfId="0" applyNumberFormat="1" applyFont="1" applyFill="1" applyBorder="1" applyAlignment="1">
      <alignment horizontal="right"/>
    </xf>
    <xf numFmtId="165" fontId="0" fillId="2" borderId="0" xfId="0" applyNumberFormat="1" applyFill="1"/>
    <xf numFmtId="165" fontId="2" fillId="4" borderId="4" xfId="0" applyNumberFormat="1" applyFont="1" applyFill="1" applyBorder="1"/>
    <xf numFmtId="165" fontId="2" fillId="4" borderId="0" xfId="0" applyNumberFormat="1" applyFont="1" applyFill="1" applyAlignment="1">
      <alignment horizontal="right"/>
    </xf>
    <xf numFmtId="165" fontId="2" fillId="4" borderId="5" xfId="0" applyNumberFormat="1" applyFont="1" applyFill="1" applyBorder="1" applyAlignment="1">
      <alignment horizontal="right"/>
    </xf>
    <xf numFmtId="4" fontId="0" fillId="2" borderId="0" xfId="0" applyNumberFormat="1" applyFill="1"/>
    <xf numFmtId="4" fontId="2" fillId="4" borderId="4" xfId="0" applyNumberFormat="1" applyFont="1" applyFill="1" applyBorder="1"/>
    <xf numFmtId="4" fontId="2" fillId="4" borderId="0" xfId="0" applyNumberFormat="1" applyFont="1" applyFill="1" applyAlignment="1">
      <alignment horizontal="right"/>
    </xf>
    <xf numFmtId="4" fontId="2" fillId="4" borderId="5" xfId="0" applyNumberFormat="1" applyFont="1" applyFill="1" applyBorder="1" applyAlignment="1">
      <alignment horizontal="right"/>
    </xf>
    <xf numFmtId="9" fontId="1" fillId="3" borderId="6" xfId="0" applyNumberFormat="1" applyFont="1" applyFill="1" applyBorder="1"/>
    <xf numFmtId="9" fontId="1" fillId="3" borderId="7" xfId="0" applyNumberFormat="1" applyFont="1" applyFill="1" applyBorder="1" applyAlignment="1">
      <alignment horizontal="right"/>
    </xf>
    <xf numFmtId="9" fontId="1" fillId="3" borderId="8" xfId="0" applyNumberFormat="1" applyFont="1" applyFill="1" applyBorder="1" applyAlignment="1">
      <alignment horizontal="right"/>
    </xf>
    <xf numFmtId="9" fontId="2" fillId="4" borderId="4" xfId="0" applyNumberFormat="1" applyFont="1" applyFill="1" applyBorder="1"/>
    <xf numFmtId="9" fontId="2" fillId="4" borderId="0" xfId="0" applyNumberFormat="1" applyFont="1" applyFill="1" applyAlignment="1">
      <alignment horizontal="right"/>
    </xf>
    <xf numFmtId="9" fontId="2" fillId="4" borderId="5" xfId="0" applyNumberFormat="1" applyFont="1" applyFill="1" applyBorder="1" applyAlignment="1">
      <alignment horizontal="right"/>
    </xf>
    <xf numFmtId="0" fontId="2" fillId="4" borderId="9" xfId="0" applyFont="1" applyFill="1" applyBorder="1"/>
    <xf numFmtId="0" fontId="2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center"/>
    </xf>
    <xf numFmtId="4" fontId="1" fillId="3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5" fontId="1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4" fontId="2" fillId="2" borderId="12" xfId="0" applyNumberFormat="1" applyFont="1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4" fontId="2" fillId="5" borderId="12" xfId="0" applyNumberFormat="1" applyFont="1" applyFill="1" applyBorder="1" applyAlignment="1">
      <alignment horizontal="center"/>
    </xf>
    <xf numFmtId="3" fontId="2" fillId="5" borderId="12" xfId="0" applyNumberFormat="1" applyFont="1" applyFill="1" applyBorder="1" applyAlignment="1">
      <alignment horizontal="center"/>
    </xf>
    <xf numFmtId="166" fontId="2" fillId="4" borderId="0" xfId="0" applyNumberFormat="1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3" fontId="3" fillId="3" borderId="7" xfId="0" applyNumberFormat="1" applyFont="1" applyFill="1" applyBorder="1" applyAlignment="1">
      <alignment horizontal="center"/>
    </xf>
    <xf numFmtId="4" fontId="3" fillId="3" borderId="7" xfId="0" applyNumberFormat="1" applyFont="1" applyFill="1" applyBorder="1" applyAlignment="1">
      <alignment horizontal="center"/>
    </xf>
    <xf numFmtId="9" fontId="1" fillId="6" borderId="6" xfId="0" applyNumberFormat="1" applyFont="1" applyFill="1" applyBorder="1"/>
    <xf numFmtId="9" fontId="1" fillId="6" borderId="7" xfId="0" applyNumberFormat="1" applyFont="1" applyFill="1" applyBorder="1" applyAlignment="1">
      <alignment horizontal="right"/>
    </xf>
    <xf numFmtId="9" fontId="1" fillId="6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>
                <a:latin typeface="Amplitude"/>
              </a:rPr>
              <a:t>Rating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EUR iBoxx IG proxy</c:v>
          </c:tx>
          <c:spPr>
            <a:solidFill>
              <a:srgbClr val="7D532F"/>
            </a:solidFill>
            <a:ln>
              <a:prstDash val="solid"/>
            </a:ln>
          </c:spPr>
          <c:invertIfNegative val="0"/>
          <c:cat>
            <c:strRef>
              <c:f>Overview!$B$18:$B$30</c:f>
              <c:strCache>
                <c:ptCount val="13"/>
                <c:pt idx="0">
                  <c:v>AAA</c:v>
                </c:pt>
                <c:pt idx="1">
                  <c:v>AA+</c:v>
                </c:pt>
                <c:pt idx="2">
                  <c:v>AA</c:v>
                </c:pt>
                <c:pt idx="3">
                  <c:v>AA-</c:v>
                </c:pt>
                <c:pt idx="4">
                  <c:v>A+</c:v>
                </c:pt>
                <c:pt idx="5">
                  <c:v>A</c:v>
                </c:pt>
                <c:pt idx="6">
                  <c:v>A-</c:v>
                </c:pt>
                <c:pt idx="7">
                  <c:v>BBB+</c:v>
                </c:pt>
                <c:pt idx="8">
                  <c:v>BBB</c:v>
                </c:pt>
                <c:pt idx="9">
                  <c:v>BBB-</c:v>
                </c:pt>
                <c:pt idx="10">
                  <c:v>BB+</c:v>
                </c:pt>
                <c:pt idx="11">
                  <c:v>BB</c:v>
                </c:pt>
                <c:pt idx="12">
                  <c:v>None</c:v>
                </c:pt>
              </c:strCache>
            </c:strRef>
          </c:cat>
          <c:val>
            <c:numRef>
              <c:f>Overview!$C$18:$C$30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4.9270269814468163E-3</c:v>
                </c:pt>
                <c:pt idx="3">
                  <c:v>6.1550987697861416E-2</c:v>
                </c:pt>
                <c:pt idx="4">
                  <c:v>0.12046110327967538</c:v>
                </c:pt>
                <c:pt idx="5">
                  <c:v>0.11397341069570267</c:v>
                </c:pt>
                <c:pt idx="6">
                  <c:v>0.21677765744996871</c:v>
                </c:pt>
                <c:pt idx="7">
                  <c:v>0.24149503538787406</c:v>
                </c:pt>
                <c:pt idx="8">
                  <c:v>0.15741990343186207</c:v>
                </c:pt>
                <c:pt idx="9">
                  <c:v>8.339487507560886E-2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46B5-B281-A9B9CA75B7AB}"/>
            </c:ext>
          </c:extLst>
        </c:ser>
        <c:ser>
          <c:idx val="1"/>
          <c:order val="1"/>
          <c:tx>
            <c:v>USD JULI-ex EM proxy</c:v>
          </c:tx>
          <c:spPr>
            <a:solidFill>
              <a:srgbClr val="D7BA9D"/>
            </a:solidFill>
            <a:ln>
              <a:prstDash val="solid"/>
            </a:ln>
          </c:spPr>
          <c:invertIfNegative val="0"/>
          <c:cat>
            <c:strRef>
              <c:f>Overview!$B$18:$B$30</c:f>
              <c:strCache>
                <c:ptCount val="13"/>
                <c:pt idx="0">
                  <c:v>AAA</c:v>
                </c:pt>
                <c:pt idx="1">
                  <c:v>AA+</c:v>
                </c:pt>
                <c:pt idx="2">
                  <c:v>AA</c:v>
                </c:pt>
                <c:pt idx="3">
                  <c:v>AA-</c:v>
                </c:pt>
                <c:pt idx="4">
                  <c:v>A+</c:v>
                </c:pt>
                <c:pt idx="5">
                  <c:v>A</c:v>
                </c:pt>
                <c:pt idx="6">
                  <c:v>A-</c:v>
                </c:pt>
                <c:pt idx="7">
                  <c:v>BBB+</c:v>
                </c:pt>
                <c:pt idx="8">
                  <c:v>BBB</c:v>
                </c:pt>
                <c:pt idx="9">
                  <c:v>BBB-</c:v>
                </c:pt>
                <c:pt idx="10">
                  <c:v>BB+</c:v>
                </c:pt>
                <c:pt idx="11">
                  <c:v>BB</c:v>
                </c:pt>
                <c:pt idx="12">
                  <c:v>None</c:v>
                </c:pt>
              </c:strCache>
            </c:strRef>
          </c:cat>
          <c:val>
            <c:numRef>
              <c:f>Overview!$D$18:$D$30</c:f>
              <c:numCache>
                <c:formatCode>0%</c:formatCode>
                <c:ptCount val="13"/>
                <c:pt idx="0">
                  <c:v>1.7336487605495832E-2</c:v>
                </c:pt>
                <c:pt idx="1">
                  <c:v>0</c:v>
                </c:pt>
                <c:pt idx="2">
                  <c:v>0</c:v>
                </c:pt>
                <c:pt idx="3">
                  <c:v>4.3448621203706052E-2</c:v>
                </c:pt>
                <c:pt idx="4">
                  <c:v>0.11118158840722997</c:v>
                </c:pt>
                <c:pt idx="5">
                  <c:v>0.13020895180513692</c:v>
                </c:pt>
                <c:pt idx="6">
                  <c:v>0.17508247004285546</c:v>
                </c:pt>
                <c:pt idx="7">
                  <c:v>0.20705371578595108</c:v>
                </c:pt>
                <c:pt idx="8">
                  <c:v>0.20861903689072744</c:v>
                </c:pt>
                <c:pt idx="9">
                  <c:v>0.10706912825889728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5-46B5-B281-A9B9CA75B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>
              <a:latin typeface="Amplitude Book"/>
            </a:defRPr>
          </a:pPr>
          <a:endParaRPr lang="en-US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>
                <a:latin typeface="Amplitude"/>
              </a:rPr>
              <a:t>Sector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EUR iBoxx IG proxy</c:v>
          </c:tx>
          <c:spPr>
            <a:solidFill>
              <a:srgbClr val="7D532F"/>
            </a:solidFill>
            <a:ln>
              <a:prstDash val="solid"/>
            </a:ln>
          </c:spPr>
          <c:invertIfNegative val="0"/>
          <c:cat>
            <c:strRef>
              <c:f>Overview!$B$33:$B$41</c:f>
              <c:strCache>
                <c:ptCount val="9"/>
                <c:pt idx="0">
                  <c:v>Financial</c:v>
                </c:pt>
                <c:pt idx="1">
                  <c:v>Communications</c:v>
                </c:pt>
                <c:pt idx="2">
                  <c:v>Consumer, Non-cyclical</c:v>
                </c:pt>
                <c:pt idx="3">
                  <c:v>Energy</c:v>
                </c:pt>
                <c:pt idx="4">
                  <c:v>Consumer, Cyclical</c:v>
                </c:pt>
                <c:pt idx="5">
                  <c:v>Technology</c:v>
                </c:pt>
                <c:pt idx="6">
                  <c:v>Basic Materials</c:v>
                </c:pt>
                <c:pt idx="7">
                  <c:v>Industrial</c:v>
                </c:pt>
                <c:pt idx="8">
                  <c:v>Utilities</c:v>
                </c:pt>
              </c:strCache>
            </c:strRef>
          </c:cat>
          <c:val>
            <c:numRef>
              <c:f>Overview!$C$33:$C$41</c:f>
              <c:numCache>
                <c:formatCode>0%</c:formatCode>
                <c:ptCount val="9"/>
                <c:pt idx="0">
                  <c:v>0.43341829369888973</c:v>
                </c:pt>
                <c:pt idx="1">
                  <c:v>5.9904467059479959E-2</c:v>
                </c:pt>
                <c:pt idx="2">
                  <c:v>0.15713596288953235</c:v>
                </c:pt>
                <c:pt idx="3">
                  <c:v>2.3423666919686895E-2</c:v>
                </c:pt>
                <c:pt idx="4">
                  <c:v>7.7900691657721802E-2</c:v>
                </c:pt>
                <c:pt idx="5">
                  <c:v>2.0243647119568976E-2</c:v>
                </c:pt>
                <c:pt idx="6">
                  <c:v>3.5879053995348922E-2</c:v>
                </c:pt>
                <c:pt idx="7">
                  <c:v>7.4674300803953819E-2</c:v>
                </c:pt>
                <c:pt idx="8">
                  <c:v>0.11741991585581751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6-4EB9-B1D2-99C08041B391}"/>
            </c:ext>
          </c:extLst>
        </c:ser>
        <c:ser>
          <c:idx val="1"/>
          <c:order val="1"/>
          <c:tx>
            <c:v>USD JULI-ex EM proxy</c:v>
          </c:tx>
          <c:spPr>
            <a:solidFill>
              <a:srgbClr val="D7BA9D"/>
            </a:solidFill>
            <a:ln>
              <a:prstDash val="solid"/>
            </a:ln>
          </c:spPr>
          <c:invertIfNegative val="0"/>
          <c:cat>
            <c:strRef>
              <c:f>Overview!$B$33:$B$41</c:f>
              <c:strCache>
                <c:ptCount val="9"/>
                <c:pt idx="0">
                  <c:v>Financial</c:v>
                </c:pt>
                <c:pt idx="1">
                  <c:v>Communications</c:v>
                </c:pt>
                <c:pt idx="2">
                  <c:v>Consumer, Non-cyclical</c:v>
                </c:pt>
                <c:pt idx="3">
                  <c:v>Energy</c:v>
                </c:pt>
                <c:pt idx="4">
                  <c:v>Consumer, Cyclical</c:v>
                </c:pt>
                <c:pt idx="5">
                  <c:v>Technology</c:v>
                </c:pt>
                <c:pt idx="6">
                  <c:v>Basic Materials</c:v>
                </c:pt>
                <c:pt idx="7">
                  <c:v>Industrial</c:v>
                </c:pt>
                <c:pt idx="8">
                  <c:v>Utilities</c:v>
                </c:pt>
              </c:strCache>
            </c:strRef>
          </c:cat>
          <c:val>
            <c:numRef>
              <c:f>Overview!$D$33:$D$41</c:f>
              <c:numCache>
                <c:formatCode>0%</c:formatCode>
                <c:ptCount val="9"/>
                <c:pt idx="0">
                  <c:v>0.33439609675268728</c:v>
                </c:pt>
                <c:pt idx="1">
                  <c:v>0.10604684457062874</c:v>
                </c:pt>
                <c:pt idx="2">
                  <c:v>0.19198541573840111</c:v>
                </c:pt>
                <c:pt idx="3">
                  <c:v>6.5794413046286845E-2</c:v>
                </c:pt>
                <c:pt idx="4">
                  <c:v>7.7567207235578917E-2</c:v>
                </c:pt>
                <c:pt idx="5">
                  <c:v>8.681954146149895E-2</c:v>
                </c:pt>
                <c:pt idx="6">
                  <c:v>1.7370801713868029E-2</c:v>
                </c:pt>
                <c:pt idx="7">
                  <c:v>4.7091782658721125E-2</c:v>
                </c:pt>
                <c:pt idx="8">
                  <c:v>7.2927896822329072E-2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6-4EB9-B1D2-99C08041B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>
              <a:latin typeface="Amplitude Book"/>
            </a:defRPr>
          </a:pPr>
          <a:endParaRPr lang="en-US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>
                <a:latin typeface="Amplitude"/>
              </a:rPr>
              <a:t>Maturity Bucket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EUR iBoxx IG proxy</c:v>
          </c:tx>
          <c:spPr>
            <a:solidFill>
              <a:srgbClr val="7D532F"/>
            </a:solidFill>
            <a:ln>
              <a:prstDash val="solid"/>
            </a:ln>
          </c:spPr>
          <c:invertIfNegative val="0"/>
          <c:cat>
            <c:strRef>
              <c:f>Overview!$B$44:$B$49</c:f>
              <c:strCache>
                <c:ptCount val="6"/>
                <c:pt idx="0">
                  <c:v>&lt;1yr</c:v>
                </c:pt>
                <c:pt idx="1">
                  <c:v>1-3yrs</c:v>
                </c:pt>
                <c:pt idx="2">
                  <c:v>3-5yrs</c:v>
                </c:pt>
                <c:pt idx="3">
                  <c:v>5-7yrs</c:v>
                </c:pt>
                <c:pt idx="4">
                  <c:v>7-10yrs</c:v>
                </c:pt>
                <c:pt idx="5">
                  <c:v>10yrs+</c:v>
                </c:pt>
              </c:strCache>
            </c:strRef>
          </c:cat>
          <c:val>
            <c:numRef>
              <c:f>Overview!$C$44:$C$49</c:f>
              <c:numCache>
                <c:formatCode>0%</c:formatCode>
                <c:ptCount val="6"/>
                <c:pt idx="0">
                  <c:v>4.9987207531971504E-3</c:v>
                </c:pt>
                <c:pt idx="1">
                  <c:v>0.30067325341626844</c:v>
                </c:pt>
                <c:pt idx="2">
                  <c:v>0.23547852938455255</c:v>
                </c:pt>
                <c:pt idx="3">
                  <c:v>0.22898175114117089</c:v>
                </c:pt>
                <c:pt idx="4">
                  <c:v>0.16578917088004955</c:v>
                </c:pt>
                <c:pt idx="5">
                  <c:v>6.4078574424761364E-2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F-4B49-B245-44DBABD9EB59}"/>
            </c:ext>
          </c:extLst>
        </c:ser>
        <c:ser>
          <c:idx val="1"/>
          <c:order val="1"/>
          <c:tx>
            <c:v>USD JULI-ex EM proxy</c:v>
          </c:tx>
          <c:spPr>
            <a:solidFill>
              <a:srgbClr val="D7BA9D"/>
            </a:solidFill>
            <a:ln>
              <a:prstDash val="solid"/>
            </a:ln>
          </c:spPr>
          <c:invertIfNegative val="0"/>
          <c:cat>
            <c:strRef>
              <c:f>Overview!$B$44:$B$49</c:f>
              <c:strCache>
                <c:ptCount val="6"/>
                <c:pt idx="0">
                  <c:v>&lt;1yr</c:v>
                </c:pt>
                <c:pt idx="1">
                  <c:v>1-3yrs</c:v>
                </c:pt>
                <c:pt idx="2">
                  <c:v>3-5yrs</c:v>
                </c:pt>
                <c:pt idx="3">
                  <c:v>5-7yrs</c:v>
                </c:pt>
                <c:pt idx="4">
                  <c:v>7-10yrs</c:v>
                </c:pt>
                <c:pt idx="5">
                  <c:v>10yrs+</c:v>
                </c:pt>
              </c:strCache>
            </c:strRef>
          </c:cat>
          <c:val>
            <c:numRef>
              <c:f>Overview!$D$44:$D$49</c:f>
              <c:numCache>
                <c:formatCode>0%</c:formatCode>
                <c:ptCount val="6"/>
                <c:pt idx="0">
                  <c:v>1.2347625350183647E-2</c:v>
                </c:pt>
                <c:pt idx="1">
                  <c:v>0.23229653815376389</c:v>
                </c:pt>
                <c:pt idx="2">
                  <c:v>0.1829794133951711</c:v>
                </c:pt>
                <c:pt idx="3">
                  <c:v>0.12005251723055521</c:v>
                </c:pt>
                <c:pt idx="4">
                  <c:v>0.16096246520358679</c:v>
                </c:pt>
                <c:pt idx="5">
                  <c:v>0.29136144066673947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F-4B49-B245-44DBABD9E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>
              <a:latin typeface="Amplitude Book"/>
            </a:defRPr>
          </a:pPr>
          <a:endParaRPr lang="en-US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>
                <a:latin typeface="Amplitude"/>
              </a:rPr>
              <a:t>Payment Rank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EUR iBoxx IG proxy</c:v>
          </c:tx>
          <c:spPr>
            <a:solidFill>
              <a:srgbClr val="7D532F"/>
            </a:solidFill>
            <a:ln>
              <a:prstDash val="solid"/>
            </a:ln>
          </c:spPr>
          <c:invertIfNegative val="0"/>
          <c:cat>
            <c:strRef>
              <c:f>Overview!$B$52:$B$54</c:f>
              <c:strCache>
                <c:ptCount val="3"/>
                <c:pt idx="0">
                  <c:v>Senior Secured</c:v>
                </c:pt>
                <c:pt idx="1">
                  <c:v>Senior Unsecured</c:v>
                </c:pt>
                <c:pt idx="2">
                  <c:v>Subordinated LT2</c:v>
                </c:pt>
              </c:strCache>
            </c:strRef>
          </c:cat>
          <c:val>
            <c:numRef>
              <c:f>Overview!$C$52:$C$54</c:f>
              <c:numCache>
                <c:formatCode>0%</c:formatCode>
                <c:ptCount val="3"/>
                <c:pt idx="0">
                  <c:v>0</c:v>
                </c:pt>
                <c:pt idx="1">
                  <c:v>0.94889153368750756</c:v>
                </c:pt>
                <c:pt idx="2">
                  <c:v>5.1108466312492454E-2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E-4451-A371-A12334B644AA}"/>
            </c:ext>
          </c:extLst>
        </c:ser>
        <c:ser>
          <c:idx val="1"/>
          <c:order val="1"/>
          <c:tx>
            <c:v>USD JULI-ex EM proxy</c:v>
          </c:tx>
          <c:spPr>
            <a:solidFill>
              <a:srgbClr val="D7BA9D"/>
            </a:solidFill>
            <a:ln>
              <a:prstDash val="solid"/>
            </a:ln>
          </c:spPr>
          <c:invertIfNegative val="0"/>
          <c:cat>
            <c:strRef>
              <c:f>Overview!$B$52:$B$54</c:f>
              <c:strCache>
                <c:ptCount val="3"/>
                <c:pt idx="0">
                  <c:v>Senior Secured</c:v>
                </c:pt>
                <c:pt idx="1">
                  <c:v>Senior Unsecured</c:v>
                </c:pt>
                <c:pt idx="2">
                  <c:v>Subordinated LT2</c:v>
                </c:pt>
              </c:strCache>
            </c:strRef>
          </c:cat>
          <c:val>
            <c:numRef>
              <c:f>Overview!$D$52:$D$54</c:f>
              <c:numCache>
                <c:formatCode>0%</c:formatCode>
                <c:ptCount val="3"/>
                <c:pt idx="0">
                  <c:v>6.1127027156089718E-2</c:v>
                </c:pt>
                <c:pt idx="1">
                  <c:v>0.93887297284391036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E-4451-A371-A12334B64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mplitude Book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>
              <a:latin typeface="Amplitude Book"/>
            </a:defRPr>
          </a:pPr>
          <a:endParaRPr lang="en-US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1</xdr:row>
      <xdr:rowOff>0</xdr:rowOff>
    </xdr:from>
    <xdr:ext cx="2266950" cy="464868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1</xdr:row>
      <xdr:rowOff>558800</xdr:rowOff>
    </xdr:from>
    <xdr:to>
      <xdr:col>5</xdr:col>
      <xdr:colOff>5410200</xdr:colOff>
      <xdr:row>15</xdr:row>
      <xdr:rowOff>139700</xdr:rowOff>
    </xdr:to>
    <xdr:pic>
      <xdr:nvPicPr>
        <xdr:cNvPr id="1025" name="Chart 1">
          <a:extLst>
            <a:ext uri="{FF2B5EF4-FFF2-40B4-BE49-F238E27FC236}">
              <a16:creationId xmlns:a16="http://schemas.microsoft.com/office/drawing/2014/main" id="{D9123AD9-353E-CAEC-C986-63D89B2A53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4400" y="742950"/>
          <a:ext cx="5410200" cy="271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558800</xdr:rowOff>
    </xdr:from>
    <xdr:to>
      <xdr:col>6</xdr:col>
      <xdr:colOff>5410200</xdr:colOff>
      <xdr:row>15</xdr:row>
      <xdr:rowOff>139700</xdr:rowOff>
    </xdr:to>
    <xdr:pic>
      <xdr:nvPicPr>
        <xdr:cNvPr id="1026" name="Chart 2">
          <a:extLst>
            <a:ext uri="{FF2B5EF4-FFF2-40B4-BE49-F238E27FC236}">
              <a16:creationId xmlns:a16="http://schemas.microsoft.com/office/drawing/2014/main" id="{2AB57077-49F0-9A48-5D7F-942888F14C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1650" y="742950"/>
          <a:ext cx="5410200" cy="271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38100</xdr:rowOff>
    </xdr:from>
    <xdr:to>
      <xdr:col>5</xdr:col>
      <xdr:colOff>5410200</xdr:colOff>
      <xdr:row>32</xdr:row>
      <xdr:rowOff>0</xdr:rowOff>
    </xdr:to>
    <xdr:pic>
      <xdr:nvPicPr>
        <xdr:cNvPr id="1027" name="Chart 3">
          <a:extLst>
            <a:ext uri="{FF2B5EF4-FFF2-40B4-BE49-F238E27FC236}">
              <a16:creationId xmlns:a16="http://schemas.microsoft.com/office/drawing/2014/main" id="{09EF532E-2684-D8E5-BC4A-78DF556D34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4400" y="3746500"/>
          <a:ext cx="5410200" cy="27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38100</xdr:rowOff>
    </xdr:from>
    <xdr:to>
      <xdr:col>6</xdr:col>
      <xdr:colOff>5410200</xdr:colOff>
      <xdr:row>32</xdr:row>
      <xdr:rowOff>0</xdr:rowOff>
    </xdr:to>
    <xdr:pic>
      <xdr:nvPicPr>
        <xdr:cNvPr id="1028" name="Chart 4">
          <a:extLst>
            <a:ext uri="{FF2B5EF4-FFF2-40B4-BE49-F238E27FC236}">
              <a16:creationId xmlns:a16="http://schemas.microsoft.com/office/drawing/2014/main" id="{1DD13C9E-BEB3-FAA2-D6B3-15D411980E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1650" y="3746500"/>
          <a:ext cx="5410200" cy="27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273050</xdr:colOff>
      <xdr:row>1</xdr:row>
      <xdr:rowOff>0</xdr:rowOff>
    </xdr:from>
    <xdr:to>
      <xdr:col>2</xdr:col>
      <xdr:colOff>368300</xdr:colOff>
      <xdr:row>1</xdr:row>
      <xdr:rowOff>463550</xdr:rowOff>
    </xdr:to>
    <xdr:pic>
      <xdr:nvPicPr>
        <xdr:cNvPr id="1029" name="Image 6" descr="Picture">
          <a:extLst>
            <a:ext uri="{FF2B5EF4-FFF2-40B4-BE49-F238E27FC236}">
              <a16:creationId xmlns:a16="http://schemas.microsoft.com/office/drawing/2014/main" id="{E4812127-B2C9-CBF4-B761-7B70321107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4150"/>
          <a:ext cx="226695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/>
  </sheetViews>
  <sheetFormatPr defaultRowHeight="14.5" x14ac:dyDescent="0.35"/>
  <cols>
    <col min="1" max="1" width="4" customWidth="1"/>
    <col min="2" max="2" width="27.08984375" customWidth="1"/>
    <col min="3" max="4" width="23" customWidth="1"/>
    <col min="6" max="6" width="85" customWidth="1"/>
    <col min="7" max="7" width="81" customWidth="1"/>
    <col min="10" max="10" width="12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5" x14ac:dyDescent="0.35">
      <c r="A3" s="2"/>
      <c r="B3" s="3" t="s">
        <v>0</v>
      </c>
      <c r="C3" s="4" t="s">
        <v>1</v>
      </c>
      <c r="D3" s="5" t="s">
        <v>2</v>
      </c>
      <c r="E3" s="1"/>
      <c r="F3" s="1"/>
      <c r="G3" s="1"/>
      <c r="H3" s="1"/>
      <c r="I3" s="1"/>
      <c r="J3" s="1"/>
    </row>
    <row r="4" spans="1:10" ht="15.5" x14ac:dyDescent="0.35">
      <c r="A4" s="1"/>
      <c r="B4" s="6" t="s">
        <v>3</v>
      </c>
      <c r="C4" s="7">
        <v>66</v>
      </c>
      <c r="D4" s="8">
        <v>64</v>
      </c>
      <c r="E4" s="1"/>
      <c r="F4" s="1"/>
      <c r="G4" s="1"/>
      <c r="H4" s="1"/>
      <c r="I4" s="1"/>
      <c r="J4" s="1"/>
    </row>
    <row r="5" spans="1:10" ht="15.5" x14ac:dyDescent="0.35">
      <c r="A5" s="2"/>
      <c r="B5" s="9" t="s">
        <v>4</v>
      </c>
      <c r="C5" s="10">
        <v>63</v>
      </c>
      <c r="D5" s="11">
        <v>63</v>
      </c>
      <c r="E5" s="1"/>
      <c r="F5" s="1"/>
      <c r="G5" s="1"/>
      <c r="H5" s="1"/>
      <c r="I5" s="1"/>
      <c r="J5" s="1"/>
    </row>
    <row r="6" spans="1:10" ht="15.5" x14ac:dyDescent="0.35">
      <c r="A6" s="2"/>
      <c r="B6" s="9" t="s">
        <v>721</v>
      </c>
      <c r="C6" s="10">
        <v>99.789000000000001</v>
      </c>
      <c r="D6" s="11">
        <v>90.197000000000003</v>
      </c>
      <c r="E6" s="1"/>
      <c r="F6" s="1"/>
      <c r="G6" s="1"/>
      <c r="H6" s="1"/>
      <c r="I6" s="1"/>
      <c r="J6" s="1"/>
    </row>
    <row r="7" spans="1:10" ht="15.5" x14ac:dyDescent="0.35">
      <c r="A7" s="2"/>
      <c r="B7" s="9" t="s">
        <v>723</v>
      </c>
      <c r="C7" s="10">
        <v>99.937688979812023</v>
      </c>
      <c r="D7" s="11">
        <v>78.55512976833306</v>
      </c>
      <c r="E7" s="1"/>
      <c r="F7" s="1"/>
      <c r="G7" s="1"/>
      <c r="H7" s="1"/>
      <c r="I7" s="1"/>
      <c r="J7" s="1"/>
    </row>
    <row r="8" spans="1:10" ht="15.5" x14ac:dyDescent="0.35">
      <c r="A8" s="2"/>
      <c r="B8" s="9" t="s">
        <v>720</v>
      </c>
      <c r="C8" s="10">
        <v>99.937688979812023</v>
      </c>
      <c r="D8" s="11">
        <v>75.019719205260984</v>
      </c>
      <c r="E8" s="1"/>
      <c r="F8" s="1"/>
      <c r="G8" s="1"/>
      <c r="H8" s="1"/>
      <c r="I8" s="1"/>
      <c r="J8" s="1"/>
    </row>
    <row r="9" spans="1:10" ht="15.5" x14ac:dyDescent="0.35">
      <c r="A9" s="1"/>
      <c r="B9" s="6" t="s">
        <v>5</v>
      </c>
      <c r="C9" s="7" t="s">
        <v>18</v>
      </c>
      <c r="D9" s="8" t="s">
        <v>18</v>
      </c>
      <c r="E9" s="1"/>
      <c r="F9" s="1"/>
      <c r="G9" s="1"/>
      <c r="H9" s="1"/>
      <c r="I9" s="1"/>
      <c r="J9" s="1"/>
    </row>
    <row r="10" spans="1:10" ht="15.5" x14ac:dyDescent="0.35">
      <c r="A10" s="12"/>
      <c r="B10" s="13" t="s">
        <v>6</v>
      </c>
      <c r="C10" s="14">
        <v>100.14900337693737</v>
      </c>
      <c r="D10" s="15">
        <v>95.499452965709125</v>
      </c>
      <c r="E10" s="1"/>
      <c r="F10" s="1"/>
      <c r="G10" s="1"/>
      <c r="H10" s="1"/>
      <c r="I10" s="1"/>
      <c r="J10" s="1"/>
    </row>
    <row r="11" spans="1:10" ht="15.5" x14ac:dyDescent="0.35">
      <c r="A11" s="16"/>
      <c r="B11" s="17" t="s">
        <v>7</v>
      </c>
      <c r="C11" s="18">
        <v>82.112131908606273</v>
      </c>
      <c r="D11" s="19">
        <v>84.601402382739153</v>
      </c>
      <c r="E11" s="1"/>
      <c r="F11" s="1"/>
      <c r="G11" s="1"/>
      <c r="H11" s="1"/>
      <c r="I11" s="1"/>
      <c r="J11" s="1"/>
    </row>
    <row r="12" spans="1:10" ht="15.5" x14ac:dyDescent="0.35">
      <c r="A12" s="16"/>
      <c r="B12" s="17" t="s">
        <v>8</v>
      </c>
      <c r="C12" s="18">
        <v>92.729834634856473</v>
      </c>
      <c r="D12" s="19">
        <v>98.014102486348264</v>
      </c>
      <c r="E12" s="1"/>
      <c r="F12" s="1"/>
      <c r="G12" s="1"/>
      <c r="H12" s="1"/>
      <c r="I12" s="1"/>
      <c r="J12" s="1"/>
    </row>
    <row r="13" spans="1:10" ht="15.5" x14ac:dyDescent="0.35">
      <c r="A13" s="20"/>
      <c r="B13" s="21" t="s">
        <v>722</v>
      </c>
      <c r="C13" s="22">
        <v>3.0678137042292923</v>
      </c>
      <c r="D13" s="23">
        <v>2.9878582570675709</v>
      </c>
      <c r="E13" s="1"/>
      <c r="F13" s="1"/>
      <c r="G13" s="1"/>
      <c r="H13" s="1"/>
      <c r="I13" s="1"/>
      <c r="J13" s="1"/>
    </row>
    <row r="14" spans="1:10" ht="15.5" x14ac:dyDescent="0.35">
      <c r="A14" s="20"/>
      <c r="B14" s="21" t="s">
        <v>9</v>
      </c>
      <c r="C14" s="22">
        <v>4.4586971064631218</v>
      </c>
      <c r="D14" s="23">
        <v>6.5086005828352906</v>
      </c>
      <c r="E14" s="1"/>
      <c r="F14" s="1"/>
      <c r="G14" s="1"/>
      <c r="H14" s="1"/>
      <c r="I14" s="1"/>
      <c r="J14" s="1"/>
    </row>
    <row r="15" spans="1:10" ht="15.5" x14ac:dyDescent="0.35">
      <c r="A15" s="20"/>
      <c r="B15" s="21" t="s">
        <v>10</v>
      </c>
      <c r="C15" s="22">
        <v>5.4839021484703085</v>
      </c>
      <c r="D15" s="23">
        <v>10.292731900303098</v>
      </c>
      <c r="E15" s="1"/>
      <c r="F15" s="1"/>
      <c r="G15" s="1"/>
      <c r="H15" s="1"/>
      <c r="I15" s="1"/>
      <c r="J15" s="1"/>
    </row>
    <row r="16" spans="1:10" ht="15.5" x14ac:dyDescent="0.35">
      <c r="A16" s="1"/>
      <c r="B16" s="6"/>
      <c r="C16" s="7"/>
      <c r="D16" s="8"/>
      <c r="E16" s="1"/>
      <c r="F16" s="1"/>
      <c r="G16" s="1"/>
      <c r="H16" s="1"/>
      <c r="I16" s="1"/>
      <c r="J16" s="1"/>
    </row>
    <row r="17" spans="1:10" ht="15.5" x14ac:dyDescent="0.35">
      <c r="A17" s="1"/>
      <c r="B17" s="24" t="s">
        <v>11</v>
      </c>
      <c r="C17" s="25" t="s">
        <v>1</v>
      </c>
      <c r="D17" s="26" t="s">
        <v>2</v>
      </c>
      <c r="E17" s="1"/>
      <c r="F17" s="1"/>
      <c r="G17" s="1"/>
      <c r="H17" s="1"/>
      <c r="I17" s="1"/>
      <c r="J17" s="1"/>
    </row>
    <row r="18" spans="1:10" ht="15.5" x14ac:dyDescent="0.35">
      <c r="A18" s="1"/>
      <c r="B18" s="27" t="s">
        <v>12</v>
      </c>
      <c r="C18" s="28">
        <v>0</v>
      </c>
      <c r="D18" s="29">
        <v>1.7336487605495832E-2</v>
      </c>
      <c r="E18" s="1"/>
      <c r="F18" s="1"/>
      <c r="G18" s="1"/>
      <c r="H18" s="1"/>
      <c r="I18" s="1"/>
      <c r="J18" s="1"/>
    </row>
    <row r="19" spans="1:10" ht="15.5" x14ac:dyDescent="0.35">
      <c r="A19" s="1"/>
      <c r="B19" s="27" t="s">
        <v>13</v>
      </c>
      <c r="C19" s="28">
        <v>0</v>
      </c>
      <c r="D19" s="29">
        <v>0</v>
      </c>
      <c r="E19" s="1"/>
      <c r="F19" s="1"/>
      <c r="G19" s="1"/>
      <c r="H19" s="1"/>
      <c r="I19" s="1"/>
      <c r="J19" s="1"/>
    </row>
    <row r="20" spans="1:10" ht="15.5" x14ac:dyDescent="0.35">
      <c r="A20" s="1"/>
      <c r="B20" s="27" t="s">
        <v>14</v>
      </c>
      <c r="C20" s="28">
        <v>4.9270269814468163E-3</v>
      </c>
      <c r="D20" s="29">
        <v>0</v>
      </c>
      <c r="E20" s="1"/>
      <c r="F20" s="1"/>
      <c r="G20" s="1"/>
      <c r="H20" s="1"/>
      <c r="I20" s="1"/>
      <c r="J20" s="1"/>
    </row>
    <row r="21" spans="1:10" ht="15.5" x14ac:dyDescent="0.35">
      <c r="A21" s="1"/>
      <c r="B21" s="27" t="s">
        <v>15</v>
      </c>
      <c r="C21" s="28">
        <v>6.1550987697861416E-2</v>
      </c>
      <c r="D21" s="29">
        <v>4.3448621203706052E-2</v>
      </c>
      <c r="E21" s="1"/>
      <c r="F21" s="1"/>
      <c r="G21" s="1"/>
      <c r="H21" s="1"/>
      <c r="I21" s="1"/>
      <c r="J21" s="1"/>
    </row>
    <row r="22" spans="1:10" ht="15.5" x14ac:dyDescent="0.35">
      <c r="A22" s="1"/>
      <c r="B22" s="27" t="s">
        <v>16</v>
      </c>
      <c r="C22" s="28">
        <v>0.12046110327967538</v>
      </c>
      <c r="D22" s="29">
        <v>0.11118158840722997</v>
      </c>
      <c r="E22" s="1"/>
      <c r="F22" s="1"/>
      <c r="G22" s="1"/>
      <c r="H22" s="1"/>
      <c r="I22" s="1"/>
      <c r="J22" s="1"/>
    </row>
    <row r="23" spans="1:10" ht="15.5" x14ac:dyDescent="0.35">
      <c r="A23" s="1"/>
      <c r="B23" s="27" t="s">
        <v>17</v>
      </c>
      <c r="C23" s="28">
        <v>0.11397341069570267</v>
      </c>
      <c r="D23" s="29">
        <v>0.13020895180513692</v>
      </c>
      <c r="E23" s="1"/>
      <c r="F23" s="1"/>
      <c r="G23" s="1"/>
      <c r="H23" s="1"/>
      <c r="I23" s="1"/>
      <c r="J23" s="1"/>
    </row>
    <row r="24" spans="1:10" ht="15.5" x14ac:dyDescent="0.35">
      <c r="A24" s="1"/>
      <c r="B24" s="27" t="s">
        <v>18</v>
      </c>
      <c r="C24" s="28">
        <v>0.21677765744996871</v>
      </c>
      <c r="D24" s="29">
        <v>0.17508247004285546</v>
      </c>
      <c r="E24" s="1"/>
      <c r="F24" s="1"/>
      <c r="G24" s="1"/>
      <c r="H24" s="1"/>
      <c r="I24" s="1"/>
      <c r="J24" s="1"/>
    </row>
    <row r="25" spans="1:10" ht="15.5" x14ac:dyDescent="0.35">
      <c r="A25" s="1"/>
      <c r="B25" s="27" t="s">
        <v>19</v>
      </c>
      <c r="C25" s="28">
        <v>0.24149503538787406</v>
      </c>
      <c r="D25" s="29">
        <v>0.20705371578595108</v>
      </c>
      <c r="E25" s="1"/>
      <c r="F25" s="1"/>
      <c r="G25" s="1"/>
      <c r="H25" s="1"/>
      <c r="I25" s="1"/>
      <c r="J25" s="1"/>
    </row>
    <row r="26" spans="1:10" ht="15.5" x14ac:dyDescent="0.35">
      <c r="A26" s="1"/>
      <c r="B26" s="27" t="s">
        <v>20</v>
      </c>
      <c r="C26" s="28">
        <v>0.15741990343186207</v>
      </c>
      <c r="D26" s="29">
        <v>0.20861903689072744</v>
      </c>
      <c r="E26" s="1"/>
      <c r="F26" s="1"/>
      <c r="G26" s="1"/>
      <c r="H26" s="1"/>
      <c r="I26" s="1"/>
      <c r="J26" s="1"/>
    </row>
    <row r="27" spans="1:10" ht="15.5" x14ac:dyDescent="0.35">
      <c r="A27" s="1"/>
      <c r="B27" s="27" t="s">
        <v>21</v>
      </c>
      <c r="C27" s="28">
        <v>8.339487507560886E-2</v>
      </c>
      <c r="D27" s="29">
        <v>0.10706912825889728</v>
      </c>
      <c r="E27" s="1"/>
      <c r="F27" s="1"/>
      <c r="G27" s="1"/>
      <c r="H27" s="1"/>
      <c r="I27" s="1"/>
      <c r="J27" s="1"/>
    </row>
    <row r="28" spans="1:10" ht="15.5" x14ac:dyDescent="0.35">
      <c r="A28" s="1"/>
      <c r="B28" s="27" t="s">
        <v>22</v>
      </c>
      <c r="C28" s="28">
        <v>0</v>
      </c>
      <c r="D28" s="29">
        <v>0</v>
      </c>
      <c r="E28" s="1"/>
      <c r="F28" s="1"/>
      <c r="G28" s="1"/>
      <c r="H28" s="1"/>
      <c r="I28" s="1"/>
      <c r="J28" s="1"/>
    </row>
    <row r="29" spans="1:10" ht="15.5" x14ac:dyDescent="0.35">
      <c r="A29" s="1"/>
      <c r="B29" s="27" t="s">
        <v>23</v>
      </c>
      <c r="C29" s="28">
        <v>0</v>
      </c>
      <c r="D29" s="29">
        <v>0</v>
      </c>
      <c r="E29" s="1"/>
      <c r="F29" s="1"/>
      <c r="G29" s="1"/>
      <c r="H29" s="1"/>
      <c r="I29" s="1"/>
      <c r="J29" s="1"/>
    </row>
    <row r="30" spans="1:10" ht="15.5" x14ac:dyDescent="0.35">
      <c r="A30" s="1"/>
      <c r="B30" s="27" t="s">
        <v>24</v>
      </c>
      <c r="C30" s="28">
        <v>0</v>
      </c>
      <c r="D30" s="29">
        <v>0</v>
      </c>
      <c r="E30" s="1"/>
      <c r="F30" s="1"/>
      <c r="G30" s="1"/>
      <c r="H30" s="1"/>
      <c r="I30" s="1"/>
      <c r="J30" s="1"/>
    </row>
    <row r="31" spans="1:10" ht="15.5" x14ac:dyDescent="0.35">
      <c r="A31" s="1"/>
      <c r="B31" s="6"/>
      <c r="C31" s="7"/>
      <c r="D31" s="8"/>
      <c r="E31" s="1"/>
      <c r="F31" s="1"/>
      <c r="G31" s="1"/>
      <c r="H31" s="1"/>
      <c r="I31" s="1"/>
      <c r="J31" s="1"/>
    </row>
    <row r="32" spans="1:10" ht="15.5" x14ac:dyDescent="0.35">
      <c r="A32" s="1"/>
      <c r="B32" s="24" t="s">
        <v>25</v>
      </c>
      <c r="C32" s="25" t="s">
        <v>1</v>
      </c>
      <c r="D32" s="26" t="s">
        <v>2</v>
      </c>
      <c r="E32" s="1"/>
      <c r="F32" s="1"/>
      <c r="G32" s="1"/>
      <c r="H32" s="1"/>
      <c r="I32" s="1"/>
      <c r="J32" s="1"/>
    </row>
    <row r="33" spans="1:10" ht="15.5" x14ac:dyDescent="0.35">
      <c r="A33" s="1"/>
      <c r="B33" s="27" t="s">
        <v>26</v>
      </c>
      <c r="C33" s="28">
        <v>0.43341829369888973</v>
      </c>
      <c r="D33" s="29">
        <v>0.33439609675268728</v>
      </c>
      <c r="E33" s="1"/>
      <c r="F33" s="1"/>
      <c r="G33" s="1"/>
      <c r="H33" s="1"/>
      <c r="I33" s="1"/>
      <c r="J33" s="1"/>
    </row>
    <row r="34" spans="1:10" ht="15.5" x14ac:dyDescent="0.35">
      <c r="A34" s="1"/>
      <c r="B34" s="27" t="s">
        <v>27</v>
      </c>
      <c r="C34" s="28">
        <v>5.9904467059479959E-2</v>
      </c>
      <c r="D34" s="29">
        <v>0.10604684457062874</v>
      </c>
      <c r="E34" s="1"/>
      <c r="F34" s="1"/>
      <c r="G34" s="1"/>
      <c r="H34" s="1"/>
      <c r="I34" s="1"/>
      <c r="J34" s="1"/>
    </row>
    <row r="35" spans="1:10" ht="15.5" x14ac:dyDescent="0.35">
      <c r="A35" s="1"/>
      <c r="B35" s="27" t="s">
        <v>28</v>
      </c>
      <c r="C35" s="28">
        <v>0.15713596288953235</v>
      </c>
      <c r="D35" s="29">
        <v>0.19198541573840111</v>
      </c>
      <c r="E35" s="1"/>
      <c r="F35" s="1"/>
      <c r="G35" s="1"/>
      <c r="H35" s="1"/>
      <c r="I35" s="1"/>
      <c r="J35" s="1"/>
    </row>
    <row r="36" spans="1:10" ht="15.5" x14ac:dyDescent="0.35">
      <c r="A36" s="1"/>
      <c r="B36" s="27" t="s">
        <v>29</v>
      </c>
      <c r="C36" s="28">
        <v>2.3423666919686895E-2</v>
      </c>
      <c r="D36" s="29">
        <v>6.5794413046286845E-2</v>
      </c>
      <c r="E36" s="1"/>
      <c r="F36" s="1"/>
      <c r="G36" s="1"/>
      <c r="H36" s="1"/>
      <c r="I36" s="1"/>
      <c r="J36" s="1"/>
    </row>
    <row r="37" spans="1:10" ht="15.5" x14ac:dyDescent="0.35">
      <c r="A37" s="1"/>
      <c r="B37" s="27" t="s">
        <v>30</v>
      </c>
      <c r="C37" s="28">
        <v>7.7900691657721802E-2</v>
      </c>
      <c r="D37" s="29">
        <v>7.7567207235578917E-2</v>
      </c>
      <c r="E37" s="1"/>
      <c r="F37" s="1"/>
      <c r="G37" s="1"/>
      <c r="H37" s="1"/>
      <c r="I37" s="1"/>
      <c r="J37" s="1"/>
    </row>
    <row r="38" spans="1:10" ht="15.5" x14ac:dyDescent="0.35">
      <c r="A38" s="1"/>
      <c r="B38" s="27" t="s">
        <v>31</v>
      </c>
      <c r="C38" s="28">
        <v>2.0243647119568976E-2</v>
      </c>
      <c r="D38" s="29">
        <v>8.681954146149895E-2</v>
      </c>
      <c r="E38" s="1"/>
      <c r="F38" s="1"/>
      <c r="G38" s="1"/>
      <c r="H38" s="1"/>
      <c r="I38" s="1"/>
      <c r="J38" s="1"/>
    </row>
    <row r="39" spans="1:10" ht="15.5" x14ac:dyDescent="0.35">
      <c r="A39" s="1"/>
      <c r="B39" s="27" t="s">
        <v>32</v>
      </c>
      <c r="C39" s="28">
        <v>3.5879053995348922E-2</v>
      </c>
      <c r="D39" s="29">
        <v>1.7370801713868029E-2</v>
      </c>
      <c r="E39" s="1"/>
      <c r="F39" s="1"/>
      <c r="G39" s="1"/>
      <c r="H39" s="1"/>
      <c r="I39" s="1"/>
      <c r="J39" s="1"/>
    </row>
    <row r="40" spans="1:10" ht="15.5" x14ac:dyDescent="0.35">
      <c r="A40" s="1"/>
      <c r="B40" s="27" t="s">
        <v>33</v>
      </c>
      <c r="C40" s="28">
        <v>7.4674300803953819E-2</v>
      </c>
      <c r="D40" s="29">
        <v>4.7091782658721125E-2</v>
      </c>
      <c r="E40" s="1"/>
      <c r="F40" s="1"/>
      <c r="G40" s="1"/>
      <c r="H40" s="1"/>
      <c r="I40" s="1"/>
      <c r="J40" s="1"/>
    </row>
    <row r="41" spans="1:10" ht="15.5" x14ac:dyDescent="0.35">
      <c r="A41" s="1"/>
      <c r="B41" s="27" t="s">
        <v>34</v>
      </c>
      <c r="C41" s="28">
        <v>0.11741991585581751</v>
      </c>
      <c r="D41" s="29">
        <v>7.2927896822329072E-2</v>
      </c>
      <c r="E41" s="1"/>
      <c r="F41" s="1"/>
      <c r="G41" s="1"/>
      <c r="H41" s="1"/>
      <c r="I41" s="1"/>
      <c r="J41" s="1"/>
    </row>
    <row r="42" spans="1:10" ht="15.5" x14ac:dyDescent="0.35">
      <c r="A42" s="1"/>
      <c r="B42" s="6"/>
      <c r="C42" s="7"/>
      <c r="D42" s="8"/>
      <c r="E42" s="1"/>
      <c r="F42" s="1"/>
      <c r="G42" s="1"/>
      <c r="H42" s="1"/>
      <c r="I42" s="1"/>
      <c r="J42" s="1"/>
    </row>
    <row r="43" spans="1:10" ht="15.5" x14ac:dyDescent="0.35">
      <c r="A43" s="1"/>
      <c r="B43" s="24" t="s">
        <v>35</v>
      </c>
      <c r="C43" s="25" t="s">
        <v>1</v>
      </c>
      <c r="D43" s="26" t="s">
        <v>2</v>
      </c>
      <c r="E43" s="1"/>
      <c r="F43" s="1"/>
      <c r="G43" s="1"/>
      <c r="H43" s="1"/>
      <c r="I43" s="1"/>
      <c r="J43" s="1"/>
    </row>
    <row r="44" spans="1:10" ht="15.5" x14ac:dyDescent="0.35">
      <c r="A44" s="1"/>
      <c r="B44" s="27" t="s">
        <v>36</v>
      </c>
      <c r="C44" s="28">
        <v>4.9987207531971504E-3</v>
      </c>
      <c r="D44" s="29">
        <v>1.2347625350183647E-2</v>
      </c>
      <c r="E44" s="1"/>
      <c r="F44" s="1"/>
      <c r="G44" s="1"/>
      <c r="H44" s="1"/>
      <c r="I44" s="1"/>
      <c r="J44" s="1"/>
    </row>
    <row r="45" spans="1:10" ht="15.5" x14ac:dyDescent="0.35">
      <c r="A45" s="1"/>
      <c r="B45" s="27" t="s">
        <v>37</v>
      </c>
      <c r="C45" s="28">
        <v>0.30067325341626844</v>
      </c>
      <c r="D45" s="29">
        <v>0.23229653815376389</v>
      </c>
      <c r="E45" s="1"/>
      <c r="F45" s="1"/>
      <c r="G45" s="1"/>
      <c r="H45" s="1"/>
      <c r="I45" s="1"/>
      <c r="J45" s="1"/>
    </row>
    <row r="46" spans="1:10" ht="15.5" x14ac:dyDescent="0.35">
      <c r="A46" s="1"/>
      <c r="B46" s="27" t="s">
        <v>38</v>
      </c>
      <c r="C46" s="28">
        <v>0.23547852938455255</v>
      </c>
      <c r="D46" s="29">
        <v>0.1829794133951711</v>
      </c>
      <c r="E46" s="1"/>
      <c r="F46" s="1"/>
      <c r="G46" s="1"/>
      <c r="H46" s="1"/>
      <c r="I46" s="1"/>
      <c r="J46" s="1"/>
    </row>
    <row r="47" spans="1:10" ht="15.5" x14ac:dyDescent="0.35">
      <c r="A47" s="1"/>
      <c r="B47" s="27" t="s">
        <v>39</v>
      </c>
      <c r="C47" s="28">
        <v>0.22898175114117089</v>
      </c>
      <c r="D47" s="29">
        <v>0.12005251723055521</v>
      </c>
      <c r="E47" s="1"/>
      <c r="F47" s="1"/>
      <c r="G47" s="1"/>
      <c r="H47" s="1"/>
      <c r="I47" s="1"/>
      <c r="J47" s="1"/>
    </row>
    <row r="48" spans="1:10" ht="15.5" x14ac:dyDescent="0.35">
      <c r="A48" s="1"/>
      <c r="B48" s="27" t="s">
        <v>40</v>
      </c>
      <c r="C48" s="28">
        <v>0.16578917088004955</v>
      </c>
      <c r="D48" s="29">
        <v>0.16096246520358679</v>
      </c>
      <c r="E48" s="1"/>
      <c r="F48" s="1"/>
      <c r="G48" s="1"/>
      <c r="H48" s="1"/>
      <c r="I48" s="1"/>
      <c r="J48" s="1"/>
    </row>
    <row r="49" spans="1:10" ht="15.5" x14ac:dyDescent="0.35">
      <c r="A49" s="1"/>
      <c r="B49" s="27" t="s">
        <v>41</v>
      </c>
      <c r="C49" s="28">
        <v>6.4078574424761364E-2</v>
      </c>
      <c r="D49" s="29">
        <v>0.29136144066673947</v>
      </c>
      <c r="E49" s="1"/>
      <c r="F49" s="1"/>
      <c r="G49" s="1"/>
      <c r="H49" s="1"/>
      <c r="I49" s="1"/>
      <c r="J49" s="1"/>
    </row>
    <row r="50" spans="1:10" ht="15.5" x14ac:dyDescent="0.35">
      <c r="A50" s="1"/>
      <c r="B50" s="6"/>
      <c r="C50" s="7"/>
      <c r="D50" s="8"/>
      <c r="E50" s="1"/>
      <c r="F50" s="1"/>
      <c r="G50" s="1"/>
      <c r="H50" s="1"/>
      <c r="I50" s="1"/>
      <c r="J50" s="1"/>
    </row>
    <row r="51" spans="1:10" ht="15.5" x14ac:dyDescent="0.35">
      <c r="A51" s="1"/>
      <c r="B51" s="24" t="s">
        <v>43</v>
      </c>
      <c r="C51" s="25" t="s">
        <v>1</v>
      </c>
      <c r="D51" s="26" t="s">
        <v>2</v>
      </c>
      <c r="E51" s="1"/>
      <c r="F51" s="1"/>
      <c r="G51" s="1"/>
      <c r="H51" s="1"/>
      <c r="I51" s="1"/>
      <c r="J51" s="1"/>
    </row>
    <row r="52" spans="1:10" ht="15.5" x14ac:dyDescent="0.35">
      <c r="A52" s="1"/>
      <c r="B52" s="27" t="s">
        <v>44</v>
      </c>
      <c r="C52" s="28">
        <v>0</v>
      </c>
      <c r="D52" s="29">
        <v>6.1127027156089718E-2</v>
      </c>
      <c r="E52" s="1"/>
      <c r="F52" s="1"/>
      <c r="G52" s="1"/>
      <c r="H52" s="1"/>
      <c r="I52" s="1"/>
      <c r="J52" s="1"/>
    </row>
    <row r="53" spans="1:10" ht="15.5" x14ac:dyDescent="0.35">
      <c r="A53" s="1"/>
      <c r="B53" s="27" t="s">
        <v>45</v>
      </c>
      <c r="C53" s="28">
        <v>0.94889153368750756</v>
      </c>
      <c r="D53" s="29">
        <v>0.93887297284391036</v>
      </c>
      <c r="E53" s="1"/>
      <c r="F53" s="1"/>
      <c r="G53" s="1"/>
      <c r="H53" s="1"/>
      <c r="I53" s="1"/>
      <c r="J53" s="1"/>
    </row>
    <row r="54" spans="1:10" ht="15.5" x14ac:dyDescent="0.35">
      <c r="A54" s="1"/>
      <c r="B54" s="27" t="s">
        <v>46</v>
      </c>
      <c r="C54" s="28">
        <v>5.1108466312492454E-2</v>
      </c>
      <c r="D54" s="29">
        <v>0</v>
      </c>
      <c r="E54" s="1"/>
      <c r="F54" s="1"/>
      <c r="G54" s="1"/>
      <c r="H54" s="1"/>
      <c r="I54" s="1"/>
      <c r="J54" s="1"/>
    </row>
    <row r="55" spans="1:10" ht="16" thickBot="1" x14ac:dyDescent="0.4">
      <c r="A55" s="1"/>
      <c r="B55" s="30"/>
      <c r="C55" s="31"/>
      <c r="D55" s="32"/>
      <c r="E55" s="1"/>
      <c r="F55" s="1"/>
      <c r="G55" s="1"/>
      <c r="H55" s="1"/>
      <c r="I55" s="1"/>
      <c r="J55" s="1"/>
    </row>
    <row r="56" spans="1:10" ht="16" thickTop="1" x14ac:dyDescent="0.35">
      <c r="A56" s="1"/>
      <c r="B56" s="6"/>
      <c r="C56" s="7"/>
      <c r="D56" s="8"/>
      <c r="E56" s="1"/>
      <c r="F56" s="1"/>
      <c r="G56" s="1"/>
      <c r="H56" s="1"/>
      <c r="I56" s="1"/>
      <c r="J56" s="1"/>
    </row>
    <row r="57" spans="1:10" ht="15.5" x14ac:dyDescent="0.35">
      <c r="A57" s="1"/>
      <c r="B57" s="49" t="s">
        <v>715</v>
      </c>
      <c r="C57" s="50"/>
      <c r="D57" s="51"/>
      <c r="E57" s="1"/>
      <c r="F57" s="1"/>
      <c r="G57" s="1"/>
      <c r="H57" s="1"/>
      <c r="I57" s="1"/>
      <c r="J57" s="1"/>
    </row>
    <row r="58" spans="1:10" ht="15.5" x14ac:dyDescent="0.35">
      <c r="A58" s="1"/>
      <c r="B58" s="27" t="s">
        <v>716</v>
      </c>
      <c r="C58" s="45">
        <v>1.1482000000000001</v>
      </c>
      <c r="D58" s="29"/>
      <c r="E58" s="1"/>
      <c r="F58" s="1"/>
      <c r="G58" s="1"/>
      <c r="H58" s="1"/>
      <c r="I58" s="1"/>
      <c r="J58" s="1"/>
    </row>
    <row r="59" spans="1:10" ht="15.5" x14ac:dyDescent="0.35">
      <c r="A59" s="1"/>
      <c r="B59" s="27" t="s">
        <v>717</v>
      </c>
      <c r="C59" s="46">
        <v>-1.9400000000000001E-2</v>
      </c>
      <c r="D59" s="29"/>
      <c r="E59" s="1"/>
      <c r="F59" s="1"/>
      <c r="G59" s="1"/>
      <c r="H59" s="1"/>
      <c r="I59" s="1"/>
      <c r="J59" s="1"/>
    </row>
    <row r="60" spans="1:10" ht="15.5" x14ac:dyDescent="0.35">
      <c r="A60" s="1"/>
      <c r="B60" s="27"/>
      <c r="C60" s="28"/>
      <c r="D60" s="29"/>
      <c r="E60" s="1"/>
      <c r="F60" s="1"/>
      <c r="G60" s="1"/>
      <c r="H60" s="1"/>
      <c r="I60" s="1"/>
      <c r="J60" s="1"/>
    </row>
    <row r="61" spans="1:10" ht="16" thickBot="1" x14ac:dyDescent="0.4">
      <c r="A61" s="1"/>
      <c r="B61" s="30"/>
      <c r="C61" s="31"/>
      <c r="D61" s="32"/>
      <c r="E61" s="1"/>
      <c r="F61" s="1"/>
      <c r="G61" s="1"/>
      <c r="H61" s="1"/>
      <c r="I61" s="1"/>
      <c r="J61" s="1"/>
    </row>
    <row r="62" spans="1:10" ht="15" thickTop="1" x14ac:dyDescent="0.35"/>
  </sheetData>
  <pageMargins left="0.75" right="0.75" top="1" bottom="1" header="0.5" footer="0.5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7"/>
  <sheetViews>
    <sheetView topLeftCell="L1" workbookViewId="0">
      <selection activeCell="X24" sqref="X24"/>
    </sheetView>
  </sheetViews>
  <sheetFormatPr defaultRowHeight="14.5" x14ac:dyDescent="0.35"/>
  <cols>
    <col min="1" max="1" width="21" customWidth="1"/>
    <col min="2" max="2" width="18" customWidth="1"/>
    <col min="3" max="3" width="30" customWidth="1"/>
    <col min="4" max="4" width="18" customWidth="1"/>
    <col min="5" max="5" width="15" customWidth="1"/>
    <col min="6" max="6" width="47" customWidth="1"/>
    <col min="7" max="7" width="31" customWidth="1"/>
    <col min="8" max="8" width="33" customWidth="1"/>
    <col min="9" max="12" width="15" customWidth="1"/>
    <col min="13" max="13" width="25" customWidth="1"/>
    <col min="14" max="14" width="27" customWidth="1"/>
    <col min="15" max="15" width="19" customWidth="1"/>
    <col min="16" max="20" width="27" customWidth="1"/>
    <col min="21" max="21" width="24" customWidth="1"/>
    <col min="22" max="22" width="16" customWidth="1"/>
    <col min="23" max="23" width="23.81640625" bestFit="1" customWidth="1"/>
    <col min="24" max="24" width="16.90625" bestFit="1" customWidth="1"/>
  </cols>
  <sheetData>
    <row r="1" spans="1:24" ht="15.5" x14ac:dyDescent="0.35">
      <c r="A1" s="33" t="s">
        <v>47</v>
      </c>
      <c r="B1" s="33" t="s">
        <v>48</v>
      </c>
      <c r="C1" s="33" t="s">
        <v>49</v>
      </c>
      <c r="D1" s="34" t="s">
        <v>50</v>
      </c>
      <c r="E1" s="33" t="s">
        <v>51</v>
      </c>
      <c r="F1" s="33" t="s">
        <v>52</v>
      </c>
      <c r="G1" s="33" t="s">
        <v>25</v>
      </c>
      <c r="H1" s="33" t="s">
        <v>53</v>
      </c>
      <c r="I1" s="33" t="s">
        <v>54</v>
      </c>
      <c r="J1" s="33" t="s">
        <v>55</v>
      </c>
      <c r="K1" s="33" t="s">
        <v>56</v>
      </c>
      <c r="L1" s="33" t="s">
        <v>11</v>
      </c>
      <c r="M1" s="33" t="s">
        <v>43</v>
      </c>
      <c r="N1" s="35" t="s">
        <v>9</v>
      </c>
      <c r="O1" s="33" t="s">
        <v>57</v>
      </c>
      <c r="P1" s="36" t="s">
        <v>58</v>
      </c>
      <c r="Q1" s="37" t="s">
        <v>59</v>
      </c>
      <c r="R1" s="35" t="s">
        <v>60</v>
      </c>
      <c r="S1" s="34" t="s">
        <v>61</v>
      </c>
      <c r="T1" s="35" t="s">
        <v>62</v>
      </c>
      <c r="U1" s="33" t="s">
        <v>35</v>
      </c>
      <c r="V1" s="33" t="s">
        <v>63</v>
      </c>
      <c r="W1" s="34" t="s">
        <v>64</v>
      </c>
      <c r="X1" s="33" t="s">
        <v>65</v>
      </c>
    </row>
    <row r="2" spans="1:24" ht="15.5" x14ac:dyDescent="0.35">
      <c r="A2" s="38" t="s">
        <v>66</v>
      </c>
      <c r="B2" s="38"/>
      <c r="C2" s="38" t="s">
        <v>67</v>
      </c>
      <c r="D2" s="39">
        <v>658000</v>
      </c>
      <c r="E2" s="38" t="s">
        <v>68</v>
      </c>
      <c r="F2" s="38" t="s">
        <v>69</v>
      </c>
      <c r="G2" s="38" t="s">
        <v>28</v>
      </c>
      <c r="H2" s="38" t="s">
        <v>70</v>
      </c>
      <c r="I2" s="38" t="s">
        <v>71</v>
      </c>
      <c r="J2" s="38" t="s">
        <v>18</v>
      </c>
      <c r="K2" s="38" t="s">
        <v>72</v>
      </c>
      <c r="L2" s="38" t="s">
        <v>18</v>
      </c>
      <c r="M2" s="38" t="s">
        <v>45</v>
      </c>
      <c r="N2" s="40">
        <v>2.242892943993132</v>
      </c>
      <c r="O2" s="38" t="s">
        <v>73</v>
      </c>
      <c r="P2" s="41">
        <v>99.027763906234483</v>
      </c>
      <c r="Q2" s="42">
        <v>44.04</v>
      </c>
      <c r="R2" s="40">
        <v>2.4270999999999932</v>
      </c>
      <c r="S2" s="39">
        <v>651602.68650302291</v>
      </c>
      <c r="T2" s="40">
        <v>2.364383561643836</v>
      </c>
      <c r="U2" s="38" t="s">
        <v>37</v>
      </c>
      <c r="V2" s="38" t="s">
        <v>74</v>
      </c>
      <c r="W2" s="39">
        <v>2911466000</v>
      </c>
      <c r="X2" s="38">
        <v>7</v>
      </c>
    </row>
    <row r="3" spans="1:24" ht="15.5" x14ac:dyDescent="0.35">
      <c r="A3" s="38" t="s">
        <v>75</v>
      </c>
      <c r="B3" s="38"/>
      <c r="C3" s="38" t="s">
        <v>76</v>
      </c>
      <c r="D3" s="39">
        <v>2000000</v>
      </c>
      <c r="E3" s="38" t="s">
        <v>77</v>
      </c>
      <c r="F3" s="38" t="s">
        <v>78</v>
      </c>
      <c r="G3" s="38" t="s">
        <v>26</v>
      </c>
      <c r="H3" s="38" t="s">
        <v>79</v>
      </c>
      <c r="I3" s="38" t="s">
        <v>80</v>
      </c>
      <c r="J3" s="38" t="s">
        <v>17</v>
      </c>
      <c r="K3" s="38" t="s">
        <v>16</v>
      </c>
      <c r="L3" s="38" t="s">
        <v>16</v>
      </c>
      <c r="M3" s="38" t="s">
        <v>45</v>
      </c>
      <c r="N3" s="40">
        <v>3.3279205298368679</v>
      </c>
      <c r="O3" s="38" t="s">
        <v>73</v>
      </c>
      <c r="P3" s="41">
        <v>100.4117043917721</v>
      </c>
      <c r="Q3" s="42">
        <v>52.317999999999998</v>
      </c>
      <c r="R3" s="40">
        <v>2.6251800060973909</v>
      </c>
      <c r="S3" s="39">
        <v>2008234.087835442</v>
      </c>
      <c r="T3" s="40">
        <v>3.580821917808219</v>
      </c>
      <c r="U3" s="38" t="s">
        <v>38</v>
      </c>
      <c r="V3" s="38" t="s">
        <v>81</v>
      </c>
      <c r="W3" s="39">
        <v>1000000000</v>
      </c>
      <c r="X3" s="38">
        <v>5</v>
      </c>
    </row>
    <row r="4" spans="1:24" ht="15.5" x14ac:dyDescent="0.35">
      <c r="A4" s="38" t="s">
        <v>82</v>
      </c>
      <c r="B4" s="38"/>
      <c r="C4" s="38" t="s">
        <v>83</v>
      </c>
      <c r="D4" s="39">
        <v>1100000</v>
      </c>
      <c r="E4" s="38" t="s">
        <v>84</v>
      </c>
      <c r="F4" s="38" t="s">
        <v>85</v>
      </c>
      <c r="G4" s="38" t="s">
        <v>30</v>
      </c>
      <c r="H4" s="38" t="s">
        <v>86</v>
      </c>
      <c r="I4" s="38" t="s">
        <v>87</v>
      </c>
      <c r="J4" s="38" t="s">
        <v>21</v>
      </c>
      <c r="K4" s="38" t="s">
        <v>21</v>
      </c>
      <c r="L4" s="38" t="s">
        <v>21</v>
      </c>
      <c r="M4" s="38" t="s">
        <v>45</v>
      </c>
      <c r="N4" s="40">
        <v>5.9159302578446571</v>
      </c>
      <c r="O4" s="38" t="s">
        <v>73</v>
      </c>
      <c r="P4" s="41">
        <v>100.11257528107819</v>
      </c>
      <c r="Q4" s="42">
        <v>121.102</v>
      </c>
      <c r="R4" s="40">
        <v>3.6045199999999999</v>
      </c>
      <c r="S4" s="39">
        <v>1101238.328091861</v>
      </c>
      <c r="T4" s="40">
        <v>6.8328767123287673</v>
      </c>
      <c r="U4" s="38" t="s">
        <v>39</v>
      </c>
      <c r="V4" s="38" t="s">
        <v>88</v>
      </c>
      <c r="W4" s="39">
        <v>500000000</v>
      </c>
      <c r="X4" s="38">
        <v>10</v>
      </c>
    </row>
    <row r="5" spans="1:24" ht="15.5" x14ac:dyDescent="0.35">
      <c r="A5" s="38" t="s">
        <v>89</v>
      </c>
      <c r="B5" s="38"/>
      <c r="C5" s="38" t="s">
        <v>90</v>
      </c>
      <c r="D5" s="39">
        <v>600000</v>
      </c>
      <c r="E5" s="38" t="s">
        <v>91</v>
      </c>
      <c r="F5" s="38" t="s">
        <v>92</v>
      </c>
      <c r="G5" s="38" t="s">
        <v>33</v>
      </c>
      <c r="H5" s="38" t="s">
        <v>93</v>
      </c>
      <c r="I5" s="38" t="s">
        <v>87</v>
      </c>
      <c r="J5" s="38" t="s">
        <v>18</v>
      </c>
      <c r="K5" s="38" t="s">
        <v>19</v>
      </c>
      <c r="L5" s="38" t="s">
        <v>19</v>
      </c>
      <c r="M5" s="38" t="s">
        <v>45</v>
      </c>
      <c r="N5" s="40">
        <v>4.0181923169316232</v>
      </c>
      <c r="O5" s="38" t="s">
        <v>73</v>
      </c>
      <c r="P5" s="41">
        <v>99.065382917001017</v>
      </c>
      <c r="Q5" s="42">
        <v>81.248999999999995</v>
      </c>
      <c r="R5" s="40">
        <v>2.9773899999999909</v>
      </c>
      <c r="S5" s="39">
        <v>594392.29750200617</v>
      </c>
      <c r="T5" s="40">
        <v>4.4082191780821924</v>
      </c>
      <c r="U5" s="38" t="s">
        <v>38</v>
      </c>
      <c r="V5" s="38" t="s">
        <v>88</v>
      </c>
      <c r="W5" s="39">
        <v>1500000000</v>
      </c>
      <c r="X5" s="38">
        <v>8</v>
      </c>
    </row>
    <row r="6" spans="1:24" ht="15.5" x14ac:dyDescent="0.35">
      <c r="A6" s="38" t="s">
        <v>94</v>
      </c>
      <c r="B6" s="38"/>
      <c r="C6" s="38" t="s">
        <v>95</v>
      </c>
      <c r="D6" s="39">
        <v>2000000</v>
      </c>
      <c r="E6" s="38" t="s">
        <v>96</v>
      </c>
      <c r="F6" s="38" t="s">
        <v>97</v>
      </c>
      <c r="G6" s="38" t="s">
        <v>26</v>
      </c>
      <c r="H6" s="38" t="s">
        <v>79</v>
      </c>
      <c r="I6" s="38" t="s">
        <v>98</v>
      </c>
      <c r="J6" s="38" t="s">
        <v>87</v>
      </c>
      <c r="K6" s="38" t="s">
        <v>18</v>
      </c>
      <c r="L6" s="38" t="s">
        <v>19</v>
      </c>
      <c r="M6" s="38" t="s">
        <v>45</v>
      </c>
      <c r="N6" s="40">
        <v>6.1055068282577496</v>
      </c>
      <c r="O6" s="38" t="s">
        <v>73</v>
      </c>
      <c r="P6" s="41">
        <v>99.365066059745217</v>
      </c>
      <c r="Q6" s="42">
        <v>108.538</v>
      </c>
      <c r="R6" s="40">
        <v>3.478880000000006</v>
      </c>
      <c r="S6" s="39">
        <v>1987301.3211949039</v>
      </c>
      <c r="T6" s="40">
        <v>6.9808219178082194</v>
      </c>
      <c r="U6" s="38" t="s">
        <v>39</v>
      </c>
      <c r="V6" s="38" t="s">
        <v>81</v>
      </c>
      <c r="W6" s="39">
        <v>500000000</v>
      </c>
      <c r="X6" s="38">
        <v>8</v>
      </c>
    </row>
    <row r="7" spans="1:24" ht="15.5" x14ac:dyDescent="0.35">
      <c r="A7" s="38" t="s">
        <v>99</v>
      </c>
      <c r="B7" s="38"/>
      <c r="C7" s="38" t="s">
        <v>100</v>
      </c>
      <c r="D7" s="39">
        <v>1138000</v>
      </c>
      <c r="E7" s="38" t="s">
        <v>101</v>
      </c>
      <c r="F7" s="38" t="s">
        <v>102</v>
      </c>
      <c r="G7" s="38" t="s">
        <v>26</v>
      </c>
      <c r="H7" s="38" t="s">
        <v>103</v>
      </c>
      <c r="I7" s="38" t="s">
        <v>104</v>
      </c>
      <c r="J7" s="38" t="s">
        <v>16</v>
      </c>
      <c r="K7" s="38" t="s">
        <v>16</v>
      </c>
      <c r="L7" s="38" t="s">
        <v>16</v>
      </c>
      <c r="M7" s="38" t="s">
        <v>45</v>
      </c>
      <c r="N7" s="40">
        <v>2.544237741930107</v>
      </c>
      <c r="O7" s="38" t="s">
        <v>73</v>
      </c>
      <c r="P7" s="41">
        <v>99.874668020040815</v>
      </c>
      <c r="Q7" s="42">
        <v>93.397000000000006</v>
      </c>
      <c r="R7" s="40">
        <v>2.920670000000003</v>
      </c>
      <c r="S7" s="39">
        <v>1136573.7220680639</v>
      </c>
      <c r="T7" s="40">
        <v>2.70958904109589</v>
      </c>
      <c r="U7" s="38" t="s">
        <v>37</v>
      </c>
      <c r="V7" s="38" t="s">
        <v>42</v>
      </c>
      <c r="W7" s="39">
        <v>700000000</v>
      </c>
      <c r="X7" s="38">
        <v>5</v>
      </c>
    </row>
    <row r="8" spans="1:24" ht="15.5" x14ac:dyDescent="0.35">
      <c r="A8" s="38" t="s">
        <v>105</v>
      </c>
      <c r="B8" s="38"/>
      <c r="C8" s="38" t="s">
        <v>106</v>
      </c>
      <c r="D8" s="39">
        <v>1800000</v>
      </c>
      <c r="E8" s="38" t="s">
        <v>107</v>
      </c>
      <c r="F8" s="38" t="s">
        <v>108</v>
      </c>
      <c r="G8" s="38" t="s">
        <v>28</v>
      </c>
      <c r="H8" s="38" t="s">
        <v>109</v>
      </c>
      <c r="I8" s="38" t="s">
        <v>104</v>
      </c>
      <c r="J8" s="38" t="s">
        <v>18</v>
      </c>
      <c r="K8" s="38" t="s">
        <v>18</v>
      </c>
      <c r="L8" s="38" t="s">
        <v>18</v>
      </c>
      <c r="M8" s="38" t="s">
        <v>45</v>
      </c>
      <c r="N8" s="40">
        <v>1.1293945517788391</v>
      </c>
      <c r="O8" s="38" t="s">
        <v>73</v>
      </c>
      <c r="P8" s="41">
        <v>102.0797692824998</v>
      </c>
      <c r="Q8" s="42">
        <v>50.13</v>
      </c>
      <c r="R8" s="40">
        <v>2.4588999998623149</v>
      </c>
      <c r="S8" s="39">
        <v>1837435.8470849961</v>
      </c>
      <c r="T8" s="40">
        <v>1.2027397260273971</v>
      </c>
      <c r="U8" s="38" t="s">
        <v>37</v>
      </c>
      <c r="V8" s="38" t="s">
        <v>88</v>
      </c>
      <c r="W8" s="39">
        <v>750000000</v>
      </c>
      <c r="X8" s="38">
        <v>7</v>
      </c>
    </row>
    <row r="9" spans="1:24" ht="15.5" x14ac:dyDescent="0.35">
      <c r="A9" s="38" t="s">
        <v>110</v>
      </c>
      <c r="B9" s="38"/>
      <c r="C9" s="38" t="s">
        <v>111</v>
      </c>
      <c r="D9" s="39">
        <v>2000000</v>
      </c>
      <c r="E9" s="38" t="s">
        <v>112</v>
      </c>
      <c r="F9" s="38" t="s">
        <v>113</v>
      </c>
      <c r="G9" s="38" t="s">
        <v>26</v>
      </c>
      <c r="H9" s="38" t="s">
        <v>79</v>
      </c>
      <c r="I9" s="38" t="s">
        <v>104</v>
      </c>
      <c r="J9" s="38" t="s">
        <v>18</v>
      </c>
      <c r="K9" s="38" t="s">
        <v>15</v>
      </c>
      <c r="L9" s="38" t="s">
        <v>16</v>
      </c>
      <c r="M9" s="38" t="s">
        <v>45</v>
      </c>
      <c r="N9" s="40">
        <v>4.5548264195582613</v>
      </c>
      <c r="O9" s="38" t="s">
        <v>73</v>
      </c>
      <c r="P9" s="41">
        <v>99.496610402676524</v>
      </c>
      <c r="Q9" s="42">
        <v>83.995000000000005</v>
      </c>
      <c r="R9" s="40">
        <v>3.094449999999993</v>
      </c>
      <c r="S9" s="39">
        <v>1989932.20805353</v>
      </c>
      <c r="T9" s="40">
        <v>5.9863013698630141</v>
      </c>
      <c r="U9" s="38" t="s">
        <v>39</v>
      </c>
      <c r="V9" s="38" t="s">
        <v>42</v>
      </c>
      <c r="W9" s="39">
        <v>1750000000</v>
      </c>
      <c r="X9" s="38">
        <v>5</v>
      </c>
    </row>
    <row r="10" spans="1:24" ht="15.5" x14ac:dyDescent="0.35">
      <c r="A10" s="38" t="s">
        <v>114</v>
      </c>
      <c r="B10" s="38"/>
      <c r="C10" s="38" t="s">
        <v>115</v>
      </c>
      <c r="D10" s="39">
        <v>1582000</v>
      </c>
      <c r="E10" s="38" t="s">
        <v>116</v>
      </c>
      <c r="F10" s="38" t="s">
        <v>117</v>
      </c>
      <c r="G10" s="38" t="s">
        <v>30</v>
      </c>
      <c r="H10" s="38" t="s">
        <v>118</v>
      </c>
      <c r="I10" s="38" t="s">
        <v>119</v>
      </c>
      <c r="J10" s="38" t="s">
        <v>17</v>
      </c>
      <c r="K10" s="38" t="s">
        <v>87</v>
      </c>
      <c r="L10" s="38" t="s">
        <v>17</v>
      </c>
      <c r="M10" s="38" t="s">
        <v>45</v>
      </c>
      <c r="N10" s="40">
        <v>2.395716640971612</v>
      </c>
      <c r="O10" s="38" t="s">
        <v>73</v>
      </c>
      <c r="P10" s="41">
        <v>100.2984139614219</v>
      </c>
      <c r="Q10" s="42">
        <v>51.186</v>
      </c>
      <c r="R10" s="40">
        <v>2.4985599999999941</v>
      </c>
      <c r="S10" s="39">
        <v>1586720.9088696949</v>
      </c>
      <c r="T10" s="40">
        <v>2.5397260273972599</v>
      </c>
      <c r="U10" s="38" t="s">
        <v>37</v>
      </c>
      <c r="V10" s="38" t="s">
        <v>120</v>
      </c>
      <c r="W10" s="39">
        <v>1000000000</v>
      </c>
      <c r="X10" s="38">
        <v>6</v>
      </c>
    </row>
    <row r="11" spans="1:24" ht="15.5" x14ac:dyDescent="0.35">
      <c r="A11" s="38" t="s">
        <v>121</v>
      </c>
      <c r="B11" s="38"/>
      <c r="C11" s="38" t="s">
        <v>122</v>
      </c>
      <c r="D11" s="39">
        <v>2000000</v>
      </c>
      <c r="E11" s="38" t="s">
        <v>123</v>
      </c>
      <c r="F11" s="38" t="s">
        <v>124</v>
      </c>
      <c r="G11" s="38" t="s">
        <v>26</v>
      </c>
      <c r="H11" s="38" t="s">
        <v>79</v>
      </c>
      <c r="I11" s="38" t="s">
        <v>98</v>
      </c>
      <c r="J11" s="38" t="s">
        <v>18</v>
      </c>
      <c r="K11" s="38" t="s">
        <v>16</v>
      </c>
      <c r="L11" s="38" t="s">
        <v>18</v>
      </c>
      <c r="M11" s="38" t="s">
        <v>45</v>
      </c>
      <c r="N11" s="40">
        <v>1.2473208189431979</v>
      </c>
      <c r="O11" s="38" t="s">
        <v>73</v>
      </c>
      <c r="P11" s="41">
        <v>97.368355253236004</v>
      </c>
      <c r="Q11" s="42">
        <v>66.522999999999996</v>
      </c>
      <c r="R11" s="40">
        <v>2.6081300001776069</v>
      </c>
      <c r="S11" s="39">
        <v>1947367.1050647199</v>
      </c>
      <c r="T11" s="40">
        <v>2.29041095890411</v>
      </c>
      <c r="U11" s="38" t="s">
        <v>37</v>
      </c>
      <c r="V11" s="38" t="s">
        <v>88</v>
      </c>
      <c r="W11" s="39">
        <v>1250000000</v>
      </c>
      <c r="X11" s="38">
        <v>7</v>
      </c>
    </row>
    <row r="12" spans="1:24" ht="15.5" x14ac:dyDescent="0.35">
      <c r="A12" s="38" t="s">
        <v>125</v>
      </c>
      <c r="B12" s="38"/>
      <c r="C12" s="38" t="s">
        <v>126</v>
      </c>
      <c r="D12" s="39">
        <v>1324000</v>
      </c>
      <c r="E12" s="38" t="s">
        <v>127</v>
      </c>
      <c r="F12" s="38" t="s">
        <v>128</v>
      </c>
      <c r="G12" s="38" t="s">
        <v>27</v>
      </c>
      <c r="H12" s="38" t="s">
        <v>129</v>
      </c>
      <c r="I12" s="38" t="s">
        <v>130</v>
      </c>
      <c r="J12" s="38" t="s">
        <v>20</v>
      </c>
      <c r="K12" s="38" t="s">
        <v>20</v>
      </c>
      <c r="L12" s="38" t="s">
        <v>20</v>
      </c>
      <c r="M12" s="38" t="s">
        <v>45</v>
      </c>
      <c r="N12" s="40">
        <v>7.3410381947805838</v>
      </c>
      <c r="O12" s="38" t="s">
        <v>73</v>
      </c>
      <c r="P12" s="41">
        <v>100.5049867208853</v>
      </c>
      <c r="Q12" s="42">
        <v>106.85599999999999</v>
      </c>
      <c r="R12" s="40">
        <v>3.6836600000000002</v>
      </c>
      <c r="S12" s="39">
        <v>1330686.0241845211</v>
      </c>
      <c r="T12" s="40">
        <v>9.1671232876712327</v>
      </c>
      <c r="U12" s="38" t="s">
        <v>40</v>
      </c>
      <c r="V12" s="38" t="s">
        <v>131</v>
      </c>
      <c r="W12" s="39">
        <v>700000000</v>
      </c>
      <c r="X12" s="38">
        <v>9</v>
      </c>
    </row>
    <row r="13" spans="1:24" ht="15.5" x14ac:dyDescent="0.35">
      <c r="A13" s="38" t="s">
        <v>132</v>
      </c>
      <c r="B13" s="38" t="s">
        <v>133</v>
      </c>
      <c r="C13" s="38" t="s">
        <v>134</v>
      </c>
      <c r="D13" s="39">
        <v>500000</v>
      </c>
      <c r="E13" s="38" t="s">
        <v>135</v>
      </c>
      <c r="F13" s="38" t="s">
        <v>136</v>
      </c>
      <c r="G13" s="38" t="s">
        <v>26</v>
      </c>
      <c r="H13" s="38" t="s">
        <v>103</v>
      </c>
      <c r="I13" s="38" t="s">
        <v>137</v>
      </c>
      <c r="J13" s="38" t="s">
        <v>14</v>
      </c>
      <c r="K13" s="38" t="s">
        <v>16</v>
      </c>
      <c r="L13" s="38" t="s">
        <v>14</v>
      </c>
      <c r="M13" s="38" t="s">
        <v>45</v>
      </c>
      <c r="N13" s="40">
        <v>1.312297995604998</v>
      </c>
      <c r="O13" s="38" t="s">
        <v>73</v>
      </c>
      <c r="P13" s="41">
        <v>98.479138013394802</v>
      </c>
      <c r="Q13" s="42">
        <v>33.375999999999998</v>
      </c>
      <c r="R13" s="40">
        <v>2.276659999999997</v>
      </c>
      <c r="S13" s="39">
        <v>492395.69006697403</v>
      </c>
      <c r="T13" s="40">
        <v>1.3589041095890411</v>
      </c>
      <c r="U13" s="38" t="s">
        <v>37</v>
      </c>
      <c r="V13" s="38" t="s">
        <v>42</v>
      </c>
      <c r="W13" s="39">
        <v>1250000000</v>
      </c>
      <c r="X13" s="38">
        <v>3</v>
      </c>
    </row>
    <row r="14" spans="1:24" ht="15.5" x14ac:dyDescent="0.35">
      <c r="A14" s="38" t="s">
        <v>138</v>
      </c>
      <c r="B14" s="38"/>
      <c r="C14" s="38" t="s">
        <v>139</v>
      </c>
      <c r="D14" s="39">
        <v>2000000</v>
      </c>
      <c r="E14" s="38" t="s">
        <v>140</v>
      </c>
      <c r="F14" s="38" t="s">
        <v>141</v>
      </c>
      <c r="G14" s="38" t="s">
        <v>26</v>
      </c>
      <c r="H14" s="38" t="s">
        <v>79</v>
      </c>
      <c r="I14" s="38" t="s">
        <v>71</v>
      </c>
      <c r="J14" s="38" t="s">
        <v>19</v>
      </c>
      <c r="K14" s="38" t="s">
        <v>17</v>
      </c>
      <c r="L14" s="38" t="s">
        <v>18</v>
      </c>
      <c r="M14" s="38" t="s">
        <v>45</v>
      </c>
      <c r="N14" s="40">
        <v>6.8235849019082293</v>
      </c>
      <c r="O14" s="38" t="s">
        <v>73</v>
      </c>
      <c r="P14" s="41">
        <v>99.319609386122579</v>
      </c>
      <c r="Q14" s="42">
        <v>109.316</v>
      </c>
      <c r="R14" s="40">
        <v>3.5924599999999969</v>
      </c>
      <c r="S14" s="39">
        <v>1986392.187722452</v>
      </c>
      <c r="T14" s="40">
        <v>8.9671232876712335</v>
      </c>
      <c r="U14" s="38" t="s">
        <v>40</v>
      </c>
      <c r="V14" s="38" t="s">
        <v>42</v>
      </c>
      <c r="W14" s="39">
        <v>1500000000</v>
      </c>
      <c r="X14" s="38">
        <v>7</v>
      </c>
    </row>
    <row r="15" spans="1:24" ht="15.5" x14ac:dyDescent="0.35">
      <c r="A15" s="38" t="s">
        <v>142</v>
      </c>
      <c r="B15" s="38"/>
      <c r="C15" s="38" t="s">
        <v>143</v>
      </c>
      <c r="D15" s="39">
        <v>1600000</v>
      </c>
      <c r="E15" s="38" t="s">
        <v>144</v>
      </c>
      <c r="F15" s="38" t="s">
        <v>145</v>
      </c>
      <c r="G15" s="38" t="s">
        <v>26</v>
      </c>
      <c r="H15" s="38" t="s">
        <v>79</v>
      </c>
      <c r="I15" s="38" t="s">
        <v>87</v>
      </c>
      <c r="J15" s="38" t="s">
        <v>21</v>
      </c>
      <c r="K15" s="38" t="s">
        <v>20</v>
      </c>
      <c r="L15" s="38" t="s">
        <v>21</v>
      </c>
      <c r="M15" s="38" t="s">
        <v>45</v>
      </c>
      <c r="N15" s="40">
        <v>2.5865734880258282</v>
      </c>
      <c r="O15" s="38" t="s">
        <v>73</v>
      </c>
      <c r="P15" s="41">
        <v>112.5244424758227</v>
      </c>
      <c r="Q15" s="42">
        <v>85.772999999999996</v>
      </c>
      <c r="R15" s="40">
        <v>2.8597300023693522</v>
      </c>
      <c r="S15" s="39">
        <v>1800391.079613162</v>
      </c>
      <c r="T15" s="40">
        <v>3.86027397260274</v>
      </c>
      <c r="U15" s="38" t="s">
        <v>38</v>
      </c>
      <c r="V15" s="38" t="s">
        <v>146</v>
      </c>
      <c r="W15" s="39">
        <v>650000000</v>
      </c>
      <c r="X15" s="38">
        <v>10</v>
      </c>
    </row>
    <row r="16" spans="1:24" ht="15.5" x14ac:dyDescent="0.35">
      <c r="A16" s="38" t="s">
        <v>147</v>
      </c>
      <c r="B16" s="38"/>
      <c r="C16" s="38" t="s">
        <v>148</v>
      </c>
      <c r="D16" s="39">
        <v>1291000</v>
      </c>
      <c r="E16" s="38" t="s">
        <v>149</v>
      </c>
      <c r="F16" s="38" t="s">
        <v>150</v>
      </c>
      <c r="G16" s="38" t="s">
        <v>28</v>
      </c>
      <c r="H16" s="38" t="s">
        <v>70</v>
      </c>
      <c r="I16" s="38" t="s">
        <v>98</v>
      </c>
      <c r="J16" s="38" t="s">
        <v>87</v>
      </c>
      <c r="K16" s="38" t="s">
        <v>19</v>
      </c>
      <c r="L16" s="38" t="s">
        <v>19</v>
      </c>
      <c r="M16" s="38" t="s">
        <v>45</v>
      </c>
      <c r="N16" s="40">
        <v>5.3049809066296252</v>
      </c>
      <c r="O16" s="38" t="s">
        <v>73</v>
      </c>
      <c r="P16" s="41">
        <v>100.23397275553231</v>
      </c>
      <c r="Q16" s="42">
        <v>85.413999999999987</v>
      </c>
      <c r="R16" s="40">
        <v>3.206339999999996</v>
      </c>
      <c r="S16" s="39">
        <v>1294020.588273922</v>
      </c>
      <c r="T16" s="40">
        <v>6.3178082191780822</v>
      </c>
      <c r="U16" s="38" t="s">
        <v>39</v>
      </c>
      <c r="V16" s="38" t="s">
        <v>151</v>
      </c>
      <c r="W16" s="39">
        <v>1000000000</v>
      </c>
      <c r="X16" s="38">
        <v>8</v>
      </c>
    </row>
    <row r="17" spans="1:24" ht="15.5" x14ac:dyDescent="0.35">
      <c r="A17" s="38" t="s">
        <v>152</v>
      </c>
      <c r="B17" s="38"/>
      <c r="C17" s="38" t="s">
        <v>153</v>
      </c>
      <c r="D17" s="39">
        <v>1205000</v>
      </c>
      <c r="E17" s="38" t="s">
        <v>154</v>
      </c>
      <c r="F17" s="38" t="s">
        <v>155</v>
      </c>
      <c r="G17" s="38" t="s">
        <v>33</v>
      </c>
      <c r="H17" s="38" t="s">
        <v>156</v>
      </c>
      <c r="I17" s="38" t="s">
        <v>119</v>
      </c>
      <c r="J17" s="38" t="s">
        <v>17</v>
      </c>
      <c r="K17" s="38" t="s">
        <v>16</v>
      </c>
      <c r="L17" s="38" t="s">
        <v>17</v>
      </c>
      <c r="M17" s="38" t="s">
        <v>45</v>
      </c>
      <c r="N17" s="40">
        <v>2.6515041613625372</v>
      </c>
      <c r="O17" s="38" t="s">
        <v>73</v>
      </c>
      <c r="P17" s="41">
        <v>100.2333088312689</v>
      </c>
      <c r="Q17" s="42">
        <v>42.957999999999998</v>
      </c>
      <c r="R17" s="40">
        <v>2.4315799999999892</v>
      </c>
      <c r="S17" s="39">
        <v>1207811.3714167899</v>
      </c>
      <c r="T17" s="40">
        <v>2.7972602739726029</v>
      </c>
      <c r="U17" s="38" t="s">
        <v>37</v>
      </c>
      <c r="V17" s="38" t="s">
        <v>42</v>
      </c>
      <c r="W17" s="39">
        <v>600000000</v>
      </c>
      <c r="X17" s="38">
        <v>6</v>
      </c>
    </row>
    <row r="18" spans="1:24" ht="15.5" x14ac:dyDescent="0.35">
      <c r="A18" s="38" t="s">
        <v>157</v>
      </c>
      <c r="B18" s="38"/>
      <c r="C18" s="38" t="s">
        <v>158</v>
      </c>
      <c r="D18" s="39">
        <v>2000000</v>
      </c>
      <c r="E18" s="38" t="s">
        <v>159</v>
      </c>
      <c r="F18" s="38" t="s">
        <v>160</v>
      </c>
      <c r="G18" s="38" t="s">
        <v>26</v>
      </c>
      <c r="H18" s="38" t="s">
        <v>79</v>
      </c>
      <c r="I18" s="38" t="s">
        <v>119</v>
      </c>
      <c r="J18" s="38" t="s">
        <v>18</v>
      </c>
      <c r="K18" s="38" t="s">
        <v>15</v>
      </c>
      <c r="L18" s="38" t="s">
        <v>17</v>
      </c>
      <c r="M18" s="38" t="s">
        <v>45</v>
      </c>
      <c r="N18" s="40">
        <v>4.2505854334524527</v>
      </c>
      <c r="O18" s="38" t="s">
        <v>73</v>
      </c>
      <c r="P18" s="41">
        <v>100.5057416092678</v>
      </c>
      <c r="Q18" s="42">
        <v>92.233000000000004</v>
      </c>
      <c r="R18" s="40">
        <v>3.1298300000000001</v>
      </c>
      <c r="S18" s="39">
        <v>2010114.832185355</v>
      </c>
      <c r="T18" s="40">
        <v>5.6958904109589037</v>
      </c>
      <c r="U18" s="38" t="s">
        <v>39</v>
      </c>
      <c r="V18" s="38" t="s">
        <v>161</v>
      </c>
      <c r="W18" s="39">
        <v>1250000000</v>
      </c>
      <c r="X18" s="38">
        <v>6</v>
      </c>
    </row>
    <row r="19" spans="1:24" ht="15.5" x14ac:dyDescent="0.35">
      <c r="A19" s="38" t="s">
        <v>162</v>
      </c>
      <c r="B19" s="38"/>
      <c r="C19" s="38" t="s">
        <v>163</v>
      </c>
      <c r="D19" s="39">
        <v>1263000</v>
      </c>
      <c r="E19" s="38" t="s">
        <v>164</v>
      </c>
      <c r="F19" s="38" t="s">
        <v>165</v>
      </c>
      <c r="G19" s="38" t="s">
        <v>26</v>
      </c>
      <c r="H19" s="38" t="s">
        <v>166</v>
      </c>
      <c r="I19" s="38" t="s">
        <v>167</v>
      </c>
      <c r="J19" s="38" t="s">
        <v>20</v>
      </c>
      <c r="K19" s="38" t="s">
        <v>87</v>
      </c>
      <c r="L19" s="38" t="s">
        <v>21</v>
      </c>
      <c r="M19" s="38" t="s">
        <v>45</v>
      </c>
      <c r="N19" s="40">
        <v>7.2278274606158224</v>
      </c>
      <c r="O19" s="38" t="s">
        <v>73</v>
      </c>
      <c r="P19" s="41">
        <v>100.8207695574727</v>
      </c>
      <c r="Q19" s="42">
        <v>151.863</v>
      </c>
      <c r="R19" s="40">
        <v>4.1387300000000016</v>
      </c>
      <c r="S19" s="39">
        <v>1273366.3195108799</v>
      </c>
      <c r="T19" s="40">
        <v>9.3479452054794514</v>
      </c>
      <c r="U19" s="38" t="s">
        <v>40</v>
      </c>
      <c r="V19" s="38" t="s">
        <v>81</v>
      </c>
      <c r="W19" s="39">
        <v>500000000</v>
      </c>
      <c r="X19" s="38">
        <v>10</v>
      </c>
    </row>
    <row r="20" spans="1:24" ht="15.5" x14ac:dyDescent="0.35">
      <c r="A20" s="38" t="s">
        <v>168</v>
      </c>
      <c r="B20" s="38"/>
      <c r="C20" s="38" t="s">
        <v>169</v>
      </c>
      <c r="D20" s="39">
        <v>2000000</v>
      </c>
      <c r="E20" s="38" t="s">
        <v>170</v>
      </c>
      <c r="F20" s="38" t="s">
        <v>171</v>
      </c>
      <c r="G20" s="38" t="s">
        <v>26</v>
      </c>
      <c r="H20" s="38" t="s">
        <v>79</v>
      </c>
      <c r="I20" s="38" t="s">
        <v>98</v>
      </c>
      <c r="J20" s="38" t="s">
        <v>20</v>
      </c>
      <c r="K20" s="38" t="s">
        <v>18</v>
      </c>
      <c r="L20" s="38" t="s">
        <v>19</v>
      </c>
      <c r="M20" s="38" t="s">
        <v>45</v>
      </c>
      <c r="N20" s="40">
        <v>1.1577335509278039</v>
      </c>
      <c r="O20" s="38" t="s">
        <v>73</v>
      </c>
      <c r="P20" s="41">
        <v>98.978785857287491</v>
      </c>
      <c r="Q20" s="42">
        <v>55.805000000000007</v>
      </c>
      <c r="R20" s="40">
        <v>2.494650000146633</v>
      </c>
      <c r="S20" s="39">
        <v>1979575.7171457501</v>
      </c>
      <c r="T20" s="40">
        <v>1.208219178082192</v>
      </c>
      <c r="U20" s="38" t="s">
        <v>37</v>
      </c>
      <c r="V20" s="38" t="s">
        <v>120</v>
      </c>
      <c r="W20" s="39">
        <v>1475000000</v>
      </c>
      <c r="X20" s="38">
        <v>8</v>
      </c>
    </row>
    <row r="21" spans="1:24" ht="15.5" x14ac:dyDescent="0.35">
      <c r="A21" s="38" t="s">
        <v>172</v>
      </c>
      <c r="B21" s="38"/>
      <c r="C21" s="38" t="s">
        <v>173</v>
      </c>
      <c r="D21" s="39">
        <v>2000000</v>
      </c>
      <c r="E21" s="38" t="s">
        <v>170</v>
      </c>
      <c r="F21" s="38" t="s">
        <v>171</v>
      </c>
      <c r="G21" s="38" t="s">
        <v>26</v>
      </c>
      <c r="H21" s="38" t="s">
        <v>79</v>
      </c>
      <c r="I21" s="38" t="s">
        <v>98</v>
      </c>
      <c r="J21" s="38" t="s">
        <v>20</v>
      </c>
      <c r="K21" s="38" t="s">
        <v>18</v>
      </c>
      <c r="L21" s="38" t="s">
        <v>19</v>
      </c>
      <c r="M21" s="38" t="s">
        <v>45</v>
      </c>
      <c r="N21" s="40">
        <v>1.692864985833771</v>
      </c>
      <c r="O21" s="38" t="s">
        <v>73</v>
      </c>
      <c r="P21" s="41">
        <v>99.844919272138526</v>
      </c>
      <c r="Q21" s="42">
        <v>74.498999999999995</v>
      </c>
      <c r="R21" s="40">
        <v>2.712490000471377</v>
      </c>
      <c r="S21" s="39">
        <v>1996898.3854427701</v>
      </c>
      <c r="T21" s="40">
        <v>2.772602739726028</v>
      </c>
      <c r="U21" s="38" t="s">
        <v>37</v>
      </c>
      <c r="V21" s="38" t="s">
        <v>120</v>
      </c>
      <c r="W21" s="39">
        <v>1250000000</v>
      </c>
      <c r="X21" s="38">
        <v>8</v>
      </c>
    </row>
    <row r="22" spans="1:24" ht="15.5" x14ac:dyDescent="0.35">
      <c r="A22" s="38" t="s">
        <v>174</v>
      </c>
      <c r="B22" s="38"/>
      <c r="C22" s="38" t="s">
        <v>175</v>
      </c>
      <c r="D22" s="39">
        <v>2000000</v>
      </c>
      <c r="E22" s="38" t="s">
        <v>176</v>
      </c>
      <c r="F22" s="38" t="s">
        <v>177</v>
      </c>
      <c r="G22" s="38" t="s">
        <v>28</v>
      </c>
      <c r="H22" s="38" t="s">
        <v>70</v>
      </c>
      <c r="I22" s="38" t="s">
        <v>71</v>
      </c>
      <c r="J22" s="38" t="s">
        <v>18</v>
      </c>
      <c r="K22" s="38" t="s">
        <v>18</v>
      </c>
      <c r="L22" s="38" t="s">
        <v>18</v>
      </c>
      <c r="M22" s="38" t="s">
        <v>45</v>
      </c>
      <c r="N22" s="40">
        <v>6.0789841510586209</v>
      </c>
      <c r="O22" s="38" t="s">
        <v>73</v>
      </c>
      <c r="P22" s="41">
        <v>99.984660301794221</v>
      </c>
      <c r="Q22" s="42">
        <v>85.828000000000003</v>
      </c>
      <c r="R22" s="40">
        <v>3.251779999999993</v>
      </c>
      <c r="S22" s="39">
        <v>1999693.206035885</v>
      </c>
      <c r="T22" s="40">
        <v>6.9150684931506854</v>
      </c>
      <c r="U22" s="38" t="s">
        <v>39</v>
      </c>
      <c r="V22" s="38" t="s">
        <v>131</v>
      </c>
      <c r="W22" s="39">
        <v>500000000</v>
      </c>
      <c r="X22" s="38">
        <v>7</v>
      </c>
    </row>
    <row r="23" spans="1:24" ht="15.5" x14ac:dyDescent="0.35">
      <c r="A23" s="38" t="s">
        <v>178</v>
      </c>
      <c r="B23" s="38"/>
      <c r="C23" s="38" t="s">
        <v>179</v>
      </c>
      <c r="D23" s="39">
        <v>1236000</v>
      </c>
      <c r="E23" s="38" t="s">
        <v>180</v>
      </c>
      <c r="F23" s="38" t="s">
        <v>181</v>
      </c>
      <c r="G23" s="38" t="s">
        <v>33</v>
      </c>
      <c r="H23" s="38" t="s">
        <v>182</v>
      </c>
      <c r="I23" s="38" t="s">
        <v>71</v>
      </c>
      <c r="J23" s="38" t="s">
        <v>18</v>
      </c>
      <c r="K23" s="38" t="s">
        <v>87</v>
      </c>
      <c r="L23" s="38" t="s">
        <v>18</v>
      </c>
      <c r="M23" s="38" t="s">
        <v>45</v>
      </c>
      <c r="N23" s="40">
        <v>2.6815506822459998</v>
      </c>
      <c r="O23" s="38" t="s">
        <v>73</v>
      </c>
      <c r="P23" s="41">
        <v>101.4324236714163</v>
      </c>
      <c r="Q23" s="42">
        <v>55.037999999999997</v>
      </c>
      <c r="R23" s="40">
        <v>2.595480000000006</v>
      </c>
      <c r="S23" s="39">
        <v>1253704.756578706</v>
      </c>
      <c r="T23" s="40">
        <v>3.0054794520547952</v>
      </c>
      <c r="U23" s="38" t="s">
        <v>37</v>
      </c>
      <c r="V23" s="38" t="s">
        <v>151</v>
      </c>
      <c r="W23" s="39">
        <v>1000000000</v>
      </c>
      <c r="X23" s="38">
        <v>7</v>
      </c>
    </row>
    <row r="24" spans="1:24" ht="15.5" x14ac:dyDescent="0.35">
      <c r="A24" s="38" t="s">
        <v>183</v>
      </c>
      <c r="B24" s="38"/>
      <c r="C24" s="38" t="s">
        <v>184</v>
      </c>
      <c r="D24" s="39">
        <v>2000000</v>
      </c>
      <c r="E24" s="38" t="s">
        <v>185</v>
      </c>
      <c r="F24" s="38" t="s">
        <v>186</v>
      </c>
      <c r="G24" s="38" t="s">
        <v>27</v>
      </c>
      <c r="H24" s="38" t="s">
        <v>129</v>
      </c>
      <c r="I24" s="38" t="s">
        <v>71</v>
      </c>
      <c r="J24" s="38" t="s">
        <v>19</v>
      </c>
      <c r="K24" s="38" t="s">
        <v>19</v>
      </c>
      <c r="L24" s="38" t="s">
        <v>19</v>
      </c>
      <c r="M24" s="38" t="s">
        <v>45</v>
      </c>
      <c r="N24" s="40">
        <v>8.0047244186536428</v>
      </c>
      <c r="O24" s="38" t="s">
        <v>73</v>
      </c>
      <c r="P24" s="41">
        <v>99.772829178050344</v>
      </c>
      <c r="Q24" s="42">
        <v>61.225000000000001</v>
      </c>
      <c r="R24" s="40">
        <v>3.276450000000009</v>
      </c>
      <c r="S24" s="39">
        <v>1995456.5835610069</v>
      </c>
      <c r="T24" s="40">
        <v>9.5835616438356173</v>
      </c>
      <c r="U24" s="38" t="s">
        <v>40</v>
      </c>
      <c r="V24" s="38" t="s">
        <v>120</v>
      </c>
      <c r="W24" s="39">
        <v>850000000</v>
      </c>
      <c r="X24" s="38">
        <v>8</v>
      </c>
    </row>
    <row r="25" spans="1:24" ht="15.5" x14ac:dyDescent="0.35">
      <c r="A25" s="38" t="s">
        <v>187</v>
      </c>
      <c r="B25" s="38"/>
      <c r="C25" s="38" t="s">
        <v>188</v>
      </c>
      <c r="D25" s="39">
        <v>2000000</v>
      </c>
      <c r="E25" s="38" t="s">
        <v>189</v>
      </c>
      <c r="F25" s="38" t="s">
        <v>190</v>
      </c>
      <c r="G25" s="38" t="s">
        <v>30</v>
      </c>
      <c r="H25" s="38" t="s">
        <v>118</v>
      </c>
      <c r="I25" s="38" t="s">
        <v>71</v>
      </c>
      <c r="J25" s="38" t="s">
        <v>18</v>
      </c>
      <c r="K25" s="38" t="s">
        <v>87</v>
      </c>
      <c r="L25" s="38" t="s">
        <v>18</v>
      </c>
      <c r="M25" s="38" t="s">
        <v>45</v>
      </c>
      <c r="N25" s="40">
        <v>3.7196671341025511</v>
      </c>
      <c r="O25" s="38" t="s">
        <v>73</v>
      </c>
      <c r="P25" s="41">
        <v>100.4309126018849</v>
      </c>
      <c r="Q25" s="42">
        <v>72.989000000000004</v>
      </c>
      <c r="R25" s="40">
        <v>2.885889999999991</v>
      </c>
      <c r="S25" s="39">
        <v>2008618.252037697</v>
      </c>
      <c r="T25" s="40">
        <v>4.0630136986301366</v>
      </c>
      <c r="U25" s="38" t="s">
        <v>38</v>
      </c>
      <c r="V25" s="38" t="s">
        <v>120</v>
      </c>
      <c r="W25" s="39">
        <v>650000000</v>
      </c>
      <c r="X25" s="38">
        <v>7</v>
      </c>
    </row>
    <row r="26" spans="1:24" ht="15.5" x14ac:dyDescent="0.35">
      <c r="A26" s="38" t="s">
        <v>191</v>
      </c>
      <c r="B26" s="38"/>
      <c r="C26" s="38" t="s">
        <v>192</v>
      </c>
      <c r="D26" s="39">
        <v>2000000</v>
      </c>
      <c r="E26" s="38" t="s">
        <v>193</v>
      </c>
      <c r="F26" s="38" t="s">
        <v>194</v>
      </c>
      <c r="G26" s="38" t="s">
        <v>28</v>
      </c>
      <c r="H26" s="38" t="s">
        <v>195</v>
      </c>
      <c r="I26" s="38" t="s">
        <v>104</v>
      </c>
      <c r="J26" s="38" t="s">
        <v>17</v>
      </c>
      <c r="K26" s="38" t="s">
        <v>87</v>
      </c>
      <c r="L26" s="38" t="s">
        <v>17</v>
      </c>
      <c r="M26" s="38" t="s">
        <v>45</v>
      </c>
      <c r="N26" s="40">
        <v>3.859222804073307</v>
      </c>
      <c r="O26" s="38" t="s">
        <v>73</v>
      </c>
      <c r="P26" s="41">
        <v>99.503426492056349</v>
      </c>
      <c r="Q26" s="42">
        <v>59.652000000000001</v>
      </c>
      <c r="R26" s="40">
        <v>2.7525199999999921</v>
      </c>
      <c r="S26" s="39">
        <v>1990068.5298411271</v>
      </c>
      <c r="T26" s="40">
        <v>4.183561643835616</v>
      </c>
      <c r="U26" s="38" t="s">
        <v>38</v>
      </c>
      <c r="V26" s="38" t="s">
        <v>88</v>
      </c>
      <c r="W26" s="39">
        <v>1000000000</v>
      </c>
      <c r="X26" s="38">
        <v>6</v>
      </c>
    </row>
    <row r="27" spans="1:24" ht="15.5" x14ac:dyDescent="0.35">
      <c r="A27" s="38" t="s">
        <v>196</v>
      </c>
      <c r="B27" s="38"/>
      <c r="C27" s="38" t="s">
        <v>197</v>
      </c>
      <c r="D27" s="39">
        <v>2000000</v>
      </c>
      <c r="E27" s="38" t="s">
        <v>198</v>
      </c>
      <c r="F27" s="38" t="s">
        <v>199</v>
      </c>
      <c r="G27" s="38" t="s">
        <v>34</v>
      </c>
      <c r="H27" s="38" t="s">
        <v>200</v>
      </c>
      <c r="I27" s="38" t="s">
        <v>130</v>
      </c>
      <c r="J27" s="38" t="s">
        <v>19</v>
      </c>
      <c r="K27" s="38" t="s">
        <v>18</v>
      </c>
      <c r="L27" s="38" t="s">
        <v>19</v>
      </c>
      <c r="M27" s="38" t="s">
        <v>45</v>
      </c>
      <c r="N27" s="40">
        <v>4.1643615001431158</v>
      </c>
      <c r="O27" s="38" t="s">
        <v>73</v>
      </c>
      <c r="P27" s="41">
        <v>90.952401661530615</v>
      </c>
      <c r="Q27" s="42">
        <v>47.73</v>
      </c>
      <c r="R27" s="40">
        <v>2.595900000000007</v>
      </c>
      <c r="S27" s="39">
        <v>1819048.0332306121</v>
      </c>
      <c r="T27" s="40">
        <v>4.3178082191780822</v>
      </c>
      <c r="U27" s="38" t="s">
        <v>38</v>
      </c>
      <c r="V27" s="38" t="s">
        <v>120</v>
      </c>
      <c r="W27" s="39">
        <v>750000000</v>
      </c>
      <c r="X27" s="38">
        <v>8</v>
      </c>
    </row>
    <row r="28" spans="1:24" ht="15.5" x14ac:dyDescent="0.35">
      <c r="A28" s="38" t="s">
        <v>201</v>
      </c>
      <c r="B28" s="38"/>
      <c r="C28" s="38" t="s">
        <v>202</v>
      </c>
      <c r="D28" s="39">
        <v>2000000</v>
      </c>
      <c r="E28" s="38" t="s">
        <v>203</v>
      </c>
      <c r="F28" s="38" t="s">
        <v>204</v>
      </c>
      <c r="G28" s="38" t="s">
        <v>34</v>
      </c>
      <c r="H28" s="38" t="s">
        <v>200</v>
      </c>
      <c r="I28" s="38" t="s">
        <v>87</v>
      </c>
      <c r="J28" s="38" t="s">
        <v>20</v>
      </c>
      <c r="K28" s="38" t="s">
        <v>87</v>
      </c>
      <c r="L28" s="38" t="s">
        <v>20</v>
      </c>
      <c r="M28" s="38" t="s">
        <v>45</v>
      </c>
      <c r="N28" s="40">
        <v>3.522524516154093</v>
      </c>
      <c r="O28" s="38" t="s">
        <v>73</v>
      </c>
      <c r="P28" s="41">
        <v>100.2870739541992</v>
      </c>
      <c r="Q28" s="42">
        <v>68.692999999999998</v>
      </c>
      <c r="R28" s="40">
        <v>2.805529999999989</v>
      </c>
      <c r="S28" s="39">
        <v>2005741.4790839839</v>
      </c>
      <c r="T28" s="40">
        <v>3.9479452054794519</v>
      </c>
      <c r="U28" s="38" t="s">
        <v>38</v>
      </c>
      <c r="V28" s="38" t="s">
        <v>120</v>
      </c>
      <c r="W28" s="39">
        <v>500000000</v>
      </c>
      <c r="X28" s="38">
        <v>9</v>
      </c>
    </row>
    <row r="29" spans="1:24" ht="15.5" x14ac:dyDescent="0.35">
      <c r="A29" s="38" t="s">
        <v>205</v>
      </c>
      <c r="B29" s="38"/>
      <c r="C29" s="38" t="s">
        <v>206</v>
      </c>
      <c r="D29" s="39">
        <v>1900000</v>
      </c>
      <c r="E29" s="38" t="s">
        <v>203</v>
      </c>
      <c r="F29" s="38" t="s">
        <v>204</v>
      </c>
      <c r="G29" s="38" t="s">
        <v>34</v>
      </c>
      <c r="H29" s="38" t="s">
        <v>200</v>
      </c>
      <c r="I29" s="38" t="s">
        <v>87</v>
      </c>
      <c r="J29" s="38" t="s">
        <v>20</v>
      </c>
      <c r="K29" s="38" t="s">
        <v>87</v>
      </c>
      <c r="L29" s="38" t="s">
        <v>20</v>
      </c>
      <c r="M29" s="38" t="s">
        <v>45</v>
      </c>
      <c r="N29" s="40">
        <v>10.819507389566221</v>
      </c>
      <c r="O29" s="38" t="s">
        <v>73</v>
      </c>
      <c r="P29" s="41">
        <v>100.7835485368601</v>
      </c>
      <c r="Q29" s="42">
        <v>113.494</v>
      </c>
      <c r="R29" s="40">
        <v>4.0933399999999898</v>
      </c>
      <c r="S29" s="39">
        <v>1914887.4222003431</v>
      </c>
      <c r="T29" s="40">
        <v>14.95616438356164</v>
      </c>
      <c r="U29" s="38" t="s">
        <v>41</v>
      </c>
      <c r="V29" s="38" t="s">
        <v>120</v>
      </c>
      <c r="W29" s="39">
        <v>600000000</v>
      </c>
      <c r="X29" s="38">
        <v>9</v>
      </c>
    </row>
    <row r="30" spans="1:24" ht="15.5" x14ac:dyDescent="0.35">
      <c r="A30" s="38" t="s">
        <v>207</v>
      </c>
      <c r="B30" s="38" t="s">
        <v>208</v>
      </c>
      <c r="C30" s="38" t="s">
        <v>209</v>
      </c>
      <c r="D30" s="39">
        <v>500000</v>
      </c>
      <c r="E30" s="38" t="s">
        <v>210</v>
      </c>
      <c r="F30" s="38" t="s">
        <v>211</v>
      </c>
      <c r="G30" s="38" t="s">
        <v>28</v>
      </c>
      <c r="H30" s="38" t="s">
        <v>109</v>
      </c>
      <c r="I30" s="38" t="s">
        <v>130</v>
      </c>
      <c r="J30" s="38" t="s">
        <v>20</v>
      </c>
      <c r="K30" s="38" t="s">
        <v>87</v>
      </c>
      <c r="L30" s="38" t="s">
        <v>20</v>
      </c>
      <c r="M30" s="38" t="s">
        <v>45</v>
      </c>
      <c r="N30" s="40">
        <v>8.3456172565393487</v>
      </c>
      <c r="O30" s="38" t="s">
        <v>73</v>
      </c>
      <c r="P30" s="41">
        <v>98.387111304537484</v>
      </c>
      <c r="Q30" s="42">
        <v>143.77799999999999</v>
      </c>
      <c r="R30" s="40">
        <v>4.1891799999999924</v>
      </c>
      <c r="S30" s="39">
        <v>491935.55652268737</v>
      </c>
      <c r="T30" s="40">
        <v>10.61643835616438</v>
      </c>
      <c r="U30" s="38" t="s">
        <v>41</v>
      </c>
      <c r="V30" s="38" t="s">
        <v>42</v>
      </c>
      <c r="W30" s="39">
        <v>650000000</v>
      </c>
      <c r="X30" s="38">
        <v>9</v>
      </c>
    </row>
    <row r="31" spans="1:24" ht="15.5" x14ac:dyDescent="0.35">
      <c r="A31" s="38" t="s">
        <v>212</v>
      </c>
      <c r="B31" s="38"/>
      <c r="C31" s="38" t="s">
        <v>213</v>
      </c>
      <c r="D31" s="39">
        <v>500000</v>
      </c>
      <c r="E31" s="38" t="s">
        <v>214</v>
      </c>
      <c r="F31" s="38" t="s">
        <v>215</v>
      </c>
      <c r="G31" s="38" t="s">
        <v>32</v>
      </c>
      <c r="H31" s="38" t="s">
        <v>216</v>
      </c>
      <c r="I31" s="38" t="s">
        <v>71</v>
      </c>
      <c r="J31" s="38" t="s">
        <v>19</v>
      </c>
      <c r="K31" s="38" t="s">
        <v>87</v>
      </c>
      <c r="L31" s="38" t="s">
        <v>19</v>
      </c>
      <c r="M31" s="38" t="s">
        <v>45</v>
      </c>
      <c r="N31" s="40">
        <v>5.9938937776240886</v>
      </c>
      <c r="O31" s="38" t="s">
        <v>73</v>
      </c>
      <c r="P31" s="41">
        <v>100.1467152811135</v>
      </c>
      <c r="Q31" s="42">
        <v>124.92400000000001</v>
      </c>
      <c r="R31" s="40">
        <v>3.6427399999999999</v>
      </c>
      <c r="S31" s="39">
        <v>500733.57640556718</v>
      </c>
      <c r="T31" s="40">
        <v>6.9232876712328766</v>
      </c>
      <c r="U31" s="38" t="s">
        <v>39</v>
      </c>
      <c r="V31" s="38" t="s">
        <v>217</v>
      </c>
      <c r="W31" s="39">
        <v>500000000</v>
      </c>
      <c r="X31" s="38">
        <v>8</v>
      </c>
    </row>
    <row r="32" spans="1:24" ht="15.5" x14ac:dyDescent="0.35">
      <c r="A32" s="38" t="s">
        <v>218</v>
      </c>
      <c r="B32" s="38"/>
      <c r="C32" s="38" t="s">
        <v>219</v>
      </c>
      <c r="D32" s="39">
        <v>500000</v>
      </c>
      <c r="E32" s="38" t="s">
        <v>220</v>
      </c>
      <c r="F32" s="38" t="s">
        <v>221</v>
      </c>
      <c r="G32" s="38" t="s">
        <v>29</v>
      </c>
      <c r="H32" s="38" t="s">
        <v>222</v>
      </c>
      <c r="I32" s="38" t="s">
        <v>130</v>
      </c>
      <c r="J32" s="38" t="s">
        <v>21</v>
      </c>
      <c r="K32" s="38" t="s">
        <v>21</v>
      </c>
      <c r="L32" s="38" t="s">
        <v>21</v>
      </c>
      <c r="M32" s="38" t="s">
        <v>45</v>
      </c>
      <c r="N32" s="40">
        <v>5.666705117891139</v>
      </c>
      <c r="O32" s="38" t="s">
        <v>73</v>
      </c>
      <c r="P32" s="41">
        <v>101.5597325175336</v>
      </c>
      <c r="Q32" s="42">
        <v>169.191</v>
      </c>
      <c r="R32" s="40">
        <v>4.0854100000000004</v>
      </c>
      <c r="S32" s="39">
        <v>507798.66258766828</v>
      </c>
      <c r="T32" s="40">
        <v>6.9150684931506854</v>
      </c>
      <c r="U32" s="38" t="s">
        <v>39</v>
      </c>
      <c r="V32" s="38" t="s">
        <v>120</v>
      </c>
      <c r="W32" s="39">
        <v>900000000</v>
      </c>
      <c r="X32" s="38">
        <v>10</v>
      </c>
    </row>
    <row r="33" spans="1:24" ht="15.5" x14ac:dyDescent="0.35">
      <c r="A33" s="38" t="s">
        <v>223</v>
      </c>
      <c r="B33" s="38"/>
      <c r="C33" s="38" t="s">
        <v>224</v>
      </c>
      <c r="D33" s="39">
        <v>1061000</v>
      </c>
      <c r="E33" s="38" t="s">
        <v>225</v>
      </c>
      <c r="F33" s="38" t="s">
        <v>226</v>
      </c>
      <c r="G33" s="38" t="s">
        <v>30</v>
      </c>
      <c r="H33" s="38" t="s">
        <v>227</v>
      </c>
      <c r="I33" s="38" t="s">
        <v>167</v>
      </c>
      <c r="J33" s="38" t="s">
        <v>21</v>
      </c>
      <c r="K33" s="38" t="s">
        <v>19</v>
      </c>
      <c r="L33" s="38" t="s">
        <v>21</v>
      </c>
      <c r="M33" s="38" t="s">
        <v>45</v>
      </c>
      <c r="N33" s="40">
        <v>3.645671131567215</v>
      </c>
      <c r="O33" s="38" t="s">
        <v>73</v>
      </c>
      <c r="P33" s="41">
        <v>102.5277699425486</v>
      </c>
      <c r="Q33" s="42">
        <v>116.364</v>
      </c>
      <c r="R33" s="40">
        <v>3.3285400000000021</v>
      </c>
      <c r="S33" s="39">
        <v>1087819.6390904409</v>
      </c>
      <c r="T33" s="40">
        <v>4.3506849315068497</v>
      </c>
      <c r="U33" s="38" t="s">
        <v>38</v>
      </c>
      <c r="V33" s="38" t="s">
        <v>42</v>
      </c>
      <c r="W33" s="39">
        <v>610000000</v>
      </c>
      <c r="X33" s="38">
        <v>10</v>
      </c>
    </row>
    <row r="34" spans="1:24" ht="15.5" x14ac:dyDescent="0.35">
      <c r="A34" s="38" t="s">
        <v>228</v>
      </c>
      <c r="B34" s="38" t="s">
        <v>229</v>
      </c>
      <c r="C34" s="38" t="s">
        <v>230</v>
      </c>
      <c r="D34" s="39">
        <v>2000000</v>
      </c>
      <c r="E34" s="38" t="s">
        <v>231</v>
      </c>
      <c r="F34" s="38" t="s">
        <v>232</v>
      </c>
      <c r="G34" s="38" t="s">
        <v>31</v>
      </c>
      <c r="H34" s="38" t="s">
        <v>233</v>
      </c>
      <c r="I34" s="38" t="s">
        <v>71</v>
      </c>
      <c r="J34" s="38" t="s">
        <v>18</v>
      </c>
      <c r="K34" s="38" t="s">
        <v>18</v>
      </c>
      <c r="L34" s="38" t="s">
        <v>18</v>
      </c>
      <c r="M34" s="38" t="s">
        <v>45</v>
      </c>
      <c r="N34" s="40">
        <v>1.108675290151651</v>
      </c>
      <c r="O34" s="38" t="s">
        <v>73</v>
      </c>
      <c r="P34" s="41">
        <v>101.15516548262759</v>
      </c>
      <c r="Q34" s="42">
        <v>40.186999999999998</v>
      </c>
      <c r="R34" s="40">
        <v>2.353770000000011</v>
      </c>
      <c r="S34" s="39">
        <v>2023103.309652552</v>
      </c>
      <c r="T34" s="40">
        <v>1.2547945205479449</v>
      </c>
      <c r="U34" s="38" t="s">
        <v>37</v>
      </c>
      <c r="V34" s="38" t="s">
        <v>42</v>
      </c>
      <c r="W34" s="39">
        <v>1000000000</v>
      </c>
      <c r="X34" s="38">
        <v>7</v>
      </c>
    </row>
    <row r="35" spans="1:24" ht="15.5" x14ac:dyDescent="0.35">
      <c r="A35" s="38" t="s">
        <v>234</v>
      </c>
      <c r="B35" s="38"/>
      <c r="C35" s="38" t="s">
        <v>235</v>
      </c>
      <c r="D35" s="39">
        <v>1237000</v>
      </c>
      <c r="E35" s="38" t="s">
        <v>236</v>
      </c>
      <c r="F35" s="38" t="s">
        <v>237</v>
      </c>
      <c r="G35" s="38" t="s">
        <v>33</v>
      </c>
      <c r="H35" s="38" t="s">
        <v>182</v>
      </c>
      <c r="I35" s="38" t="s">
        <v>87</v>
      </c>
      <c r="J35" s="38" t="s">
        <v>21</v>
      </c>
      <c r="K35" s="38" t="s">
        <v>87</v>
      </c>
      <c r="L35" s="38" t="s">
        <v>21</v>
      </c>
      <c r="M35" s="38" t="s">
        <v>45</v>
      </c>
      <c r="N35" s="40">
        <v>5.9002795460048434</v>
      </c>
      <c r="O35" s="38" t="s">
        <v>73</v>
      </c>
      <c r="P35" s="41">
        <v>99.683797208436815</v>
      </c>
      <c r="Q35" s="42">
        <v>165.874</v>
      </c>
      <c r="R35" s="40">
        <v>4.0522399999999958</v>
      </c>
      <c r="S35" s="39">
        <v>1233088.571468364</v>
      </c>
      <c r="T35" s="40">
        <v>6.9095890410958907</v>
      </c>
      <c r="U35" s="38" t="s">
        <v>39</v>
      </c>
      <c r="V35" s="38" t="s">
        <v>131</v>
      </c>
      <c r="W35" s="39">
        <v>750000000</v>
      </c>
      <c r="X35" s="38">
        <v>10</v>
      </c>
    </row>
    <row r="36" spans="1:24" ht="15.5" x14ac:dyDescent="0.35">
      <c r="A36" s="38" t="s">
        <v>238</v>
      </c>
      <c r="B36" s="38"/>
      <c r="C36" s="38" t="s">
        <v>239</v>
      </c>
      <c r="D36" s="39">
        <v>2000000</v>
      </c>
      <c r="E36" s="38" t="s">
        <v>240</v>
      </c>
      <c r="F36" s="38" t="s">
        <v>241</v>
      </c>
      <c r="G36" s="38" t="s">
        <v>26</v>
      </c>
      <c r="H36" s="38" t="s">
        <v>79</v>
      </c>
      <c r="I36" s="38" t="s">
        <v>104</v>
      </c>
      <c r="J36" s="38" t="s">
        <v>17</v>
      </c>
      <c r="K36" s="38" t="s">
        <v>15</v>
      </c>
      <c r="L36" s="38" t="s">
        <v>16</v>
      </c>
      <c r="M36" s="38" t="s">
        <v>45</v>
      </c>
      <c r="N36" s="40">
        <v>1.2628089646241889</v>
      </c>
      <c r="O36" s="38" t="s">
        <v>73</v>
      </c>
      <c r="P36" s="41">
        <v>97.305550408062032</v>
      </c>
      <c r="Q36" s="42">
        <v>58.037999999999997</v>
      </c>
      <c r="R36" s="40">
        <v>2.5232800001841782</v>
      </c>
      <c r="S36" s="39">
        <v>1946111.008161241</v>
      </c>
      <c r="T36" s="40">
        <v>2.3041095890410959</v>
      </c>
      <c r="U36" s="38" t="s">
        <v>37</v>
      </c>
      <c r="V36" s="38" t="s">
        <v>42</v>
      </c>
      <c r="W36" s="39">
        <v>1250000000</v>
      </c>
      <c r="X36" s="38">
        <v>5</v>
      </c>
    </row>
    <row r="37" spans="1:24" ht="15.5" x14ac:dyDescent="0.35">
      <c r="A37" s="38" t="s">
        <v>242</v>
      </c>
      <c r="B37" s="38"/>
      <c r="C37" s="38" t="s">
        <v>243</v>
      </c>
      <c r="D37" s="39">
        <v>500000</v>
      </c>
      <c r="E37" s="38" t="s">
        <v>244</v>
      </c>
      <c r="F37" s="38" t="s">
        <v>245</v>
      </c>
      <c r="G37" s="38" t="s">
        <v>33</v>
      </c>
      <c r="H37" s="38" t="s">
        <v>246</v>
      </c>
      <c r="I37" s="38" t="s">
        <v>71</v>
      </c>
      <c r="J37" s="38" t="s">
        <v>87</v>
      </c>
      <c r="K37" s="38" t="s">
        <v>87</v>
      </c>
      <c r="L37" s="38" t="s">
        <v>18</v>
      </c>
      <c r="M37" s="38" t="s">
        <v>45</v>
      </c>
      <c r="N37" s="40">
        <v>3.3982509167318691</v>
      </c>
      <c r="O37" s="38" t="s">
        <v>73</v>
      </c>
      <c r="P37" s="41">
        <v>100.5915812666388</v>
      </c>
      <c r="Q37" s="42">
        <v>70.921000000000006</v>
      </c>
      <c r="R37" s="40">
        <v>2.8278100000000079</v>
      </c>
      <c r="S37" s="39">
        <v>502957.90633319417</v>
      </c>
      <c r="T37" s="40">
        <v>3.904109589041096</v>
      </c>
      <c r="U37" s="38" t="s">
        <v>38</v>
      </c>
      <c r="V37" s="38" t="s">
        <v>120</v>
      </c>
      <c r="W37" s="39">
        <v>600000000</v>
      </c>
      <c r="X37" s="38">
        <v>7</v>
      </c>
    </row>
    <row r="38" spans="1:24" ht="15.5" x14ac:dyDescent="0.35">
      <c r="A38" s="38" t="s">
        <v>247</v>
      </c>
      <c r="B38" s="38"/>
      <c r="C38" s="38" t="s">
        <v>248</v>
      </c>
      <c r="D38" s="39">
        <v>2000000</v>
      </c>
      <c r="E38" s="38" t="s">
        <v>249</v>
      </c>
      <c r="F38" s="38" t="s">
        <v>250</v>
      </c>
      <c r="G38" s="38" t="s">
        <v>26</v>
      </c>
      <c r="H38" s="38" t="s">
        <v>103</v>
      </c>
      <c r="I38" s="38" t="s">
        <v>87</v>
      </c>
      <c r="J38" s="38" t="s">
        <v>19</v>
      </c>
      <c r="K38" s="38" t="s">
        <v>87</v>
      </c>
      <c r="L38" s="38" t="s">
        <v>19</v>
      </c>
      <c r="M38" s="38" t="s">
        <v>46</v>
      </c>
      <c r="N38" s="40">
        <v>7.5979266816265074</v>
      </c>
      <c r="O38" s="38" t="s">
        <v>73</v>
      </c>
      <c r="P38" s="41">
        <v>100.5706367229599</v>
      </c>
      <c r="Q38" s="42">
        <v>164.3</v>
      </c>
      <c r="R38" s="40">
        <v>4.3017002876114283</v>
      </c>
      <c r="S38" s="39">
        <v>2011412.7344591981</v>
      </c>
      <c r="T38" s="40">
        <v>9.9616438356164387</v>
      </c>
      <c r="U38" s="38" t="s">
        <v>40</v>
      </c>
      <c r="V38" s="38" t="s">
        <v>88</v>
      </c>
      <c r="W38" s="39">
        <v>500000000</v>
      </c>
      <c r="X38" s="38">
        <v>8</v>
      </c>
    </row>
    <row r="39" spans="1:24" ht="15.5" x14ac:dyDescent="0.35">
      <c r="A39" s="38" t="s">
        <v>251</v>
      </c>
      <c r="B39" s="38"/>
      <c r="C39" s="38" t="s">
        <v>252</v>
      </c>
      <c r="D39" s="39">
        <v>1155000</v>
      </c>
      <c r="E39" s="38" t="s">
        <v>253</v>
      </c>
      <c r="F39" s="38" t="s">
        <v>254</v>
      </c>
      <c r="G39" s="38" t="s">
        <v>32</v>
      </c>
      <c r="H39" s="38" t="s">
        <v>255</v>
      </c>
      <c r="I39" s="38" t="s">
        <v>98</v>
      </c>
      <c r="J39" s="38" t="s">
        <v>19</v>
      </c>
      <c r="K39" s="38" t="s">
        <v>87</v>
      </c>
      <c r="L39" s="38" t="s">
        <v>19</v>
      </c>
      <c r="M39" s="38" t="s">
        <v>45</v>
      </c>
      <c r="N39" s="40">
        <v>4.9619830298873993</v>
      </c>
      <c r="O39" s="38" t="s">
        <v>73</v>
      </c>
      <c r="P39" s="41">
        <v>99.67159040126954</v>
      </c>
      <c r="Q39" s="42">
        <v>119.383</v>
      </c>
      <c r="R39" s="40">
        <v>3.4434300000000029</v>
      </c>
      <c r="S39" s="39">
        <v>1151206.8691346629</v>
      </c>
      <c r="T39" s="40">
        <v>5.5479452054794516</v>
      </c>
      <c r="U39" s="38" t="s">
        <v>39</v>
      </c>
      <c r="V39" s="38" t="s">
        <v>256</v>
      </c>
      <c r="W39" s="39">
        <v>550000000</v>
      </c>
      <c r="X39" s="38">
        <v>8</v>
      </c>
    </row>
    <row r="40" spans="1:24" ht="15.5" x14ac:dyDescent="0.35">
      <c r="A40" s="38" t="s">
        <v>257</v>
      </c>
      <c r="B40" s="38"/>
      <c r="C40" s="38" t="s">
        <v>258</v>
      </c>
      <c r="D40" s="39">
        <v>2000000</v>
      </c>
      <c r="E40" s="38" t="s">
        <v>259</v>
      </c>
      <c r="F40" s="38" t="s">
        <v>260</v>
      </c>
      <c r="G40" s="38" t="s">
        <v>26</v>
      </c>
      <c r="H40" s="38" t="s">
        <v>79</v>
      </c>
      <c r="I40" s="38" t="s">
        <v>104</v>
      </c>
      <c r="J40" s="38" t="s">
        <v>87</v>
      </c>
      <c r="K40" s="38" t="s">
        <v>87</v>
      </c>
      <c r="L40" s="38" t="s">
        <v>16</v>
      </c>
      <c r="M40" s="38" t="s">
        <v>45</v>
      </c>
      <c r="N40" s="40">
        <v>7.9175902194795391</v>
      </c>
      <c r="O40" s="38" t="s">
        <v>73</v>
      </c>
      <c r="P40" s="41">
        <v>98.237446096157925</v>
      </c>
      <c r="Q40" s="42">
        <v>98.539999999999992</v>
      </c>
      <c r="R40" s="40">
        <v>3.600500000000006</v>
      </c>
      <c r="S40" s="39">
        <v>1964748.921923158</v>
      </c>
      <c r="T40" s="40">
        <v>9.4356164383561651</v>
      </c>
      <c r="U40" s="38" t="s">
        <v>40</v>
      </c>
      <c r="V40" s="38" t="s">
        <v>120</v>
      </c>
      <c r="W40" s="39">
        <v>500000000</v>
      </c>
      <c r="X40" s="38">
        <v>5</v>
      </c>
    </row>
    <row r="41" spans="1:24" ht="15.5" x14ac:dyDescent="0.35">
      <c r="A41" s="38" t="s">
        <v>261</v>
      </c>
      <c r="B41" s="38"/>
      <c r="C41" s="38" t="s">
        <v>262</v>
      </c>
      <c r="D41" s="39">
        <v>2000000</v>
      </c>
      <c r="E41" s="38" t="s">
        <v>263</v>
      </c>
      <c r="F41" s="38" t="s">
        <v>264</v>
      </c>
      <c r="G41" s="38" t="s">
        <v>28</v>
      </c>
      <c r="H41" s="38" t="s">
        <v>265</v>
      </c>
      <c r="I41" s="38" t="s">
        <v>80</v>
      </c>
      <c r="J41" s="38" t="s">
        <v>15</v>
      </c>
      <c r="K41" s="38" t="s">
        <v>87</v>
      </c>
      <c r="L41" s="38" t="s">
        <v>15</v>
      </c>
      <c r="M41" s="38" t="s">
        <v>45</v>
      </c>
      <c r="N41" s="40">
        <v>6.8964555826705878</v>
      </c>
      <c r="O41" s="38" t="s">
        <v>73</v>
      </c>
      <c r="P41" s="41">
        <v>99.746153760294433</v>
      </c>
      <c r="Q41" s="42">
        <v>53.671999999999997</v>
      </c>
      <c r="R41" s="40">
        <v>3.0360200000000059</v>
      </c>
      <c r="S41" s="39">
        <v>1994923.0752058891</v>
      </c>
      <c r="T41" s="40">
        <v>7.8876712328767127</v>
      </c>
      <c r="U41" s="38" t="s">
        <v>40</v>
      </c>
      <c r="V41" s="38" t="s">
        <v>42</v>
      </c>
      <c r="W41" s="39">
        <v>600000000</v>
      </c>
      <c r="X41" s="38">
        <v>4</v>
      </c>
    </row>
    <row r="42" spans="1:24" ht="15.5" x14ac:dyDescent="0.35">
      <c r="A42" s="38" t="s">
        <v>266</v>
      </c>
      <c r="B42" s="38"/>
      <c r="C42" s="38" t="s">
        <v>267</v>
      </c>
      <c r="D42" s="39">
        <v>1951000</v>
      </c>
      <c r="E42" s="38" t="s">
        <v>268</v>
      </c>
      <c r="F42" s="38" t="s">
        <v>269</v>
      </c>
      <c r="G42" s="38" t="s">
        <v>27</v>
      </c>
      <c r="H42" s="38" t="s">
        <v>270</v>
      </c>
      <c r="I42" s="38" t="s">
        <v>71</v>
      </c>
      <c r="J42" s="38" t="s">
        <v>17</v>
      </c>
      <c r="K42" s="38" t="s">
        <v>87</v>
      </c>
      <c r="L42" s="38" t="s">
        <v>18</v>
      </c>
      <c r="M42" s="38" t="s">
        <v>45</v>
      </c>
      <c r="N42" s="40">
        <v>1.453552997146101</v>
      </c>
      <c r="O42" s="38" t="s">
        <v>73</v>
      </c>
      <c r="P42" s="41">
        <v>101.9815554794302</v>
      </c>
      <c r="Q42" s="42">
        <v>34.82</v>
      </c>
      <c r="R42" s="40">
        <v>2.2926592835241788</v>
      </c>
      <c r="S42" s="39">
        <v>1989660.1474036819</v>
      </c>
      <c r="T42" s="40">
        <v>1.5232876712328769</v>
      </c>
      <c r="U42" s="38" t="s">
        <v>37</v>
      </c>
      <c r="V42" s="38" t="s">
        <v>42</v>
      </c>
      <c r="W42" s="39">
        <v>1300000000</v>
      </c>
      <c r="X42" s="38">
        <v>7</v>
      </c>
    </row>
    <row r="43" spans="1:24" ht="15.5" x14ac:dyDescent="0.35">
      <c r="A43" s="38" t="s">
        <v>271</v>
      </c>
      <c r="B43" s="38"/>
      <c r="C43" s="38" t="s">
        <v>272</v>
      </c>
      <c r="D43" s="39">
        <v>1657000</v>
      </c>
      <c r="E43" s="38" t="s">
        <v>273</v>
      </c>
      <c r="F43" s="38" t="s">
        <v>274</v>
      </c>
      <c r="G43" s="38" t="s">
        <v>26</v>
      </c>
      <c r="H43" s="38" t="s">
        <v>275</v>
      </c>
      <c r="I43" s="38" t="s">
        <v>98</v>
      </c>
      <c r="J43" s="38" t="s">
        <v>87</v>
      </c>
      <c r="K43" s="38" t="s">
        <v>18</v>
      </c>
      <c r="L43" s="38" t="s">
        <v>19</v>
      </c>
      <c r="M43" s="38" t="s">
        <v>45</v>
      </c>
      <c r="N43" s="40">
        <v>4.1044625217275126</v>
      </c>
      <c r="O43" s="38" t="s">
        <v>73</v>
      </c>
      <c r="P43" s="41">
        <v>101.39746946003839</v>
      </c>
      <c r="Q43" s="42">
        <v>91.433000000000007</v>
      </c>
      <c r="R43" s="40">
        <v>3.1218299999999921</v>
      </c>
      <c r="S43" s="39">
        <v>1680156.0689528361</v>
      </c>
      <c r="T43" s="40">
        <v>4.5616438356164384</v>
      </c>
      <c r="U43" s="38" t="s">
        <v>38</v>
      </c>
      <c r="V43" s="38" t="s">
        <v>276</v>
      </c>
      <c r="W43" s="39">
        <v>700000000</v>
      </c>
      <c r="X43" s="38">
        <v>8</v>
      </c>
    </row>
    <row r="44" spans="1:24" ht="15.5" x14ac:dyDescent="0.35">
      <c r="A44" s="38" t="s">
        <v>277</v>
      </c>
      <c r="B44" s="38"/>
      <c r="C44" s="38" t="s">
        <v>278</v>
      </c>
      <c r="D44" s="39">
        <v>2000000</v>
      </c>
      <c r="E44" s="38" t="s">
        <v>279</v>
      </c>
      <c r="F44" s="38" t="s">
        <v>280</v>
      </c>
      <c r="G44" s="38" t="s">
        <v>28</v>
      </c>
      <c r="H44" s="38" t="s">
        <v>281</v>
      </c>
      <c r="I44" s="38" t="s">
        <v>80</v>
      </c>
      <c r="J44" s="38" t="s">
        <v>14</v>
      </c>
      <c r="K44" s="38" t="s">
        <v>87</v>
      </c>
      <c r="L44" s="38" t="s">
        <v>15</v>
      </c>
      <c r="M44" s="38" t="s">
        <v>45</v>
      </c>
      <c r="N44" s="40">
        <v>2.421415907063718</v>
      </c>
      <c r="O44" s="38" t="s">
        <v>73</v>
      </c>
      <c r="P44" s="41">
        <v>99.731952668778575</v>
      </c>
      <c r="Q44" s="42">
        <v>49.51</v>
      </c>
      <c r="R44" s="40">
        <v>2.4818000000000011</v>
      </c>
      <c r="S44" s="39">
        <v>1994639.053375572</v>
      </c>
      <c r="T44" s="40">
        <v>2.558904109589041</v>
      </c>
      <c r="U44" s="38" t="s">
        <v>37</v>
      </c>
      <c r="V44" s="38" t="s">
        <v>151</v>
      </c>
      <c r="W44" s="39">
        <v>1450000000</v>
      </c>
      <c r="X44" s="38">
        <v>4</v>
      </c>
    </row>
    <row r="45" spans="1:24" ht="15.5" x14ac:dyDescent="0.35">
      <c r="A45" s="38" t="s">
        <v>282</v>
      </c>
      <c r="B45" s="38"/>
      <c r="C45" s="38" t="s">
        <v>283</v>
      </c>
      <c r="D45" s="39">
        <v>1526000</v>
      </c>
      <c r="E45" s="38" t="s">
        <v>279</v>
      </c>
      <c r="F45" s="38" t="s">
        <v>280</v>
      </c>
      <c r="G45" s="38" t="s">
        <v>28</v>
      </c>
      <c r="H45" s="38" t="s">
        <v>281</v>
      </c>
      <c r="I45" s="38" t="s">
        <v>80</v>
      </c>
      <c r="J45" s="38" t="s">
        <v>14</v>
      </c>
      <c r="K45" s="38" t="s">
        <v>87</v>
      </c>
      <c r="L45" s="38" t="s">
        <v>15</v>
      </c>
      <c r="M45" s="38" t="s">
        <v>45</v>
      </c>
      <c r="N45" s="40">
        <v>4.1912365955681317</v>
      </c>
      <c r="O45" s="38" t="s">
        <v>73</v>
      </c>
      <c r="P45" s="41">
        <v>100.50821282684539</v>
      </c>
      <c r="Q45" s="42">
        <v>55.493000000000002</v>
      </c>
      <c r="R45" s="40">
        <v>2.7547299999999941</v>
      </c>
      <c r="S45" s="39">
        <v>1533755.3277376611</v>
      </c>
      <c r="T45" s="40">
        <v>4.8109589041095893</v>
      </c>
      <c r="U45" s="38" t="s">
        <v>38</v>
      </c>
      <c r="V45" s="38" t="s">
        <v>151</v>
      </c>
      <c r="W45" s="39">
        <v>1000000000</v>
      </c>
      <c r="X45" s="38">
        <v>4</v>
      </c>
    </row>
    <row r="46" spans="1:24" ht="15.5" x14ac:dyDescent="0.35">
      <c r="A46" s="38" t="s">
        <v>284</v>
      </c>
      <c r="B46" s="38"/>
      <c r="C46" s="38" t="s">
        <v>285</v>
      </c>
      <c r="D46" s="39">
        <v>2000000</v>
      </c>
      <c r="E46" s="38" t="s">
        <v>286</v>
      </c>
      <c r="F46" s="38" t="s">
        <v>287</v>
      </c>
      <c r="G46" s="38" t="s">
        <v>26</v>
      </c>
      <c r="H46" s="38" t="s">
        <v>79</v>
      </c>
      <c r="I46" s="38" t="s">
        <v>98</v>
      </c>
      <c r="J46" s="38" t="s">
        <v>20</v>
      </c>
      <c r="K46" s="38" t="s">
        <v>18</v>
      </c>
      <c r="L46" s="38" t="s">
        <v>19</v>
      </c>
      <c r="M46" s="38" t="s">
        <v>46</v>
      </c>
      <c r="N46" s="40">
        <v>3.8216748542265888</v>
      </c>
      <c r="O46" s="38" t="s">
        <v>73</v>
      </c>
      <c r="P46" s="41">
        <v>100.7243638056937</v>
      </c>
      <c r="Q46" s="42">
        <v>137.904</v>
      </c>
      <c r="R46" s="40">
        <v>3.53504</v>
      </c>
      <c r="S46" s="39">
        <v>2014487.2761138731</v>
      </c>
      <c r="T46" s="40">
        <v>9.3123287671232884</v>
      </c>
      <c r="U46" s="38" t="s">
        <v>40</v>
      </c>
      <c r="V46" s="38" t="s">
        <v>131</v>
      </c>
      <c r="W46" s="39">
        <v>1000000000</v>
      </c>
      <c r="X46" s="38">
        <v>8</v>
      </c>
    </row>
    <row r="47" spans="1:24" ht="15.5" x14ac:dyDescent="0.35">
      <c r="A47" s="38" t="s">
        <v>288</v>
      </c>
      <c r="B47" s="38"/>
      <c r="C47" s="38" t="s">
        <v>289</v>
      </c>
      <c r="D47" s="39">
        <v>1356000</v>
      </c>
      <c r="E47" s="38" t="s">
        <v>290</v>
      </c>
      <c r="F47" s="38" t="s">
        <v>291</v>
      </c>
      <c r="G47" s="38" t="s">
        <v>26</v>
      </c>
      <c r="H47" s="38" t="s">
        <v>292</v>
      </c>
      <c r="I47" s="38" t="s">
        <v>71</v>
      </c>
      <c r="J47" s="38" t="s">
        <v>19</v>
      </c>
      <c r="K47" s="38" t="s">
        <v>17</v>
      </c>
      <c r="L47" s="38" t="s">
        <v>18</v>
      </c>
      <c r="M47" s="38" t="s">
        <v>45</v>
      </c>
      <c r="N47" s="40">
        <v>1.2903848823230359</v>
      </c>
      <c r="O47" s="38" t="s">
        <v>73</v>
      </c>
      <c r="P47" s="41">
        <v>102.1382468519202</v>
      </c>
      <c r="Q47" s="42">
        <v>38.749000000000002</v>
      </c>
      <c r="R47" s="40">
        <v>2.3741899997997482</v>
      </c>
      <c r="S47" s="39">
        <v>1384994.6273120381</v>
      </c>
      <c r="T47" s="40">
        <v>2.3671232876712329</v>
      </c>
      <c r="U47" s="38" t="s">
        <v>37</v>
      </c>
      <c r="V47" s="38" t="s">
        <v>131</v>
      </c>
      <c r="W47" s="39">
        <v>750000000</v>
      </c>
      <c r="X47" s="38">
        <v>7</v>
      </c>
    </row>
    <row r="48" spans="1:24" ht="15.5" x14ac:dyDescent="0.35">
      <c r="A48" s="38" t="s">
        <v>293</v>
      </c>
      <c r="B48" s="38"/>
      <c r="C48" s="38" t="s">
        <v>294</v>
      </c>
      <c r="D48" s="39">
        <v>2000000</v>
      </c>
      <c r="E48" s="38" t="s">
        <v>295</v>
      </c>
      <c r="F48" s="38" t="s">
        <v>296</v>
      </c>
      <c r="G48" s="38" t="s">
        <v>34</v>
      </c>
      <c r="H48" s="38" t="s">
        <v>200</v>
      </c>
      <c r="I48" s="38" t="s">
        <v>130</v>
      </c>
      <c r="J48" s="38" t="s">
        <v>87</v>
      </c>
      <c r="K48" s="38" t="s">
        <v>19</v>
      </c>
      <c r="L48" s="38" t="s">
        <v>20</v>
      </c>
      <c r="M48" s="38" t="s">
        <v>45</v>
      </c>
      <c r="N48" s="40">
        <v>4.1672667567996271</v>
      </c>
      <c r="O48" s="38" t="s">
        <v>73</v>
      </c>
      <c r="P48" s="41">
        <v>99.988382688847238</v>
      </c>
      <c r="Q48" s="42">
        <v>58.566000000000003</v>
      </c>
      <c r="R48" s="40">
        <v>2.7505600000000019</v>
      </c>
      <c r="S48" s="39">
        <v>1999767.6537769451</v>
      </c>
      <c r="T48" s="40">
        <v>4.5506849315068489</v>
      </c>
      <c r="U48" s="38" t="s">
        <v>38</v>
      </c>
      <c r="V48" s="38" t="s">
        <v>120</v>
      </c>
      <c r="W48" s="39">
        <v>1000000000</v>
      </c>
      <c r="X48" s="38">
        <v>9</v>
      </c>
    </row>
    <row r="49" spans="1:24" ht="15.5" x14ac:dyDescent="0.35">
      <c r="A49" s="38" t="s">
        <v>297</v>
      </c>
      <c r="B49" s="38"/>
      <c r="C49" s="38" t="s">
        <v>298</v>
      </c>
      <c r="D49" s="39">
        <v>2000000</v>
      </c>
      <c r="E49" s="38" t="s">
        <v>299</v>
      </c>
      <c r="F49" s="38" t="s">
        <v>300</v>
      </c>
      <c r="G49" s="38" t="s">
        <v>26</v>
      </c>
      <c r="H49" s="38" t="s">
        <v>301</v>
      </c>
      <c r="I49" s="38" t="s">
        <v>130</v>
      </c>
      <c r="J49" s="38" t="s">
        <v>87</v>
      </c>
      <c r="K49" s="38" t="s">
        <v>19</v>
      </c>
      <c r="L49" s="38" t="s">
        <v>20</v>
      </c>
      <c r="M49" s="38" t="s">
        <v>45</v>
      </c>
      <c r="N49" s="40">
        <v>1.43937271995042</v>
      </c>
      <c r="O49" s="38" t="s">
        <v>73</v>
      </c>
      <c r="P49" s="41">
        <v>101.6244753552137</v>
      </c>
      <c r="Q49" s="42">
        <v>68.23</v>
      </c>
      <c r="R49" s="40">
        <v>2.6342000000000092</v>
      </c>
      <c r="S49" s="39">
        <v>2032489.507104273</v>
      </c>
      <c r="T49" s="40">
        <v>1.7616438356164379</v>
      </c>
      <c r="U49" s="38" t="s">
        <v>37</v>
      </c>
      <c r="V49" s="38" t="s">
        <v>302</v>
      </c>
      <c r="W49" s="39">
        <v>750000000</v>
      </c>
      <c r="X49" s="38">
        <v>9</v>
      </c>
    </row>
    <row r="50" spans="1:24" ht="15.5" x14ac:dyDescent="0.35">
      <c r="A50" s="38" t="s">
        <v>303</v>
      </c>
      <c r="B50" s="38"/>
      <c r="C50" s="38" t="s">
        <v>304</v>
      </c>
      <c r="D50" s="39">
        <v>2000000</v>
      </c>
      <c r="E50" s="38" t="s">
        <v>305</v>
      </c>
      <c r="F50" s="38" t="s">
        <v>306</v>
      </c>
      <c r="G50" s="38" t="s">
        <v>33</v>
      </c>
      <c r="H50" s="38" t="s">
        <v>307</v>
      </c>
      <c r="I50" s="38" t="s">
        <v>87</v>
      </c>
      <c r="J50" s="38" t="s">
        <v>18</v>
      </c>
      <c r="K50" s="38" t="s">
        <v>87</v>
      </c>
      <c r="L50" s="38" t="s">
        <v>18</v>
      </c>
      <c r="M50" s="38" t="s">
        <v>45</v>
      </c>
      <c r="N50" s="40">
        <v>3.824058334826137</v>
      </c>
      <c r="O50" s="38" t="s">
        <v>73</v>
      </c>
      <c r="P50" s="41">
        <v>103.5675853438287</v>
      </c>
      <c r="Q50" s="42">
        <v>67.912000000000006</v>
      </c>
      <c r="R50" s="40">
        <v>2.844019999999992</v>
      </c>
      <c r="S50" s="39">
        <v>2071351.706876575</v>
      </c>
      <c r="T50" s="40">
        <v>4.493150684931507</v>
      </c>
      <c r="U50" s="38" t="s">
        <v>38</v>
      </c>
      <c r="V50" s="38" t="s">
        <v>308</v>
      </c>
      <c r="W50" s="39">
        <v>750000000</v>
      </c>
      <c r="X50" s="38">
        <v>7</v>
      </c>
    </row>
    <row r="51" spans="1:24" ht="15.5" x14ac:dyDescent="0.35">
      <c r="A51" s="38" t="s">
        <v>309</v>
      </c>
      <c r="B51" s="38"/>
      <c r="C51" s="38" t="s">
        <v>310</v>
      </c>
      <c r="D51" s="39">
        <v>2000000</v>
      </c>
      <c r="E51" s="38" t="s">
        <v>311</v>
      </c>
      <c r="F51" s="38" t="s">
        <v>312</v>
      </c>
      <c r="G51" s="38" t="s">
        <v>26</v>
      </c>
      <c r="H51" s="38" t="s">
        <v>79</v>
      </c>
      <c r="I51" s="38" t="s">
        <v>130</v>
      </c>
      <c r="J51" s="38" t="s">
        <v>20</v>
      </c>
      <c r="K51" s="38" t="s">
        <v>18</v>
      </c>
      <c r="L51" s="38" t="s">
        <v>20</v>
      </c>
      <c r="M51" s="38" t="s">
        <v>45</v>
      </c>
      <c r="N51" s="40">
        <v>1.1794811515518779</v>
      </c>
      <c r="O51" s="38" t="s">
        <v>73</v>
      </c>
      <c r="P51" s="41">
        <v>97.937113323522865</v>
      </c>
      <c r="Q51" s="42">
        <v>54.847999999999999</v>
      </c>
      <c r="R51" s="40">
        <v>2.4913800001520161</v>
      </c>
      <c r="S51" s="39">
        <v>1958742.266470457</v>
      </c>
      <c r="T51" s="40">
        <v>1.2219178082191779</v>
      </c>
      <c r="U51" s="38" t="s">
        <v>37</v>
      </c>
      <c r="V51" s="38" t="s">
        <v>88</v>
      </c>
      <c r="W51" s="39">
        <v>1500000000</v>
      </c>
      <c r="X51" s="38">
        <v>9</v>
      </c>
    </row>
    <row r="52" spans="1:24" ht="15.5" x14ac:dyDescent="0.35">
      <c r="A52" s="38" t="s">
        <v>313</v>
      </c>
      <c r="B52" s="38"/>
      <c r="C52" s="38" t="s">
        <v>314</v>
      </c>
      <c r="D52" s="39">
        <v>2000000</v>
      </c>
      <c r="E52" s="38" t="s">
        <v>315</v>
      </c>
      <c r="F52" s="38" t="s">
        <v>316</v>
      </c>
      <c r="G52" s="38" t="s">
        <v>34</v>
      </c>
      <c r="H52" s="38" t="s">
        <v>317</v>
      </c>
      <c r="I52" s="38" t="s">
        <v>130</v>
      </c>
      <c r="J52" s="38" t="s">
        <v>18</v>
      </c>
      <c r="K52" s="38" t="s">
        <v>19</v>
      </c>
      <c r="L52" s="38" t="s">
        <v>19</v>
      </c>
      <c r="M52" s="38" t="s">
        <v>45</v>
      </c>
      <c r="N52" s="40">
        <v>5.6346668199148384</v>
      </c>
      <c r="O52" s="38" t="s">
        <v>73</v>
      </c>
      <c r="P52" s="41">
        <v>100.27825747678391</v>
      </c>
      <c r="Q52" s="42">
        <v>84.834000000000003</v>
      </c>
      <c r="R52" s="40">
        <v>3.2005400000000068</v>
      </c>
      <c r="S52" s="39">
        <v>2005565.149535679</v>
      </c>
      <c r="T52" s="40">
        <v>6.6575342465753424</v>
      </c>
      <c r="U52" s="38" t="s">
        <v>39</v>
      </c>
      <c r="V52" s="38" t="s">
        <v>318</v>
      </c>
      <c r="W52" s="39">
        <v>1000000000</v>
      </c>
      <c r="X52" s="38">
        <v>8</v>
      </c>
    </row>
    <row r="53" spans="1:24" ht="15.5" x14ac:dyDescent="0.35">
      <c r="A53" s="38" t="s">
        <v>319</v>
      </c>
      <c r="B53" s="38"/>
      <c r="C53" s="38" t="s">
        <v>320</v>
      </c>
      <c r="D53" s="39">
        <v>2000000</v>
      </c>
      <c r="E53" s="38" t="s">
        <v>321</v>
      </c>
      <c r="F53" s="38" t="s">
        <v>322</v>
      </c>
      <c r="G53" s="38" t="s">
        <v>34</v>
      </c>
      <c r="H53" s="38" t="s">
        <v>200</v>
      </c>
      <c r="I53" s="38" t="s">
        <v>87</v>
      </c>
      <c r="J53" s="38" t="s">
        <v>16</v>
      </c>
      <c r="K53" s="38" t="s">
        <v>87</v>
      </c>
      <c r="L53" s="38" t="s">
        <v>16</v>
      </c>
      <c r="M53" s="38" t="s">
        <v>45</v>
      </c>
      <c r="N53" s="40">
        <v>10.16511710313466</v>
      </c>
      <c r="O53" s="38" t="s">
        <v>73</v>
      </c>
      <c r="P53" s="41">
        <v>99.483264650341368</v>
      </c>
      <c r="Q53" s="42">
        <v>77.897000000000006</v>
      </c>
      <c r="R53" s="40">
        <v>3.6755700000000062</v>
      </c>
      <c r="S53" s="39">
        <v>1989665.2930068269</v>
      </c>
      <c r="T53" s="40">
        <v>12.96712328767123</v>
      </c>
      <c r="U53" s="38" t="s">
        <v>41</v>
      </c>
      <c r="V53" s="38" t="s">
        <v>323</v>
      </c>
      <c r="W53" s="39">
        <v>500000000</v>
      </c>
      <c r="X53" s="38">
        <v>5</v>
      </c>
    </row>
    <row r="54" spans="1:24" ht="15.5" x14ac:dyDescent="0.35">
      <c r="A54" s="38" t="s">
        <v>324</v>
      </c>
      <c r="B54" s="38"/>
      <c r="C54" s="38" t="s">
        <v>325</v>
      </c>
      <c r="D54" s="39">
        <v>600000</v>
      </c>
      <c r="E54" s="38" t="s">
        <v>326</v>
      </c>
      <c r="F54" s="38" t="s">
        <v>327</v>
      </c>
      <c r="G54" s="38" t="s">
        <v>33</v>
      </c>
      <c r="H54" s="38" t="s">
        <v>328</v>
      </c>
      <c r="I54" s="38" t="s">
        <v>87</v>
      </c>
      <c r="J54" s="38" t="s">
        <v>17</v>
      </c>
      <c r="K54" s="38" t="s">
        <v>87</v>
      </c>
      <c r="L54" s="38" t="s">
        <v>17</v>
      </c>
      <c r="M54" s="38" t="s">
        <v>45</v>
      </c>
      <c r="N54" s="40">
        <v>3.5735966493569098</v>
      </c>
      <c r="O54" s="38" t="s">
        <v>73</v>
      </c>
      <c r="P54" s="41">
        <v>99.911739725804722</v>
      </c>
      <c r="Q54" s="42">
        <v>52.959000000000003</v>
      </c>
      <c r="R54" s="40">
        <v>2.6481900000000058</v>
      </c>
      <c r="S54" s="39">
        <v>599470.43835482839</v>
      </c>
      <c r="T54" s="40">
        <v>3.827397260273973</v>
      </c>
      <c r="U54" s="38" t="s">
        <v>38</v>
      </c>
      <c r="V54" s="38" t="s">
        <v>42</v>
      </c>
      <c r="W54" s="39">
        <v>750000000</v>
      </c>
      <c r="X54" s="38">
        <v>6</v>
      </c>
    </row>
    <row r="55" spans="1:24" ht="15.5" x14ac:dyDescent="0.35">
      <c r="A55" s="38" t="s">
        <v>329</v>
      </c>
      <c r="B55" s="38"/>
      <c r="C55" s="38" t="s">
        <v>330</v>
      </c>
      <c r="D55" s="39">
        <v>2000000</v>
      </c>
      <c r="E55" s="38" t="s">
        <v>331</v>
      </c>
      <c r="F55" s="38" t="s">
        <v>332</v>
      </c>
      <c r="G55" s="38" t="s">
        <v>26</v>
      </c>
      <c r="H55" s="38" t="s">
        <v>79</v>
      </c>
      <c r="I55" s="38" t="s">
        <v>104</v>
      </c>
      <c r="J55" s="38" t="s">
        <v>18</v>
      </c>
      <c r="K55" s="38" t="s">
        <v>18</v>
      </c>
      <c r="L55" s="38" t="s">
        <v>18</v>
      </c>
      <c r="M55" s="38" t="s">
        <v>45</v>
      </c>
      <c r="N55" s="40">
        <v>8.1613381782387258</v>
      </c>
      <c r="O55" s="38" t="s">
        <v>73</v>
      </c>
      <c r="P55" s="41">
        <v>100.36881847008409</v>
      </c>
      <c r="Q55" s="42">
        <v>98.247</v>
      </c>
      <c r="R55" s="40">
        <v>3.6403699999999928</v>
      </c>
      <c r="S55" s="39">
        <v>2007376.369401681</v>
      </c>
      <c r="T55" s="40">
        <v>10.92602739726027</v>
      </c>
      <c r="U55" s="38" t="s">
        <v>41</v>
      </c>
      <c r="V55" s="38" t="s">
        <v>276</v>
      </c>
      <c r="W55" s="39">
        <v>800000000</v>
      </c>
      <c r="X55" s="38">
        <v>7</v>
      </c>
    </row>
    <row r="56" spans="1:24" ht="15.5" x14ac:dyDescent="0.35">
      <c r="A56" s="38" t="s">
        <v>333</v>
      </c>
      <c r="B56" s="38"/>
      <c r="C56" s="38" t="s">
        <v>334</v>
      </c>
      <c r="D56" s="39">
        <v>2000000</v>
      </c>
      <c r="E56" s="38" t="s">
        <v>335</v>
      </c>
      <c r="F56" s="38" t="s">
        <v>336</v>
      </c>
      <c r="G56" s="38" t="s">
        <v>26</v>
      </c>
      <c r="H56" s="38" t="s">
        <v>79</v>
      </c>
      <c r="I56" s="38" t="s">
        <v>71</v>
      </c>
      <c r="J56" s="38" t="s">
        <v>17</v>
      </c>
      <c r="K56" s="38" t="s">
        <v>15</v>
      </c>
      <c r="L56" s="38" t="s">
        <v>17</v>
      </c>
      <c r="M56" s="38" t="s">
        <v>45</v>
      </c>
      <c r="N56" s="40">
        <v>6.1035736381925441</v>
      </c>
      <c r="O56" s="38" t="s">
        <v>73</v>
      </c>
      <c r="P56" s="41">
        <v>99.83965095602862</v>
      </c>
      <c r="Q56" s="42">
        <v>88.218999999999994</v>
      </c>
      <c r="R56" s="40">
        <v>3.2756900000000089</v>
      </c>
      <c r="S56" s="39">
        <v>1996793.0191205731</v>
      </c>
      <c r="T56" s="40">
        <v>6.9424657534246572</v>
      </c>
      <c r="U56" s="38" t="s">
        <v>39</v>
      </c>
      <c r="V56" s="38" t="s">
        <v>337</v>
      </c>
      <c r="W56" s="39">
        <v>750000000</v>
      </c>
      <c r="X56" s="38">
        <v>6</v>
      </c>
    </row>
    <row r="57" spans="1:24" ht="15.5" x14ac:dyDescent="0.35">
      <c r="A57" s="38" t="s">
        <v>338</v>
      </c>
      <c r="B57" s="38"/>
      <c r="C57" s="38" t="s">
        <v>339</v>
      </c>
      <c r="D57" s="39">
        <v>1934000</v>
      </c>
      <c r="E57" s="38" t="s">
        <v>340</v>
      </c>
      <c r="F57" s="38" t="s">
        <v>341</v>
      </c>
      <c r="G57" s="38" t="s">
        <v>32</v>
      </c>
      <c r="H57" s="38" t="s">
        <v>342</v>
      </c>
      <c r="I57" s="38" t="s">
        <v>98</v>
      </c>
      <c r="J57" s="38" t="s">
        <v>87</v>
      </c>
      <c r="K57" s="38" t="s">
        <v>87</v>
      </c>
      <c r="L57" s="38" t="s">
        <v>19</v>
      </c>
      <c r="M57" s="38" t="s">
        <v>45</v>
      </c>
      <c r="N57" s="40">
        <v>6.0551338973316318</v>
      </c>
      <c r="O57" s="38" t="s">
        <v>73</v>
      </c>
      <c r="P57" s="41">
        <v>99.986002768191923</v>
      </c>
      <c r="Q57" s="42">
        <v>85.789999999999992</v>
      </c>
      <c r="R57" s="40">
        <v>3.2513999999999932</v>
      </c>
      <c r="S57" s="39">
        <v>1933729.2935368321</v>
      </c>
      <c r="T57" s="40">
        <v>6.8904109589041092</v>
      </c>
      <c r="U57" s="38" t="s">
        <v>39</v>
      </c>
      <c r="V57" s="38" t="s">
        <v>120</v>
      </c>
      <c r="W57" s="39">
        <v>800000000</v>
      </c>
      <c r="X57" s="38">
        <v>8</v>
      </c>
    </row>
    <row r="58" spans="1:24" ht="15.5" x14ac:dyDescent="0.35">
      <c r="A58" s="38" t="s">
        <v>343</v>
      </c>
      <c r="B58" s="38"/>
      <c r="C58" s="38" t="s">
        <v>344</v>
      </c>
      <c r="D58" s="39">
        <v>500000</v>
      </c>
      <c r="E58" s="38" t="s">
        <v>345</v>
      </c>
      <c r="F58" s="38" t="s">
        <v>346</v>
      </c>
      <c r="G58" s="38" t="s">
        <v>28</v>
      </c>
      <c r="H58" s="38" t="s">
        <v>281</v>
      </c>
      <c r="I58" s="38" t="s">
        <v>98</v>
      </c>
      <c r="J58" s="38" t="s">
        <v>19</v>
      </c>
      <c r="K58" s="38" t="s">
        <v>87</v>
      </c>
      <c r="L58" s="38" t="s">
        <v>19</v>
      </c>
      <c r="M58" s="38" t="s">
        <v>45</v>
      </c>
      <c r="N58" s="40">
        <v>0.99313654900528359</v>
      </c>
      <c r="O58" s="38" t="s">
        <v>347</v>
      </c>
      <c r="P58" s="41">
        <v>99.912119985989705</v>
      </c>
      <c r="Q58" s="42">
        <v>39.910078825016207</v>
      </c>
      <c r="R58" s="40">
        <v>2.3357007882501621</v>
      </c>
      <c r="S58" s="39">
        <v>499560.59992994851</v>
      </c>
      <c r="T58" s="40">
        <v>1.043835616438356</v>
      </c>
      <c r="U58" s="38" t="s">
        <v>36</v>
      </c>
      <c r="V58" s="38" t="s">
        <v>276</v>
      </c>
      <c r="W58" s="39">
        <v>1500000000</v>
      </c>
      <c r="X58" s="38">
        <v>8</v>
      </c>
    </row>
    <row r="59" spans="1:24" ht="15.5" x14ac:dyDescent="0.35">
      <c r="A59" s="38" t="s">
        <v>348</v>
      </c>
      <c r="B59" s="38"/>
      <c r="C59" s="38" t="s">
        <v>349</v>
      </c>
      <c r="D59" s="39">
        <v>2000000</v>
      </c>
      <c r="E59" s="38" t="s">
        <v>350</v>
      </c>
      <c r="F59" s="38" t="s">
        <v>351</v>
      </c>
      <c r="G59" s="38" t="s">
        <v>26</v>
      </c>
      <c r="H59" s="38" t="s">
        <v>79</v>
      </c>
      <c r="I59" s="38" t="s">
        <v>119</v>
      </c>
      <c r="J59" s="38" t="s">
        <v>18</v>
      </c>
      <c r="K59" s="38" t="s">
        <v>15</v>
      </c>
      <c r="L59" s="38" t="s">
        <v>17</v>
      </c>
      <c r="M59" s="38" t="s">
        <v>45</v>
      </c>
      <c r="N59" s="40">
        <v>6.0249608612315066</v>
      </c>
      <c r="O59" s="38" t="s">
        <v>73</v>
      </c>
      <c r="P59" s="41">
        <v>99.963008514357412</v>
      </c>
      <c r="Q59" s="42">
        <v>96.86099999999999</v>
      </c>
      <c r="R59" s="40">
        <v>3.3621099999999959</v>
      </c>
      <c r="S59" s="39">
        <v>1999260.1702871481</v>
      </c>
      <c r="T59" s="40">
        <v>6.8849315068493153</v>
      </c>
      <c r="U59" s="38" t="s">
        <v>39</v>
      </c>
      <c r="V59" s="38" t="s">
        <v>161</v>
      </c>
      <c r="W59" s="39">
        <v>1000000000</v>
      </c>
      <c r="X59" s="38">
        <v>6</v>
      </c>
    </row>
    <row r="60" spans="1:24" ht="15.5" x14ac:dyDescent="0.35">
      <c r="A60" s="38" t="s">
        <v>352</v>
      </c>
      <c r="B60" s="38" t="s">
        <v>353</v>
      </c>
      <c r="C60" s="38" t="s">
        <v>354</v>
      </c>
      <c r="D60" s="39">
        <v>655000</v>
      </c>
      <c r="E60" s="38" t="s">
        <v>355</v>
      </c>
      <c r="F60" s="38" t="s">
        <v>356</v>
      </c>
      <c r="G60" s="38" t="s">
        <v>27</v>
      </c>
      <c r="H60" s="38" t="s">
        <v>129</v>
      </c>
      <c r="I60" s="38" t="s">
        <v>98</v>
      </c>
      <c r="J60" s="38" t="s">
        <v>20</v>
      </c>
      <c r="K60" s="38" t="s">
        <v>19</v>
      </c>
      <c r="L60" s="38" t="s">
        <v>19</v>
      </c>
      <c r="M60" s="38" t="s">
        <v>45</v>
      </c>
      <c r="N60" s="40">
        <v>5.4274126361027273</v>
      </c>
      <c r="O60" s="38" t="s">
        <v>73</v>
      </c>
      <c r="P60" s="41">
        <v>102.4291973041974</v>
      </c>
      <c r="Q60" s="42">
        <v>91.099000000000004</v>
      </c>
      <c r="R60" s="40">
        <v>3.263189999999994</v>
      </c>
      <c r="S60" s="39">
        <v>670911.2423424928</v>
      </c>
      <c r="T60" s="40">
        <v>6.5095890410958903</v>
      </c>
      <c r="U60" s="38" t="s">
        <v>39</v>
      </c>
      <c r="V60" s="38" t="s">
        <v>42</v>
      </c>
      <c r="W60" s="39">
        <v>750000000</v>
      </c>
      <c r="X60" s="38">
        <v>8</v>
      </c>
    </row>
    <row r="61" spans="1:24" ht="15.5" x14ac:dyDescent="0.35">
      <c r="A61" s="38" t="s">
        <v>357</v>
      </c>
      <c r="B61" s="38"/>
      <c r="C61" s="38" t="s">
        <v>358</v>
      </c>
      <c r="D61" s="39">
        <v>2000000</v>
      </c>
      <c r="E61" s="38" t="s">
        <v>359</v>
      </c>
      <c r="F61" s="38" t="s">
        <v>360</v>
      </c>
      <c r="G61" s="38" t="s">
        <v>30</v>
      </c>
      <c r="H61" s="38" t="s">
        <v>118</v>
      </c>
      <c r="I61" s="38" t="s">
        <v>130</v>
      </c>
      <c r="J61" s="38" t="s">
        <v>20</v>
      </c>
      <c r="K61" s="38" t="s">
        <v>87</v>
      </c>
      <c r="L61" s="38" t="s">
        <v>20</v>
      </c>
      <c r="M61" s="38" t="s">
        <v>45</v>
      </c>
      <c r="N61" s="40">
        <v>2.6414927005254061</v>
      </c>
      <c r="O61" s="38" t="s">
        <v>73</v>
      </c>
      <c r="P61" s="41">
        <v>100.0408983055972</v>
      </c>
      <c r="Q61" s="42">
        <v>85.516000000000005</v>
      </c>
      <c r="R61" s="40">
        <v>2.857160000000003</v>
      </c>
      <c r="S61" s="39">
        <v>2000817.9661119441</v>
      </c>
      <c r="T61" s="40">
        <v>2.8082191780821919</v>
      </c>
      <c r="U61" s="38" t="s">
        <v>37</v>
      </c>
      <c r="V61" s="38" t="s">
        <v>120</v>
      </c>
      <c r="W61" s="39">
        <v>750000000</v>
      </c>
      <c r="X61" s="38">
        <v>9</v>
      </c>
    </row>
    <row r="62" spans="1:24" ht="15.5" x14ac:dyDescent="0.35">
      <c r="A62" s="38" t="s">
        <v>361</v>
      </c>
      <c r="B62" s="38"/>
      <c r="C62" s="38" t="s">
        <v>362</v>
      </c>
      <c r="D62" s="39">
        <v>920000</v>
      </c>
      <c r="E62" s="38" t="s">
        <v>363</v>
      </c>
      <c r="F62" s="38" t="s">
        <v>364</v>
      </c>
      <c r="G62" s="38" t="s">
        <v>28</v>
      </c>
      <c r="H62" s="38" t="s">
        <v>265</v>
      </c>
      <c r="I62" s="38" t="s">
        <v>167</v>
      </c>
      <c r="J62" s="38" t="s">
        <v>20</v>
      </c>
      <c r="K62" s="38" t="s">
        <v>20</v>
      </c>
      <c r="L62" s="38" t="s">
        <v>20</v>
      </c>
      <c r="M62" s="38" t="s">
        <v>45</v>
      </c>
      <c r="N62" s="40">
        <v>6.8003649997155113</v>
      </c>
      <c r="O62" s="38" t="s">
        <v>73</v>
      </c>
      <c r="P62" s="41">
        <v>99.49472532068711</v>
      </c>
      <c r="Q62" s="42">
        <v>107.441</v>
      </c>
      <c r="R62" s="40">
        <v>3.5737099999999971</v>
      </c>
      <c r="S62" s="39">
        <v>915351.47295032139</v>
      </c>
      <c r="T62" s="40">
        <v>7.9424657534246572</v>
      </c>
      <c r="U62" s="38" t="s">
        <v>40</v>
      </c>
      <c r="V62" s="38" t="s">
        <v>131</v>
      </c>
      <c r="W62" s="39">
        <v>500000000</v>
      </c>
      <c r="X62" s="38">
        <v>9</v>
      </c>
    </row>
    <row r="63" spans="1:24" ht="15.5" x14ac:dyDescent="0.35">
      <c r="A63" s="38" t="s">
        <v>365</v>
      </c>
      <c r="B63" s="38"/>
      <c r="C63" s="38" t="s">
        <v>366</v>
      </c>
      <c r="D63" s="39">
        <v>500000</v>
      </c>
      <c r="E63" s="38" t="s">
        <v>367</v>
      </c>
      <c r="F63" s="38" t="s">
        <v>368</v>
      </c>
      <c r="G63" s="38" t="s">
        <v>29</v>
      </c>
      <c r="H63" s="38" t="s">
        <v>222</v>
      </c>
      <c r="I63" s="38" t="s">
        <v>80</v>
      </c>
      <c r="J63" s="38" t="s">
        <v>16</v>
      </c>
      <c r="K63" s="38" t="s">
        <v>87</v>
      </c>
      <c r="L63" s="38" t="s">
        <v>16</v>
      </c>
      <c r="M63" s="38" t="s">
        <v>45</v>
      </c>
      <c r="N63" s="40">
        <v>4.8590667950682613</v>
      </c>
      <c r="O63" s="38" t="s">
        <v>73</v>
      </c>
      <c r="P63" s="41">
        <v>100.5039978689227</v>
      </c>
      <c r="Q63" s="42">
        <v>72.233000000000004</v>
      </c>
      <c r="R63" s="40">
        <v>2.97193</v>
      </c>
      <c r="S63" s="39">
        <v>502519.98934461328</v>
      </c>
      <c r="T63" s="40">
        <v>5.6547945205479451</v>
      </c>
      <c r="U63" s="38" t="s">
        <v>39</v>
      </c>
      <c r="V63" s="38" t="s">
        <v>88</v>
      </c>
      <c r="W63" s="39">
        <v>1000000000</v>
      </c>
      <c r="X63" s="38">
        <v>5</v>
      </c>
    </row>
    <row r="64" spans="1:24" ht="15.5" x14ac:dyDescent="0.35">
      <c r="A64" s="38" t="s">
        <v>369</v>
      </c>
      <c r="B64" s="38"/>
      <c r="C64" s="38" t="s">
        <v>370</v>
      </c>
      <c r="D64" s="39">
        <v>500000</v>
      </c>
      <c r="E64" s="38" t="s">
        <v>371</v>
      </c>
      <c r="F64" s="38" t="s">
        <v>372</v>
      </c>
      <c r="G64" s="38" t="s">
        <v>28</v>
      </c>
      <c r="H64" s="38" t="s">
        <v>373</v>
      </c>
      <c r="I64" s="38" t="s">
        <v>104</v>
      </c>
      <c r="J64" s="38" t="s">
        <v>16</v>
      </c>
      <c r="K64" s="38" t="s">
        <v>87</v>
      </c>
      <c r="L64" s="38" t="s">
        <v>16</v>
      </c>
      <c r="M64" s="38" t="s">
        <v>45</v>
      </c>
      <c r="N64" s="40">
        <v>3.9509134921543172</v>
      </c>
      <c r="O64" s="38" t="s">
        <v>73</v>
      </c>
      <c r="P64" s="41">
        <v>100.1638086672675</v>
      </c>
      <c r="Q64" s="42">
        <v>50.079999999999991</v>
      </c>
      <c r="R64" s="40">
        <v>2.7082999999999968</v>
      </c>
      <c r="S64" s="39">
        <v>500819.04333633732</v>
      </c>
      <c r="T64" s="40">
        <v>4.5452054794520551</v>
      </c>
      <c r="U64" s="38" t="s">
        <v>38</v>
      </c>
      <c r="V64" s="38" t="s">
        <v>131</v>
      </c>
      <c r="W64" s="39">
        <v>700000000</v>
      </c>
      <c r="X64" s="38">
        <v>5</v>
      </c>
    </row>
    <row r="65" spans="1:24" ht="15.5" x14ac:dyDescent="0.35">
      <c r="A65" s="38" t="s">
        <v>374</v>
      </c>
      <c r="B65" s="38" t="s">
        <v>375</v>
      </c>
      <c r="C65" s="38" t="s">
        <v>376</v>
      </c>
      <c r="D65" s="39">
        <v>631000</v>
      </c>
      <c r="E65" s="38" t="s">
        <v>377</v>
      </c>
      <c r="F65" s="38" t="s">
        <v>378</v>
      </c>
      <c r="G65" s="38" t="s">
        <v>26</v>
      </c>
      <c r="H65" s="38" t="s">
        <v>275</v>
      </c>
      <c r="I65" s="38" t="s">
        <v>80</v>
      </c>
      <c r="J65" s="38" t="s">
        <v>15</v>
      </c>
      <c r="K65" s="38" t="s">
        <v>87</v>
      </c>
      <c r="L65" s="38" t="s">
        <v>15</v>
      </c>
      <c r="M65" s="38" t="s">
        <v>45</v>
      </c>
      <c r="N65" s="40">
        <v>2.3934878001643489</v>
      </c>
      <c r="O65" s="38" t="s">
        <v>73</v>
      </c>
      <c r="P65" s="41">
        <v>99.516007706812857</v>
      </c>
      <c r="Q65" s="42">
        <v>46.103999999999999</v>
      </c>
      <c r="R65" s="40">
        <v>2.4477400000000089</v>
      </c>
      <c r="S65" s="39">
        <v>627946.00862998911</v>
      </c>
      <c r="T65" s="40">
        <v>2.526027397260274</v>
      </c>
      <c r="U65" s="38" t="s">
        <v>37</v>
      </c>
      <c r="V65" s="38" t="s">
        <v>42</v>
      </c>
      <c r="W65" s="39">
        <v>1250000000</v>
      </c>
      <c r="X65" s="38">
        <v>4</v>
      </c>
    </row>
    <row r="66" spans="1:24" ht="15.5" x14ac:dyDescent="0.35">
      <c r="A66" s="38" t="s">
        <v>379</v>
      </c>
      <c r="B66" s="38"/>
      <c r="C66" s="38" t="s">
        <v>380</v>
      </c>
      <c r="D66" s="39">
        <v>1309000</v>
      </c>
      <c r="E66" s="38" t="s">
        <v>381</v>
      </c>
      <c r="F66" s="38" t="s">
        <v>382</v>
      </c>
      <c r="G66" s="38" t="s">
        <v>29</v>
      </c>
      <c r="H66" s="38" t="s">
        <v>222</v>
      </c>
      <c r="I66" s="38" t="s">
        <v>167</v>
      </c>
      <c r="J66" s="38" t="s">
        <v>20</v>
      </c>
      <c r="K66" s="38" t="s">
        <v>87</v>
      </c>
      <c r="L66" s="38" t="s">
        <v>21</v>
      </c>
      <c r="M66" s="38" t="s">
        <v>45</v>
      </c>
      <c r="N66" s="40">
        <v>4.4547052734504584</v>
      </c>
      <c r="O66" s="38" t="s">
        <v>73</v>
      </c>
      <c r="P66" s="41">
        <v>101.6492350996256</v>
      </c>
      <c r="Q66" s="42">
        <v>126.526</v>
      </c>
      <c r="R66" s="40">
        <v>3.514860000000009</v>
      </c>
      <c r="S66" s="39">
        <v>1330588.4874540991</v>
      </c>
      <c r="T66" s="40">
        <v>5.3506849315068497</v>
      </c>
      <c r="U66" s="38" t="s">
        <v>38</v>
      </c>
      <c r="V66" s="38" t="s">
        <v>323</v>
      </c>
      <c r="W66" s="39">
        <v>1000000000</v>
      </c>
      <c r="X66" s="38">
        <v>10</v>
      </c>
    </row>
    <row r="67" spans="1:24" ht="15.5" x14ac:dyDescent="0.35">
      <c r="A67" s="38" t="s">
        <v>383</v>
      </c>
      <c r="B67" s="38"/>
      <c r="C67" s="38" t="s">
        <v>384</v>
      </c>
      <c r="D67" s="39">
        <v>1100000</v>
      </c>
      <c r="E67" s="38" t="s">
        <v>385</v>
      </c>
      <c r="F67" s="38" t="s">
        <v>386</v>
      </c>
      <c r="G67" s="38" t="s">
        <v>26</v>
      </c>
      <c r="H67" s="38" t="s">
        <v>103</v>
      </c>
      <c r="I67" s="38" t="s">
        <v>87</v>
      </c>
      <c r="J67" s="38" t="s">
        <v>87</v>
      </c>
      <c r="K67" s="38" t="s">
        <v>20</v>
      </c>
      <c r="L67" s="38" t="s">
        <v>20</v>
      </c>
      <c r="M67" s="38" t="s">
        <v>46</v>
      </c>
      <c r="N67" s="40">
        <v>7.9285343867802096</v>
      </c>
      <c r="O67" s="38" t="s">
        <v>347</v>
      </c>
      <c r="P67" s="41">
        <v>98.341999999999999</v>
      </c>
      <c r="Q67" s="42">
        <v>192.44827645697259</v>
      </c>
      <c r="R67" s="40">
        <v>4.5831827645697336</v>
      </c>
      <c r="S67" s="39">
        <v>1081762</v>
      </c>
      <c r="T67" s="40">
        <v>10.035616438356159</v>
      </c>
      <c r="U67" s="38" t="s">
        <v>40</v>
      </c>
      <c r="V67" s="38" t="s">
        <v>120</v>
      </c>
      <c r="W67" s="39">
        <v>850000000</v>
      </c>
      <c r="X67" s="38">
        <v>9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5"/>
  <sheetViews>
    <sheetView topLeftCell="N1" zoomScaleNormal="100" workbookViewId="0">
      <selection activeCell="X1" sqref="X1"/>
    </sheetView>
  </sheetViews>
  <sheetFormatPr defaultRowHeight="14.5" x14ac:dyDescent="0.35"/>
  <cols>
    <col min="1" max="1" width="21" customWidth="1"/>
    <col min="2" max="2" width="18" customWidth="1"/>
    <col min="3" max="3" width="30" customWidth="1"/>
    <col min="4" max="4" width="27" customWidth="1"/>
    <col min="5" max="5" width="15" customWidth="1"/>
    <col min="6" max="6" width="88" customWidth="1"/>
    <col min="7" max="7" width="31" customWidth="1"/>
    <col min="8" max="8" width="32" customWidth="1"/>
    <col min="9" max="12" width="15" customWidth="1"/>
    <col min="13" max="13" width="25" customWidth="1"/>
    <col min="14" max="14" width="27" customWidth="1"/>
    <col min="15" max="15" width="19" customWidth="1"/>
    <col min="16" max="20" width="27" customWidth="1"/>
    <col min="21" max="21" width="24" customWidth="1"/>
    <col min="22" max="22" width="16" customWidth="1"/>
    <col min="23" max="23" width="23.81640625" bestFit="1" customWidth="1"/>
    <col min="24" max="24" width="16.90625" bestFit="1" customWidth="1"/>
    <col min="25" max="25" width="22.36328125" bestFit="1" customWidth="1"/>
    <col min="26" max="26" width="14.81640625" hidden="1" customWidth="1"/>
    <col min="27" max="27" width="16.90625" hidden="1" customWidth="1"/>
  </cols>
  <sheetData>
    <row r="1" spans="1:27" ht="15.5" x14ac:dyDescent="0.35">
      <c r="A1" s="33" t="s">
        <v>47</v>
      </c>
      <c r="B1" s="33" t="s">
        <v>48</v>
      </c>
      <c r="C1" s="33" t="s">
        <v>49</v>
      </c>
      <c r="D1" s="34" t="s">
        <v>50</v>
      </c>
      <c r="E1" s="33" t="s">
        <v>51</v>
      </c>
      <c r="F1" s="33" t="s">
        <v>52</v>
      </c>
      <c r="G1" s="33" t="s">
        <v>25</v>
      </c>
      <c r="H1" s="33" t="s">
        <v>53</v>
      </c>
      <c r="I1" s="33" t="s">
        <v>54</v>
      </c>
      <c r="J1" s="33" t="s">
        <v>55</v>
      </c>
      <c r="K1" s="33" t="s">
        <v>56</v>
      </c>
      <c r="L1" s="33" t="s">
        <v>11</v>
      </c>
      <c r="M1" s="33" t="s">
        <v>43</v>
      </c>
      <c r="N1" s="35" t="s">
        <v>9</v>
      </c>
      <c r="O1" s="33" t="s">
        <v>57</v>
      </c>
      <c r="P1" s="36" t="s">
        <v>58</v>
      </c>
      <c r="Q1" s="37" t="s">
        <v>59</v>
      </c>
      <c r="R1" s="35" t="s">
        <v>60</v>
      </c>
      <c r="S1" s="34" t="s">
        <v>61</v>
      </c>
      <c r="T1" s="35" t="s">
        <v>62</v>
      </c>
      <c r="U1" s="33" t="s">
        <v>35</v>
      </c>
      <c r="V1" s="33" t="s">
        <v>63</v>
      </c>
      <c r="W1" s="34" t="s">
        <v>64</v>
      </c>
      <c r="X1" s="33" t="s">
        <v>65</v>
      </c>
      <c r="Y1" s="34" t="s">
        <v>724</v>
      </c>
      <c r="Z1" s="47" t="s">
        <v>718</v>
      </c>
      <c r="AA1" s="48" t="s">
        <v>719</v>
      </c>
    </row>
    <row r="2" spans="1:27" ht="15.5" x14ac:dyDescent="0.35">
      <c r="A2" s="38" t="s">
        <v>387</v>
      </c>
      <c r="B2" s="38" t="s">
        <v>388</v>
      </c>
      <c r="C2" s="38" t="s">
        <v>389</v>
      </c>
      <c r="D2" s="39">
        <v>1518000</v>
      </c>
      <c r="E2" s="38" t="s">
        <v>390</v>
      </c>
      <c r="F2" s="38" t="s">
        <v>391</v>
      </c>
      <c r="G2" s="38" t="s">
        <v>28</v>
      </c>
      <c r="H2" s="38" t="s">
        <v>281</v>
      </c>
      <c r="I2" s="38" t="s">
        <v>71</v>
      </c>
      <c r="J2" s="38" t="s">
        <v>18</v>
      </c>
      <c r="K2" s="38" t="s">
        <v>87</v>
      </c>
      <c r="L2" s="38" t="s">
        <v>18</v>
      </c>
      <c r="M2" s="38" t="s">
        <v>45</v>
      </c>
      <c r="N2" s="40">
        <v>14.214947391468421</v>
      </c>
      <c r="O2" s="38" t="s">
        <v>73</v>
      </c>
      <c r="P2" s="41">
        <v>98.445234756279319</v>
      </c>
      <c r="Q2" s="42">
        <v>77.636399999999995</v>
      </c>
      <c r="R2" s="40">
        <f>AA2+Overview!$C$59*100</f>
        <v>3.5684640026613175</v>
      </c>
      <c r="S2" s="39">
        <f>Z2*(1/Overview!$C$58)</f>
        <v>1301514.2515244032</v>
      </c>
      <c r="T2" s="40">
        <v>28.37534246575342</v>
      </c>
      <c r="U2" s="38" t="s">
        <v>41</v>
      </c>
      <c r="V2" s="38" t="s">
        <v>42</v>
      </c>
      <c r="W2" s="39">
        <v>3000000000</v>
      </c>
      <c r="X2" s="38">
        <v>7</v>
      </c>
      <c r="Y2" s="39">
        <f>D2/Overview!$C$58</f>
        <v>1322069.3259014108</v>
      </c>
      <c r="Z2" s="39">
        <f t="shared" ref="Z2:Z12" si="0">D2*P2/100</f>
        <v>1494398.66360032</v>
      </c>
      <c r="AA2" s="40">
        <v>5.5084640026613174</v>
      </c>
    </row>
    <row r="3" spans="1:27" ht="15.5" x14ac:dyDescent="0.35">
      <c r="A3" s="38" t="s">
        <v>392</v>
      </c>
      <c r="B3" s="38" t="s">
        <v>393</v>
      </c>
      <c r="C3" s="38" t="s">
        <v>394</v>
      </c>
      <c r="D3" s="39">
        <v>1608000</v>
      </c>
      <c r="E3" s="38" t="s">
        <v>68</v>
      </c>
      <c r="F3" s="38" t="s">
        <v>395</v>
      </c>
      <c r="G3" s="38" t="s">
        <v>28</v>
      </c>
      <c r="H3" s="38" t="s">
        <v>70</v>
      </c>
      <c r="I3" s="38" t="s">
        <v>71</v>
      </c>
      <c r="J3" s="38" t="s">
        <v>18</v>
      </c>
      <c r="K3" s="38" t="s">
        <v>72</v>
      </c>
      <c r="L3" s="38" t="s">
        <v>18</v>
      </c>
      <c r="M3" s="38" t="s">
        <v>45</v>
      </c>
      <c r="N3" s="40">
        <v>12.26742976788748</v>
      </c>
      <c r="O3" s="38" t="s">
        <v>73</v>
      </c>
      <c r="P3" s="41">
        <v>93.148330721320733</v>
      </c>
      <c r="Q3" s="42">
        <v>75.493200000000002</v>
      </c>
      <c r="R3" s="40">
        <f>AA3+Overview!$C$59*100</f>
        <v>3.5230319999999788</v>
      </c>
      <c r="S3" s="39">
        <f>Z3*(1/Overview!$C$58)</f>
        <v>1304498.4828416975</v>
      </c>
      <c r="T3" s="40">
        <v>20.25479452054795</v>
      </c>
      <c r="U3" s="38" t="s">
        <v>41</v>
      </c>
      <c r="V3" s="38" t="s">
        <v>74</v>
      </c>
      <c r="W3" s="39">
        <v>8806284000</v>
      </c>
      <c r="X3" s="38">
        <v>7</v>
      </c>
      <c r="Y3" s="39">
        <f>D3/Overview!$C$58</f>
        <v>1400452.8827730359</v>
      </c>
      <c r="Z3" s="39">
        <f t="shared" si="0"/>
        <v>1497825.1579988373</v>
      </c>
      <c r="AA3" s="40">
        <v>5.4630319999999788</v>
      </c>
    </row>
    <row r="4" spans="1:27" ht="15.5" x14ac:dyDescent="0.35">
      <c r="A4" s="38" t="s">
        <v>396</v>
      </c>
      <c r="B4" s="38" t="s">
        <v>397</v>
      </c>
      <c r="C4" s="38" t="s">
        <v>398</v>
      </c>
      <c r="D4" s="39">
        <v>1555000</v>
      </c>
      <c r="E4" s="38" t="s">
        <v>399</v>
      </c>
      <c r="F4" s="38" t="s">
        <v>400</v>
      </c>
      <c r="G4" s="38" t="s">
        <v>26</v>
      </c>
      <c r="H4" s="38" t="s">
        <v>275</v>
      </c>
      <c r="I4" s="38" t="s">
        <v>98</v>
      </c>
      <c r="J4" s="38" t="s">
        <v>19</v>
      </c>
      <c r="K4" s="38" t="s">
        <v>19</v>
      </c>
      <c r="L4" s="38" t="s">
        <v>19</v>
      </c>
      <c r="M4" s="38" t="s">
        <v>45</v>
      </c>
      <c r="N4" s="40">
        <v>2.809051266796359</v>
      </c>
      <c r="O4" s="38" t="s">
        <v>73</v>
      </c>
      <c r="P4" s="41">
        <v>96.399764933364182</v>
      </c>
      <c r="Q4" s="42">
        <v>65.606499999999997</v>
      </c>
      <c r="R4" s="40">
        <f>AA4+Overview!$C$59*100</f>
        <v>2.3596650016603831</v>
      </c>
      <c r="S4" s="39">
        <f>Z4*(1/Overview!$C$58)</f>
        <v>1305535.921193009</v>
      </c>
      <c r="T4" s="40">
        <v>2.9835616438356158</v>
      </c>
      <c r="U4" s="38" t="s">
        <v>37</v>
      </c>
      <c r="V4" s="38" t="s">
        <v>401</v>
      </c>
      <c r="W4" s="39">
        <v>3750000000</v>
      </c>
      <c r="X4" s="38">
        <v>8</v>
      </c>
      <c r="Y4" s="39">
        <f>D4/Overview!$C$58</f>
        <v>1354293.6770597456</v>
      </c>
      <c r="Z4" s="39">
        <f t="shared" si="0"/>
        <v>1499016.3447138132</v>
      </c>
      <c r="AA4" s="40">
        <v>4.299665001660383</v>
      </c>
    </row>
    <row r="5" spans="1:27" ht="15.5" x14ac:dyDescent="0.35">
      <c r="A5" s="38" t="s">
        <v>402</v>
      </c>
      <c r="B5" s="38" t="s">
        <v>403</v>
      </c>
      <c r="C5" s="38" t="s">
        <v>404</v>
      </c>
      <c r="D5" s="39">
        <v>1452000</v>
      </c>
      <c r="E5" s="38" t="s">
        <v>405</v>
      </c>
      <c r="F5" s="38" t="s">
        <v>406</v>
      </c>
      <c r="G5" s="38" t="s">
        <v>28</v>
      </c>
      <c r="H5" s="38" t="s">
        <v>407</v>
      </c>
      <c r="I5" s="38" t="s">
        <v>98</v>
      </c>
      <c r="J5" s="38" t="s">
        <v>19</v>
      </c>
      <c r="K5" s="38" t="s">
        <v>20</v>
      </c>
      <c r="L5" s="38" t="s">
        <v>19</v>
      </c>
      <c r="M5" s="38" t="s">
        <v>45</v>
      </c>
      <c r="N5" s="40">
        <v>5.8279846988035793</v>
      </c>
      <c r="O5" s="38" t="s">
        <v>73</v>
      </c>
      <c r="P5" s="41">
        <v>103.2222074104037</v>
      </c>
      <c r="Q5" s="42">
        <v>55.747399999999999</v>
      </c>
      <c r="R5" s="40">
        <f>AA5+Overview!$C$59*100</f>
        <v>2.7687739999999823</v>
      </c>
      <c r="S5" s="39">
        <f>Z5*(1/Overview!$C$58)</f>
        <v>1305335.7007481812</v>
      </c>
      <c r="T5" s="40">
        <v>7.3260273972602743</v>
      </c>
      <c r="U5" s="38" t="s">
        <v>39</v>
      </c>
      <c r="V5" s="38" t="s">
        <v>42</v>
      </c>
      <c r="W5" s="39">
        <v>4250000000</v>
      </c>
      <c r="X5" s="38">
        <v>8</v>
      </c>
      <c r="Y5" s="39">
        <f>D5/Overview!$C$58</f>
        <v>1264588.050862219</v>
      </c>
      <c r="Z5" s="39">
        <f t="shared" si="0"/>
        <v>1498786.4515990617</v>
      </c>
      <c r="AA5" s="40">
        <v>4.7087739999999823</v>
      </c>
    </row>
    <row r="6" spans="1:27" ht="15.5" x14ac:dyDescent="0.35">
      <c r="A6" s="38" t="s">
        <v>408</v>
      </c>
      <c r="B6" s="38" t="s">
        <v>409</v>
      </c>
      <c r="C6" s="38" t="s">
        <v>410</v>
      </c>
      <c r="D6" s="39">
        <v>757000</v>
      </c>
      <c r="E6" s="38" t="s">
        <v>411</v>
      </c>
      <c r="F6" s="38" t="s">
        <v>412</v>
      </c>
      <c r="G6" s="38" t="s">
        <v>31</v>
      </c>
      <c r="H6" s="38" t="s">
        <v>413</v>
      </c>
      <c r="I6" s="38" t="s">
        <v>71</v>
      </c>
      <c r="J6" s="38" t="s">
        <v>18</v>
      </c>
      <c r="K6" s="38" t="s">
        <v>19</v>
      </c>
      <c r="L6" s="38" t="s">
        <v>18</v>
      </c>
      <c r="M6" s="38" t="s">
        <v>45</v>
      </c>
      <c r="N6" s="40">
        <v>4.3997488203756463</v>
      </c>
      <c r="O6" s="38" t="s">
        <v>73</v>
      </c>
      <c r="P6" s="41">
        <v>99.088411636326512</v>
      </c>
      <c r="Q6" s="42">
        <v>59.359900000000003</v>
      </c>
      <c r="R6" s="40">
        <f>AA6+Overview!$C$59*100</f>
        <v>2.413699000000022</v>
      </c>
      <c r="S6" s="39">
        <f>Z6*(1/Overview!$C$58)</f>
        <v>653282.76962810638</v>
      </c>
      <c r="T6" s="40">
        <v>5.0301369863013701</v>
      </c>
      <c r="U6" s="38" t="s">
        <v>38</v>
      </c>
      <c r="V6" s="38" t="s">
        <v>42</v>
      </c>
      <c r="W6" s="39">
        <v>1854642000</v>
      </c>
      <c r="X6" s="38">
        <v>7</v>
      </c>
      <c r="Y6" s="39">
        <f>D6/Overview!$C$58</f>
        <v>659292.80613133591</v>
      </c>
      <c r="Z6" s="39">
        <f t="shared" si="0"/>
        <v>750099.27608699177</v>
      </c>
      <c r="AA6" s="40">
        <v>4.353699000000022</v>
      </c>
    </row>
    <row r="7" spans="1:27" ht="15.5" x14ac:dyDescent="0.35">
      <c r="A7" s="38" t="s">
        <v>414</v>
      </c>
      <c r="B7" s="38" t="s">
        <v>415</v>
      </c>
      <c r="C7" s="38" t="s">
        <v>416</v>
      </c>
      <c r="D7" s="39">
        <v>756000</v>
      </c>
      <c r="E7" s="38" t="s">
        <v>411</v>
      </c>
      <c r="F7" s="38" t="s">
        <v>412</v>
      </c>
      <c r="G7" s="38" t="s">
        <v>31</v>
      </c>
      <c r="H7" s="38" t="s">
        <v>413</v>
      </c>
      <c r="I7" s="38" t="s">
        <v>71</v>
      </c>
      <c r="J7" s="38" t="s">
        <v>18</v>
      </c>
      <c r="K7" s="38" t="s">
        <v>19</v>
      </c>
      <c r="L7" s="38" t="s">
        <v>18</v>
      </c>
      <c r="M7" s="38" t="s">
        <v>45</v>
      </c>
      <c r="N7" s="40">
        <v>8.4926332381823411</v>
      </c>
      <c r="O7" s="38" t="s">
        <v>73</v>
      </c>
      <c r="P7" s="41">
        <v>98.927812053602054</v>
      </c>
      <c r="Q7" s="42">
        <v>89.838200000000001</v>
      </c>
      <c r="R7" s="40">
        <f>AA7+Overview!$C$59*100</f>
        <v>3.109682000000022</v>
      </c>
      <c r="S7" s="39">
        <f>Z7*(1/Overview!$C$58)</f>
        <v>651362.35771227267</v>
      </c>
      <c r="T7" s="40">
        <v>11.53150684931507</v>
      </c>
      <c r="U7" s="38" t="s">
        <v>41</v>
      </c>
      <c r="V7" s="38" t="s">
        <v>42</v>
      </c>
      <c r="W7" s="39">
        <v>2500000000</v>
      </c>
      <c r="X7" s="38">
        <v>7</v>
      </c>
      <c r="Y7" s="39">
        <f>D7/Overview!$C$58</f>
        <v>658421.87772165122</v>
      </c>
      <c r="Z7" s="39">
        <f t="shared" si="0"/>
        <v>747894.25912523153</v>
      </c>
      <c r="AA7" s="40">
        <v>5.049682000000022</v>
      </c>
    </row>
    <row r="8" spans="1:27" ht="15.5" x14ac:dyDescent="0.35">
      <c r="A8" s="38" t="s">
        <v>417</v>
      </c>
      <c r="B8" s="38" t="s">
        <v>418</v>
      </c>
      <c r="C8" s="38" t="s">
        <v>419</v>
      </c>
      <c r="D8" s="39">
        <v>1527000</v>
      </c>
      <c r="E8" s="38" t="s">
        <v>420</v>
      </c>
      <c r="F8" s="38" t="s">
        <v>421</v>
      </c>
      <c r="G8" s="38" t="s">
        <v>26</v>
      </c>
      <c r="H8" s="38" t="s">
        <v>275</v>
      </c>
      <c r="I8" s="38" t="s">
        <v>119</v>
      </c>
      <c r="J8" s="38" t="s">
        <v>18</v>
      </c>
      <c r="K8" s="38" t="s">
        <v>17</v>
      </c>
      <c r="L8" s="38" t="s">
        <v>17</v>
      </c>
      <c r="M8" s="38" t="s">
        <v>45</v>
      </c>
      <c r="N8" s="40">
        <v>1.2835125433913439</v>
      </c>
      <c r="O8" s="38" t="s">
        <v>73</v>
      </c>
      <c r="P8" s="41">
        <v>98.223010810807068</v>
      </c>
      <c r="Q8" s="42">
        <v>30.1968</v>
      </c>
      <c r="R8" s="40">
        <f>AA8+Overview!$C$59*100</f>
        <v>1.994512700456009</v>
      </c>
      <c r="S8" s="39">
        <f>Z8*(1/Overview!$C$58)</f>
        <v>1306275.365860498</v>
      </c>
      <c r="T8" s="40">
        <v>1.3260273972602741</v>
      </c>
      <c r="U8" s="38" t="s">
        <v>37</v>
      </c>
      <c r="V8" s="38" t="s">
        <v>42</v>
      </c>
      <c r="W8" s="39">
        <v>1750000000</v>
      </c>
      <c r="X8" s="38">
        <v>6</v>
      </c>
      <c r="Y8" s="39">
        <f>D8/Overview!$C$58</f>
        <v>1329907.6815885734</v>
      </c>
      <c r="Z8" s="39">
        <f t="shared" si="0"/>
        <v>1499865.3750810239</v>
      </c>
      <c r="AA8" s="40">
        <v>3.934512700456009</v>
      </c>
    </row>
    <row r="9" spans="1:27" ht="15.5" x14ac:dyDescent="0.35">
      <c r="A9" s="38" t="s">
        <v>422</v>
      </c>
      <c r="B9" s="38" t="s">
        <v>423</v>
      </c>
      <c r="C9" s="38" t="s">
        <v>424</v>
      </c>
      <c r="D9" s="39">
        <v>1511000</v>
      </c>
      <c r="E9" s="38" t="s">
        <v>425</v>
      </c>
      <c r="F9" s="38" t="s">
        <v>426</v>
      </c>
      <c r="G9" s="38" t="s">
        <v>33</v>
      </c>
      <c r="H9" s="38" t="s">
        <v>427</v>
      </c>
      <c r="I9" s="38" t="s">
        <v>167</v>
      </c>
      <c r="J9" s="38" t="s">
        <v>21</v>
      </c>
      <c r="K9" s="38" t="s">
        <v>21</v>
      </c>
      <c r="L9" s="38" t="s">
        <v>21</v>
      </c>
      <c r="M9" s="38" t="s">
        <v>45</v>
      </c>
      <c r="N9" s="40">
        <v>12.90461424836351</v>
      </c>
      <c r="O9" s="38" t="s">
        <v>73</v>
      </c>
      <c r="P9" s="41">
        <v>98.845865151234861</v>
      </c>
      <c r="Q9" s="42">
        <v>116.2458</v>
      </c>
      <c r="R9" s="40">
        <f>AA9+Overview!$C$59*100</f>
        <v>3.9545580000000053</v>
      </c>
      <c r="S9" s="39">
        <f>Z9*(1/Overview!$C$58)</f>
        <v>1300784.726036543</v>
      </c>
      <c r="T9" s="40">
        <v>24.5013698630137</v>
      </c>
      <c r="U9" s="38" t="s">
        <v>41</v>
      </c>
      <c r="V9" s="38" t="s">
        <v>42</v>
      </c>
      <c r="W9" s="39">
        <v>5500000000</v>
      </c>
      <c r="X9" s="38">
        <v>10</v>
      </c>
      <c r="Y9" s="39">
        <f>D9/Overview!$C$58</f>
        <v>1315972.8270336178</v>
      </c>
      <c r="Z9" s="39">
        <f t="shared" si="0"/>
        <v>1493561.0224351587</v>
      </c>
      <c r="AA9" s="40">
        <v>5.8945580000000053</v>
      </c>
    </row>
    <row r="10" spans="1:27" ht="15.5" x14ac:dyDescent="0.35">
      <c r="A10" s="38" t="s">
        <v>428</v>
      </c>
      <c r="B10" s="38" t="s">
        <v>429</v>
      </c>
      <c r="C10" s="38" t="s">
        <v>430</v>
      </c>
      <c r="D10" s="39">
        <v>1523000</v>
      </c>
      <c r="E10" s="38" t="s">
        <v>112</v>
      </c>
      <c r="F10" s="38" t="s">
        <v>113</v>
      </c>
      <c r="G10" s="38" t="s">
        <v>26</v>
      </c>
      <c r="H10" s="38" t="s">
        <v>79</v>
      </c>
      <c r="I10" s="38" t="s">
        <v>104</v>
      </c>
      <c r="J10" s="38" t="s">
        <v>18</v>
      </c>
      <c r="K10" s="38" t="s">
        <v>15</v>
      </c>
      <c r="L10" s="38" t="s">
        <v>16</v>
      </c>
      <c r="M10" s="38" t="s">
        <v>45</v>
      </c>
      <c r="N10" s="40">
        <v>1.996856766844914</v>
      </c>
      <c r="O10" s="38" t="s">
        <v>73</v>
      </c>
      <c r="P10" s="41">
        <v>98.447130690075241</v>
      </c>
      <c r="Q10" s="42">
        <v>55.770400000000002</v>
      </c>
      <c r="R10" s="40">
        <f>AA10+Overview!$C$59*100</f>
        <v>2.2497331472700473</v>
      </c>
      <c r="S10" s="39">
        <f>Z10*(1/Overview!$C$58)</f>
        <v>1305826.3372320554</v>
      </c>
      <c r="T10" s="40">
        <v>3.1260273972602741</v>
      </c>
      <c r="U10" s="38" t="s">
        <v>37</v>
      </c>
      <c r="V10" s="38" t="s">
        <v>42</v>
      </c>
      <c r="W10" s="39">
        <v>5989208000</v>
      </c>
      <c r="X10" s="38">
        <v>5</v>
      </c>
      <c r="Y10" s="39">
        <f>D10/Overview!$C$58</f>
        <v>1326423.9679498344</v>
      </c>
      <c r="Z10" s="39">
        <f t="shared" si="0"/>
        <v>1499349.800409846</v>
      </c>
      <c r="AA10" s="40">
        <v>4.1897331472700472</v>
      </c>
    </row>
    <row r="11" spans="1:27" ht="15.5" x14ac:dyDescent="0.35">
      <c r="A11" s="38" t="s">
        <v>431</v>
      </c>
      <c r="B11" s="38" t="s">
        <v>432</v>
      </c>
      <c r="C11" s="38" t="s">
        <v>433</v>
      </c>
      <c r="D11" s="39">
        <v>1398000</v>
      </c>
      <c r="E11" s="38" t="s">
        <v>434</v>
      </c>
      <c r="F11" s="38" t="s">
        <v>435</v>
      </c>
      <c r="G11" s="38" t="s">
        <v>26</v>
      </c>
      <c r="H11" s="38" t="s">
        <v>79</v>
      </c>
      <c r="I11" s="38" t="s">
        <v>98</v>
      </c>
      <c r="J11" s="38" t="s">
        <v>19</v>
      </c>
      <c r="K11" s="38" t="s">
        <v>17</v>
      </c>
      <c r="L11" s="38" t="s">
        <v>19</v>
      </c>
      <c r="M11" s="38" t="s">
        <v>45</v>
      </c>
      <c r="N11" s="40">
        <v>5.8458451613597804</v>
      </c>
      <c r="O11" s="38" t="s">
        <v>73</v>
      </c>
      <c r="P11" s="41">
        <v>108.45469787735171</v>
      </c>
      <c r="Q11" s="42">
        <v>93.170900000000003</v>
      </c>
      <c r="R11" s="40">
        <f>AA11+Overview!$C$59*100</f>
        <v>3.1430090000356015</v>
      </c>
      <c r="S11" s="39">
        <f>Z11*(1/Overview!$C$58)</f>
        <v>1320498.7600813245</v>
      </c>
      <c r="T11" s="40">
        <v>8.5123287671232877</v>
      </c>
      <c r="U11" s="38" t="s">
        <v>40</v>
      </c>
      <c r="V11" s="38" t="s">
        <v>131</v>
      </c>
      <c r="W11" s="39">
        <v>2000000000</v>
      </c>
      <c r="X11" s="38">
        <v>8</v>
      </c>
      <c r="Y11" s="39">
        <f>D11/Overview!$C$58</f>
        <v>1217557.916739244</v>
      </c>
      <c r="Z11" s="39">
        <f t="shared" si="0"/>
        <v>1516196.6763253768</v>
      </c>
      <c r="AA11" s="40">
        <v>5.0830090000356014</v>
      </c>
    </row>
    <row r="12" spans="1:27" ht="15.5" x14ac:dyDescent="0.35">
      <c r="A12" s="38" t="s">
        <v>436</v>
      </c>
      <c r="B12" s="38" t="s">
        <v>437</v>
      </c>
      <c r="C12" s="38" t="s">
        <v>438</v>
      </c>
      <c r="D12" s="39">
        <v>1506000</v>
      </c>
      <c r="E12" s="38" t="s">
        <v>439</v>
      </c>
      <c r="F12" s="38" t="s">
        <v>440</v>
      </c>
      <c r="G12" s="38" t="s">
        <v>28</v>
      </c>
      <c r="H12" s="38" t="s">
        <v>281</v>
      </c>
      <c r="I12" s="38" t="s">
        <v>119</v>
      </c>
      <c r="J12" s="38" t="s">
        <v>17</v>
      </c>
      <c r="K12" s="38" t="s">
        <v>87</v>
      </c>
      <c r="L12" s="38" t="s">
        <v>17</v>
      </c>
      <c r="M12" s="38" t="s">
        <v>45</v>
      </c>
      <c r="N12" s="40">
        <v>13.96629318592141</v>
      </c>
      <c r="O12" s="38" t="s">
        <v>73</v>
      </c>
      <c r="P12" s="41">
        <v>99.058666387972721</v>
      </c>
      <c r="Q12" s="42">
        <v>88.404499999999999</v>
      </c>
      <c r="R12" s="40">
        <f>AA12+Overview!$C$59*100</f>
        <v>3.6761449999999845</v>
      </c>
      <c r="S12" s="39">
        <f>Z12*(1/Overview!$C$58)</f>
        <v>1299271.4821484664</v>
      </c>
      <c r="T12" s="40">
        <v>28.31780821917808</v>
      </c>
      <c r="U12" s="38" t="s">
        <v>41</v>
      </c>
      <c r="V12" s="38" t="s">
        <v>42</v>
      </c>
      <c r="W12" s="39">
        <v>2750000000</v>
      </c>
      <c r="X12" s="38">
        <v>6</v>
      </c>
      <c r="Y12" s="39">
        <f>D12/Overview!$C$58</f>
        <v>1311618.1849851941</v>
      </c>
      <c r="Z12" s="39">
        <f t="shared" si="0"/>
        <v>1491823.5158028691</v>
      </c>
      <c r="AA12" s="40">
        <v>5.6161449999999844</v>
      </c>
    </row>
    <row r="13" spans="1:27" ht="15.5" x14ac:dyDescent="0.35">
      <c r="A13" s="38" t="s">
        <v>441</v>
      </c>
      <c r="B13" s="38" t="s">
        <v>442</v>
      </c>
      <c r="C13" s="38" t="s">
        <v>443</v>
      </c>
      <c r="D13" s="39">
        <v>1654000</v>
      </c>
      <c r="E13" s="38" t="s">
        <v>123</v>
      </c>
      <c r="F13" s="38" t="s">
        <v>124</v>
      </c>
      <c r="G13" s="38" t="s">
        <v>26</v>
      </c>
      <c r="H13" s="38" t="s">
        <v>79</v>
      </c>
      <c r="I13" s="38" t="s">
        <v>98</v>
      </c>
      <c r="J13" s="38" t="s">
        <v>18</v>
      </c>
      <c r="K13" s="38" t="s">
        <v>16</v>
      </c>
      <c r="L13" s="38" t="s">
        <v>18</v>
      </c>
      <c r="M13" s="38" t="s">
        <v>45</v>
      </c>
      <c r="N13" s="40">
        <v>5.75</v>
      </c>
      <c r="O13" s="38" t="s">
        <v>73</v>
      </c>
      <c r="P13" s="41">
        <v>90.626999999999995</v>
      </c>
      <c r="Q13" s="42">
        <v>109.4911</v>
      </c>
      <c r="R13" s="40">
        <f>AA13+Overview!$C$59*100</f>
        <v>2.9099999999999997</v>
      </c>
      <c r="S13" s="39">
        <f>Z13*(1/Overview!$C$58)</f>
        <v>1305496.0634035883</v>
      </c>
      <c r="T13" s="40">
        <v>6.4575342465753423</v>
      </c>
      <c r="U13" s="38" t="s">
        <v>39</v>
      </c>
      <c r="V13" s="38" t="s">
        <v>88</v>
      </c>
      <c r="W13" s="39">
        <v>2250000000</v>
      </c>
      <c r="X13" s="38">
        <v>7</v>
      </c>
      <c r="Y13" s="39">
        <f>D13/Overview!$C$58</f>
        <v>1440515.5896185332</v>
      </c>
      <c r="Z13" s="44">
        <f>D13*P13/100</f>
        <v>1498970.58</v>
      </c>
      <c r="AA13" s="43">
        <v>4.8499999999999996</v>
      </c>
    </row>
    <row r="14" spans="1:27" ht="15.5" x14ac:dyDescent="0.35">
      <c r="A14" s="38" t="s">
        <v>444</v>
      </c>
      <c r="B14" s="38" t="s">
        <v>445</v>
      </c>
      <c r="C14" s="38" t="s">
        <v>446</v>
      </c>
      <c r="D14" s="39">
        <v>985000</v>
      </c>
      <c r="E14" s="38" t="s">
        <v>447</v>
      </c>
      <c r="F14" s="38" t="s">
        <v>448</v>
      </c>
      <c r="G14" s="38" t="s">
        <v>34</v>
      </c>
      <c r="H14" s="38" t="s">
        <v>200</v>
      </c>
      <c r="I14" s="38" t="s">
        <v>71</v>
      </c>
      <c r="J14" s="38" t="s">
        <v>18</v>
      </c>
      <c r="K14" s="38" t="s">
        <v>72</v>
      </c>
      <c r="L14" s="38" t="s">
        <v>18</v>
      </c>
      <c r="M14" s="38" t="s">
        <v>45</v>
      </c>
      <c r="N14" s="40">
        <v>7.7095752143911387</v>
      </c>
      <c r="O14" s="38" t="s">
        <v>73</v>
      </c>
      <c r="P14" s="41">
        <v>107.6797500653993</v>
      </c>
      <c r="Q14" s="42">
        <v>100.96120000000001</v>
      </c>
      <c r="R14" s="40">
        <f>AA14+Overview!$C$59*100</f>
        <v>3.2209120000000167</v>
      </c>
      <c r="S14" s="39">
        <f>Z14*(1/Overview!$C$58)</f>
        <v>923746.3317751115</v>
      </c>
      <c r="T14" s="40">
        <v>10.41095890410959</v>
      </c>
      <c r="U14" s="38" t="s">
        <v>40</v>
      </c>
      <c r="V14" s="38" t="s">
        <v>42</v>
      </c>
      <c r="W14" s="39">
        <v>1666939000</v>
      </c>
      <c r="X14" s="38">
        <v>7</v>
      </c>
      <c r="Y14" s="39">
        <f>D14/Overview!$C$58</f>
        <v>857864.48353945301</v>
      </c>
      <c r="Z14" s="39">
        <f t="shared" ref="Z14:Z65" si="1">D14*P14/100</f>
        <v>1060645.5381441831</v>
      </c>
      <c r="AA14" s="40">
        <v>5.1609120000000166</v>
      </c>
    </row>
    <row r="15" spans="1:27" ht="15.5" x14ac:dyDescent="0.35">
      <c r="A15" s="38" t="s">
        <v>449</v>
      </c>
      <c r="B15" s="38" t="s">
        <v>450</v>
      </c>
      <c r="C15" s="38" t="s">
        <v>451</v>
      </c>
      <c r="D15" s="39">
        <v>1506000</v>
      </c>
      <c r="E15" s="38" t="s">
        <v>140</v>
      </c>
      <c r="F15" s="38" t="s">
        <v>141</v>
      </c>
      <c r="G15" s="38" t="s">
        <v>26</v>
      </c>
      <c r="H15" s="38" t="s">
        <v>79</v>
      </c>
      <c r="I15" s="38" t="s">
        <v>71</v>
      </c>
      <c r="J15" s="38" t="s">
        <v>19</v>
      </c>
      <c r="K15" s="38" t="s">
        <v>17</v>
      </c>
      <c r="L15" s="38" t="s">
        <v>18</v>
      </c>
      <c r="M15" s="38" t="s">
        <v>45</v>
      </c>
      <c r="N15" s="40">
        <v>1.1254964867084869</v>
      </c>
      <c r="O15" s="38" t="s">
        <v>73</v>
      </c>
      <c r="P15" s="41">
        <v>99.60820322396107</v>
      </c>
      <c r="Q15" s="42">
        <v>59.538200000000003</v>
      </c>
      <c r="R15" s="40">
        <f>AA15+Overview!$C$59*100</f>
        <v>2.2874111472700327</v>
      </c>
      <c r="S15" s="39">
        <f>Z15*(1/Overview!$C$58)</f>
        <v>1306479.3072224818</v>
      </c>
      <c r="T15" s="40">
        <v>2.1808219178082191</v>
      </c>
      <c r="U15" s="38" t="s">
        <v>37</v>
      </c>
      <c r="V15" s="38" t="s">
        <v>42</v>
      </c>
      <c r="W15" s="39">
        <v>2750000000</v>
      </c>
      <c r="X15" s="38">
        <v>7</v>
      </c>
      <c r="Y15" s="39">
        <f>D15/Overview!$C$58</f>
        <v>1311618.1849851941</v>
      </c>
      <c r="Z15" s="39">
        <f t="shared" si="1"/>
        <v>1500099.5405528536</v>
      </c>
      <c r="AA15" s="40">
        <v>4.2274111472700326</v>
      </c>
    </row>
    <row r="16" spans="1:27" ht="15.5" x14ac:dyDescent="0.35">
      <c r="A16" s="38" t="s">
        <v>452</v>
      </c>
      <c r="B16" s="38" t="s">
        <v>453</v>
      </c>
      <c r="C16" s="38" t="s">
        <v>454</v>
      </c>
      <c r="D16" s="39">
        <v>1484000</v>
      </c>
      <c r="E16" s="38" t="s">
        <v>455</v>
      </c>
      <c r="F16" s="38" t="s">
        <v>456</v>
      </c>
      <c r="G16" s="38" t="s">
        <v>34</v>
      </c>
      <c r="H16" s="38" t="s">
        <v>200</v>
      </c>
      <c r="I16" s="38" t="s">
        <v>98</v>
      </c>
      <c r="J16" s="38" t="s">
        <v>19</v>
      </c>
      <c r="K16" s="38" t="s">
        <v>87</v>
      </c>
      <c r="L16" s="38" t="s">
        <v>19</v>
      </c>
      <c r="M16" s="38" t="s">
        <v>45</v>
      </c>
      <c r="N16" s="40">
        <v>13.79402901894156</v>
      </c>
      <c r="O16" s="38" t="s">
        <v>73</v>
      </c>
      <c r="P16" s="41">
        <v>99.952284146451802</v>
      </c>
      <c r="Q16" s="42">
        <v>102.07380000000001</v>
      </c>
      <c r="R16" s="40">
        <f>AA16+Overview!$C$59*100</f>
        <v>3.8128379999999926</v>
      </c>
      <c r="S16" s="39">
        <f>Z16*(1/Overview!$C$58)</f>
        <v>1291841.0527202096</v>
      </c>
      <c r="T16" s="40">
        <v>28.37534246575342</v>
      </c>
      <c r="U16" s="38" t="s">
        <v>41</v>
      </c>
      <c r="V16" s="38" t="s">
        <v>42</v>
      </c>
      <c r="W16" s="39">
        <v>900000000</v>
      </c>
      <c r="X16" s="38">
        <v>8</v>
      </c>
      <c r="Y16" s="39">
        <f>D16/Overview!$C$58</f>
        <v>1292457.7599721302</v>
      </c>
      <c r="Z16" s="39">
        <f t="shared" si="1"/>
        <v>1483291.8967333448</v>
      </c>
      <c r="AA16" s="40">
        <v>5.7528379999999926</v>
      </c>
    </row>
    <row r="17" spans="1:27" ht="15.5" x14ac:dyDescent="0.35">
      <c r="A17" s="38" t="s">
        <v>457</v>
      </c>
      <c r="B17" s="38" t="s">
        <v>458</v>
      </c>
      <c r="C17" s="38" t="s">
        <v>459</v>
      </c>
      <c r="D17" s="39">
        <v>1574000</v>
      </c>
      <c r="E17" s="38" t="s">
        <v>460</v>
      </c>
      <c r="F17" s="38" t="s">
        <v>461</v>
      </c>
      <c r="G17" s="38" t="s">
        <v>27</v>
      </c>
      <c r="H17" s="38" t="s">
        <v>462</v>
      </c>
      <c r="I17" s="38" t="s">
        <v>463</v>
      </c>
      <c r="J17" s="38" t="s">
        <v>21</v>
      </c>
      <c r="K17" s="38" t="s">
        <v>21</v>
      </c>
      <c r="L17" s="38" t="s">
        <v>21</v>
      </c>
      <c r="M17" s="38" t="s">
        <v>44</v>
      </c>
      <c r="N17" s="40">
        <v>10.90710525551758</v>
      </c>
      <c r="O17" s="38" t="s">
        <v>347</v>
      </c>
      <c r="P17" s="41">
        <v>96.361168930000005</v>
      </c>
      <c r="Q17" s="42">
        <v>211.19049393508439</v>
      </c>
      <c r="R17" s="40">
        <f>AA17+Overview!$C$59*100</f>
        <v>4.8800049393508456</v>
      </c>
      <c r="S17" s="39">
        <f>Z17*(1/Overview!$C$58)</f>
        <v>1320958.7170860479</v>
      </c>
      <c r="T17" s="40">
        <v>19.978082191780821</v>
      </c>
      <c r="U17" s="38" t="s">
        <v>41</v>
      </c>
      <c r="V17" s="38" t="s">
        <v>42</v>
      </c>
      <c r="W17" s="39">
        <v>3499875000</v>
      </c>
      <c r="X17" s="38">
        <v>10</v>
      </c>
      <c r="Y17" s="39">
        <f>D17/Overview!$C$58</f>
        <v>1370841.3168437553</v>
      </c>
      <c r="Z17" s="39">
        <f t="shared" si="1"/>
        <v>1516724.7989582003</v>
      </c>
      <c r="AA17" s="40">
        <v>6.820004939350846</v>
      </c>
    </row>
    <row r="18" spans="1:27" ht="15.5" x14ac:dyDescent="0.35">
      <c r="A18" s="38" t="s">
        <v>464</v>
      </c>
      <c r="B18" s="38" t="s">
        <v>465</v>
      </c>
      <c r="C18" s="38" t="s">
        <v>466</v>
      </c>
      <c r="D18" s="39">
        <v>1498000</v>
      </c>
      <c r="E18" s="38" t="s">
        <v>467</v>
      </c>
      <c r="F18" s="38" t="s">
        <v>468</v>
      </c>
      <c r="G18" s="38" t="s">
        <v>27</v>
      </c>
      <c r="H18" s="38" t="s">
        <v>462</v>
      </c>
      <c r="I18" s="38" t="s">
        <v>71</v>
      </c>
      <c r="J18" s="38" t="s">
        <v>18</v>
      </c>
      <c r="K18" s="38" t="s">
        <v>18</v>
      </c>
      <c r="L18" s="38" t="s">
        <v>18</v>
      </c>
      <c r="M18" s="38" t="s">
        <v>45</v>
      </c>
      <c r="N18" s="40">
        <v>2.7364732133551999</v>
      </c>
      <c r="O18" s="38" t="s">
        <v>73</v>
      </c>
      <c r="P18" s="41">
        <v>99.994392102845666</v>
      </c>
      <c r="Q18" s="42">
        <v>50.764600000000009</v>
      </c>
      <c r="R18" s="40">
        <f>AA18+Overview!$C$59*100</f>
        <v>2.2112459999999863</v>
      </c>
      <c r="S18" s="39">
        <f>Z18*(1/Overview!$C$58)</f>
        <v>1304577.5942350007</v>
      </c>
      <c r="T18" s="40">
        <v>2.945205479452055</v>
      </c>
      <c r="U18" s="38" t="s">
        <v>37</v>
      </c>
      <c r="V18" s="38" t="s">
        <v>42</v>
      </c>
      <c r="W18" s="39">
        <v>3211688000</v>
      </c>
      <c r="X18" s="38">
        <v>7</v>
      </c>
      <c r="Y18" s="39">
        <f>D18/Overview!$C$58</f>
        <v>1304650.7577077162</v>
      </c>
      <c r="Z18" s="39">
        <f t="shared" si="1"/>
        <v>1497915.9937006279</v>
      </c>
      <c r="AA18" s="40">
        <v>4.1512459999999862</v>
      </c>
    </row>
    <row r="19" spans="1:27" ht="15.5" x14ac:dyDescent="0.35">
      <c r="A19" s="38" t="s">
        <v>469</v>
      </c>
      <c r="B19" s="38" t="s">
        <v>470</v>
      </c>
      <c r="C19" s="38" t="s">
        <v>471</v>
      </c>
      <c r="D19" s="39">
        <v>1684000</v>
      </c>
      <c r="E19" s="38" t="s">
        <v>472</v>
      </c>
      <c r="F19" s="38" t="s">
        <v>473</v>
      </c>
      <c r="G19" s="38" t="s">
        <v>28</v>
      </c>
      <c r="H19" s="38" t="s">
        <v>474</v>
      </c>
      <c r="I19" s="38" t="s">
        <v>463</v>
      </c>
      <c r="J19" s="38" t="s">
        <v>21</v>
      </c>
      <c r="K19" s="38" t="s">
        <v>21</v>
      </c>
      <c r="L19" s="38" t="s">
        <v>21</v>
      </c>
      <c r="M19" s="38" t="s">
        <v>45</v>
      </c>
      <c r="N19" s="40">
        <v>4.4749041520780901</v>
      </c>
      <c r="O19" s="38" t="s">
        <v>347</v>
      </c>
      <c r="P19" s="41">
        <v>89.238319300000001</v>
      </c>
      <c r="Q19" s="42">
        <v>175.7225055495048</v>
      </c>
      <c r="R19" s="40">
        <f>AA19+Overview!$C$59*100</f>
        <v>3.5773250554950651</v>
      </c>
      <c r="S19" s="39">
        <f>Z19*(1/Overview!$C$58)</f>
        <v>1308807.9576833304</v>
      </c>
      <c r="T19" s="40">
        <v>4.9452054794520546</v>
      </c>
      <c r="U19" s="38" t="s">
        <v>38</v>
      </c>
      <c r="V19" s="38" t="s">
        <v>42</v>
      </c>
      <c r="W19" s="39">
        <v>2200000000</v>
      </c>
      <c r="X19" s="38">
        <v>10</v>
      </c>
      <c r="Y19" s="39">
        <f>D19/Overview!$C$58</f>
        <v>1466643.441909075</v>
      </c>
      <c r="Z19" s="39">
        <f t="shared" si="1"/>
        <v>1502773.2970120001</v>
      </c>
      <c r="AA19" s="40">
        <v>5.517325055495065</v>
      </c>
    </row>
    <row r="20" spans="1:27" ht="15.5" x14ac:dyDescent="0.35">
      <c r="A20" s="38" t="s">
        <v>475</v>
      </c>
      <c r="B20" s="38" t="s">
        <v>476</v>
      </c>
      <c r="C20" s="38" t="s">
        <v>477</v>
      </c>
      <c r="D20" s="39">
        <v>754000</v>
      </c>
      <c r="E20" s="38" t="s">
        <v>478</v>
      </c>
      <c r="F20" s="38" t="s">
        <v>479</v>
      </c>
      <c r="G20" s="38" t="s">
        <v>26</v>
      </c>
      <c r="H20" s="38" t="s">
        <v>275</v>
      </c>
      <c r="I20" s="38" t="s">
        <v>98</v>
      </c>
      <c r="J20" s="38" t="s">
        <v>20</v>
      </c>
      <c r="K20" s="38" t="s">
        <v>18</v>
      </c>
      <c r="L20" s="38" t="s">
        <v>19</v>
      </c>
      <c r="M20" s="38" t="s">
        <v>45</v>
      </c>
      <c r="N20" s="40">
        <v>1.287407035146815</v>
      </c>
      <c r="O20" s="38" t="s">
        <v>73</v>
      </c>
      <c r="P20" s="41">
        <v>99.474998926883302</v>
      </c>
      <c r="Q20" s="42">
        <v>52.110399999999998</v>
      </c>
      <c r="R20" s="40">
        <f>AA20+Overview!$C$59*100</f>
        <v>2.2131331472700384</v>
      </c>
      <c r="S20" s="39">
        <f>Z20*(1/Overview!$C$58)</f>
        <v>653232.44374560192</v>
      </c>
      <c r="T20" s="40">
        <v>1.33972602739726</v>
      </c>
      <c r="U20" s="38" t="s">
        <v>37</v>
      </c>
      <c r="V20" s="38" t="s">
        <v>42</v>
      </c>
      <c r="W20" s="39">
        <v>1350000000</v>
      </c>
      <c r="X20" s="38">
        <v>8</v>
      </c>
      <c r="Y20" s="39">
        <f>D20/Overview!$C$58</f>
        <v>656680.02090228174</v>
      </c>
      <c r="Z20" s="39">
        <f t="shared" si="1"/>
        <v>750041.49190870021</v>
      </c>
      <c r="AA20" s="40">
        <v>4.1531331472700384</v>
      </c>
    </row>
    <row r="21" spans="1:27" ht="15.5" x14ac:dyDescent="0.35">
      <c r="A21" s="38" t="s">
        <v>480</v>
      </c>
      <c r="B21" s="38" t="s">
        <v>481</v>
      </c>
      <c r="C21" s="38" t="s">
        <v>482</v>
      </c>
      <c r="D21" s="39">
        <v>1288000</v>
      </c>
      <c r="E21" s="38" t="s">
        <v>483</v>
      </c>
      <c r="F21" s="38" t="s">
        <v>484</v>
      </c>
      <c r="G21" s="38" t="s">
        <v>27</v>
      </c>
      <c r="H21" s="38" t="s">
        <v>129</v>
      </c>
      <c r="I21" s="38" t="s">
        <v>104</v>
      </c>
      <c r="J21" s="38" t="s">
        <v>15</v>
      </c>
      <c r="K21" s="38" t="s">
        <v>87</v>
      </c>
      <c r="L21" s="38" t="s">
        <v>16</v>
      </c>
      <c r="M21" s="38" t="s">
        <v>45</v>
      </c>
      <c r="N21" s="40">
        <v>6.6882936276664067</v>
      </c>
      <c r="O21" s="38" t="s">
        <v>73</v>
      </c>
      <c r="P21" s="41">
        <v>102.667365348538</v>
      </c>
      <c r="Q21" s="42">
        <v>50.673499999999997</v>
      </c>
      <c r="R21" s="40">
        <f>AA21+Overview!$C$59*100</f>
        <v>2.718035134562601</v>
      </c>
      <c r="S21" s="39">
        <f>Z21*(1/Overview!$C$58)</f>
        <v>1151677.1169562526</v>
      </c>
      <c r="T21" s="40">
        <v>8.3150684931506849</v>
      </c>
      <c r="U21" s="38" t="s">
        <v>40</v>
      </c>
      <c r="V21" s="38" t="s">
        <v>42</v>
      </c>
      <c r="W21" s="39">
        <v>2500000000</v>
      </c>
      <c r="X21" s="38">
        <v>5</v>
      </c>
      <c r="Y21" s="39">
        <f>D21/Overview!$C$58</f>
        <v>1121755.7916739243</v>
      </c>
      <c r="Z21" s="39">
        <f t="shared" si="1"/>
        <v>1322355.6656891694</v>
      </c>
      <c r="AA21" s="40">
        <v>4.658035134562601</v>
      </c>
    </row>
    <row r="22" spans="1:27" ht="15.5" x14ac:dyDescent="0.35">
      <c r="A22" s="38" t="s">
        <v>485</v>
      </c>
      <c r="B22" s="38" t="s">
        <v>486</v>
      </c>
      <c r="C22" s="38" t="s">
        <v>487</v>
      </c>
      <c r="D22" s="39">
        <v>1499000</v>
      </c>
      <c r="E22" s="38" t="s">
        <v>488</v>
      </c>
      <c r="F22" s="38" t="s">
        <v>489</v>
      </c>
      <c r="G22" s="38" t="s">
        <v>28</v>
      </c>
      <c r="H22" s="38" t="s">
        <v>281</v>
      </c>
      <c r="I22" s="38" t="s">
        <v>167</v>
      </c>
      <c r="J22" s="38" t="s">
        <v>20</v>
      </c>
      <c r="K22" s="38" t="s">
        <v>20</v>
      </c>
      <c r="L22" s="38" t="s">
        <v>20</v>
      </c>
      <c r="M22" s="38" t="s">
        <v>45</v>
      </c>
      <c r="N22" s="40">
        <v>2.235265665971772</v>
      </c>
      <c r="O22" s="38" t="s">
        <v>73</v>
      </c>
      <c r="P22" s="41">
        <v>100.04206367563251</v>
      </c>
      <c r="Q22" s="42">
        <v>63.58890000000001</v>
      </c>
      <c r="R22" s="40">
        <f>AA22+Overview!$C$59*100</f>
        <v>2.3394890000000141</v>
      </c>
      <c r="S22" s="39">
        <f>Z22*(1/Overview!$C$58)</f>
        <v>1306070.8365247615</v>
      </c>
      <c r="T22" s="40">
        <v>2.386301369863014</v>
      </c>
      <c r="U22" s="38" t="s">
        <v>37</v>
      </c>
      <c r="V22" s="38" t="s">
        <v>42</v>
      </c>
      <c r="W22" s="39">
        <v>5000000000</v>
      </c>
      <c r="X22" s="38">
        <v>9</v>
      </c>
      <c r="Y22" s="39">
        <f>D22/Overview!$C$58</f>
        <v>1305521.6861174011</v>
      </c>
      <c r="Z22" s="39">
        <f t="shared" si="1"/>
        <v>1499630.5344977314</v>
      </c>
      <c r="AA22" s="40">
        <v>4.2794890000000141</v>
      </c>
    </row>
    <row r="23" spans="1:27" ht="15.5" x14ac:dyDescent="0.35">
      <c r="A23" s="38" t="s">
        <v>490</v>
      </c>
      <c r="B23" s="38" t="s">
        <v>491</v>
      </c>
      <c r="C23" s="38" t="s">
        <v>492</v>
      </c>
      <c r="D23" s="39">
        <v>1479000</v>
      </c>
      <c r="E23" s="38" t="s">
        <v>170</v>
      </c>
      <c r="F23" s="38" t="s">
        <v>493</v>
      </c>
      <c r="G23" s="38" t="s">
        <v>26</v>
      </c>
      <c r="H23" s="38" t="s">
        <v>79</v>
      </c>
      <c r="I23" s="38" t="s">
        <v>98</v>
      </c>
      <c r="J23" s="38" t="s">
        <v>20</v>
      </c>
      <c r="K23" s="38" t="s">
        <v>18</v>
      </c>
      <c r="L23" s="38" t="s">
        <v>19</v>
      </c>
      <c r="M23" s="38" t="s">
        <v>45</v>
      </c>
      <c r="N23" s="40">
        <v>6.922456001519568</v>
      </c>
      <c r="O23" s="38" t="s">
        <v>73</v>
      </c>
      <c r="P23" s="41">
        <v>101.170858658196</v>
      </c>
      <c r="Q23" s="42">
        <v>108.3605</v>
      </c>
      <c r="R23" s="40">
        <f>AA23+Overview!$C$59*100</f>
        <v>3.294905000000012</v>
      </c>
      <c r="S23" s="39">
        <f>Z23*(1/Overview!$C$58)</f>
        <v>1303184.9848064089</v>
      </c>
      <c r="T23" s="40">
        <v>9.8547945205479444</v>
      </c>
      <c r="U23" s="38" t="s">
        <v>40</v>
      </c>
      <c r="V23" s="38" t="s">
        <v>120</v>
      </c>
      <c r="W23" s="39">
        <v>1250000000</v>
      </c>
      <c r="X23" s="38">
        <v>8</v>
      </c>
      <c r="Y23" s="39">
        <f>D23/Overview!$C$58</f>
        <v>1288103.1179237065</v>
      </c>
      <c r="Z23" s="39">
        <f t="shared" si="1"/>
        <v>1496316.9995547188</v>
      </c>
      <c r="AA23" s="40">
        <v>5.2349050000000119</v>
      </c>
    </row>
    <row r="24" spans="1:27" ht="15.5" x14ac:dyDescent="0.35">
      <c r="A24" s="38" t="s">
        <v>494</v>
      </c>
      <c r="B24" s="38" t="s">
        <v>495</v>
      </c>
      <c r="C24" s="38" t="s">
        <v>496</v>
      </c>
      <c r="D24" s="39">
        <v>1503000</v>
      </c>
      <c r="E24" s="38" t="s">
        <v>497</v>
      </c>
      <c r="F24" s="38" t="s">
        <v>498</v>
      </c>
      <c r="G24" s="38" t="s">
        <v>34</v>
      </c>
      <c r="H24" s="38" t="s">
        <v>200</v>
      </c>
      <c r="I24" s="38" t="s">
        <v>130</v>
      </c>
      <c r="J24" s="38" t="s">
        <v>20</v>
      </c>
      <c r="K24" s="38" t="s">
        <v>87</v>
      </c>
      <c r="L24" s="38" t="s">
        <v>20</v>
      </c>
      <c r="M24" s="38" t="s">
        <v>45</v>
      </c>
      <c r="N24" s="40">
        <v>5.7191034739383424</v>
      </c>
      <c r="O24" s="38" t="s">
        <v>73</v>
      </c>
      <c r="P24" s="41">
        <v>99.15400421134224</v>
      </c>
      <c r="Q24" s="42">
        <v>49.457400000000007</v>
      </c>
      <c r="R24" s="40">
        <f>AA24+Overview!$C$59*100</f>
        <v>2.7058739999999832</v>
      </c>
      <c r="S24" s="39">
        <f>Z24*(1/Overview!$C$58)</f>
        <v>1297931.2692009003</v>
      </c>
      <c r="T24" s="40">
        <v>6.7808219178082192</v>
      </c>
      <c r="U24" s="38" t="s">
        <v>39</v>
      </c>
      <c r="V24" s="38" t="s">
        <v>42</v>
      </c>
      <c r="W24" s="39">
        <v>1150000000</v>
      </c>
      <c r="X24" s="38">
        <v>9</v>
      </c>
      <c r="Y24" s="39">
        <f>D24/Overview!$C$58</f>
        <v>1309005.3997561398</v>
      </c>
      <c r="Z24" s="39">
        <f t="shared" si="1"/>
        <v>1490284.6832964739</v>
      </c>
      <c r="AA24" s="40">
        <v>4.6458739999999832</v>
      </c>
    </row>
    <row r="25" spans="1:27" ht="15.5" x14ac:dyDescent="0.35">
      <c r="A25" s="38" t="s">
        <v>499</v>
      </c>
      <c r="B25" s="38" t="s">
        <v>500</v>
      </c>
      <c r="C25" s="38" t="s">
        <v>501</v>
      </c>
      <c r="D25" s="39">
        <v>1515000</v>
      </c>
      <c r="E25" s="38" t="s">
        <v>502</v>
      </c>
      <c r="F25" s="38" t="s">
        <v>503</v>
      </c>
      <c r="G25" s="38" t="s">
        <v>29</v>
      </c>
      <c r="H25" s="38" t="s">
        <v>222</v>
      </c>
      <c r="I25" s="38" t="s">
        <v>130</v>
      </c>
      <c r="J25" s="38" t="s">
        <v>20</v>
      </c>
      <c r="K25" s="38" t="s">
        <v>19</v>
      </c>
      <c r="L25" s="38" t="s">
        <v>20</v>
      </c>
      <c r="M25" s="38" t="s">
        <v>45</v>
      </c>
      <c r="N25" s="40">
        <v>6.9601311549930633</v>
      </c>
      <c r="O25" s="38" t="s">
        <v>73</v>
      </c>
      <c r="P25" s="41">
        <v>98.855888095506756</v>
      </c>
      <c r="Q25" s="42">
        <v>121.1649</v>
      </c>
      <c r="R25" s="40">
        <f>AA25+Overview!$C$59*100</f>
        <v>3.4229490000000058</v>
      </c>
      <c r="S25" s="39">
        <f>Z25*(1/Overview!$C$58)</f>
        <v>1304360.4813159094</v>
      </c>
      <c r="T25" s="40">
        <v>8.8657534246575338</v>
      </c>
      <c r="U25" s="38" t="s">
        <v>40</v>
      </c>
      <c r="V25" s="38" t="s">
        <v>42</v>
      </c>
      <c r="W25" s="39">
        <v>1250000000</v>
      </c>
      <c r="X25" s="38">
        <v>9</v>
      </c>
      <c r="Y25" s="39">
        <f>D25/Overview!$C$58</f>
        <v>1319456.5406723565</v>
      </c>
      <c r="Z25" s="39">
        <f t="shared" si="1"/>
        <v>1497666.7046469273</v>
      </c>
      <c r="AA25" s="40">
        <v>5.3629490000000057</v>
      </c>
    </row>
    <row r="26" spans="1:27" ht="15.5" x14ac:dyDescent="0.35">
      <c r="A26" s="38" t="s">
        <v>504</v>
      </c>
      <c r="B26" s="38" t="s">
        <v>505</v>
      </c>
      <c r="C26" s="38" t="s">
        <v>506</v>
      </c>
      <c r="D26" s="39">
        <v>1564000</v>
      </c>
      <c r="E26" s="38" t="s">
        <v>507</v>
      </c>
      <c r="F26" s="38" t="s">
        <v>508</v>
      </c>
      <c r="G26" s="38" t="s">
        <v>31</v>
      </c>
      <c r="H26" s="38" t="s">
        <v>509</v>
      </c>
      <c r="I26" s="38" t="s">
        <v>98</v>
      </c>
      <c r="J26" s="38" t="s">
        <v>19</v>
      </c>
      <c r="K26" s="38" t="s">
        <v>18</v>
      </c>
      <c r="L26" s="38" t="s">
        <v>19</v>
      </c>
      <c r="M26" s="38" t="s">
        <v>45</v>
      </c>
      <c r="N26" s="40">
        <v>4.9557624219828416</v>
      </c>
      <c r="O26" s="38" t="s">
        <v>73</v>
      </c>
      <c r="P26" s="41">
        <v>95.811951383413472</v>
      </c>
      <c r="Q26" s="42">
        <v>-105.3086</v>
      </c>
      <c r="R26" s="40">
        <f>AA26+Overview!$C$59*100</f>
        <v>0.767014022092948</v>
      </c>
      <c r="S26" s="39">
        <f>Z26*(1/Overview!$C$58)</f>
        <v>1305085.2809933692</v>
      </c>
      <c r="T26" s="40">
        <v>5.2821917808219174</v>
      </c>
      <c r="U26" s="38" t="s">
        <v>38</v>
      </c>
      <c r="V26" s="38" t="s">
        <v>42</v>
      </c>
      <c r="W26" s="39">
        <v>750000000</v>
      </c>
      <c r="X26" s="38">
        <v>8</v>
      </c>
      <c r="Y26" s="39">
        <f>D26/Overview!$C$58</f>
        <v>1362132.032746908</v>
      </c>
      <c r="Z26" s="39">
        <f t="shared" si="1"/>
        <v>1498498.9196365867</v>
      </c>
      <c r="AA26" s="40">
        <v>2.7070140220929479</v>
      </c>
    </row>
    <row r="27" spans="1:27" ht="15.5" x14ac:dyDescent="0.35">
      <c r="A27" s="38" t="s">
        <v>510</v>
      </c>
      <c r="B27" s="38" t="s">
        <v>511</v>
      </c>
      <c r="C27" s="38" t="s">
        <v>512</v>
      </c>
      <c r="D27" s="39">
        <v>1745000</v>
      </c>
      <c r="E27" s="38" t="s">
        <v>513</v>
      </c>
      <c r="F27" s="38" t="s">
        <v>514</v>
      </c>
      <c r="G27" s="38" t="s">
        <v>29</v>
      </c>
      <c r="H27" s="38" t="s">
        <v>515</v>
      </c>
      <c r="I27" s="38" t="s">
        <v>130</v>
      </c>
      <c r="J27" s="38" t="s">
        <v>20</v>
      </c>
      <c r="K27" s="38" t="s">
        <v>20</v>
      </c>
      <c r="L27" s="38" t="s">
        <v>20</v>
      </c>
      <c r="M27" s="38" t="s">
        <v>45</v>
      </c>
      <c r="N27" s="40">
        <v>12.66764380452878</v>
      </c>
      <c r="O27" s="38" t="s">
        <v>73</v>
      </c>
      <c r="P27" s="41">
        <v>83.988731655615766</v>
      </c>
      <c r="Q27" s="42">
        <v>155.71039999999999</v>
      </c>
      <c r="R27" s="40">
        <f>AA27+Overview!$C$59*100</f>
        <v>4.3492039999999932</v>
      </c>
      <c r="S27" s="39">
        <f>Z27*(1/Overview!$C$58)</f>
        <v>1276435.60998998</v>
      </c>
      <c r="T27" s="40">
        <v>24.539726027397261</v>
      </c>
      <c r="U27" s="38" t="s">
        <v>41</v>
      </c>
      <c r="V27" s="38" t="s">
        <v>42</v>
      </c>
      <c r="W27" s="39">
        <v>2000000000</v>
      </c>
      <c r="X27" s="38">
        <v>9</v>
      </c>
      <c r="Y27" s="39">
        <f>D27/Overview!$C$58</f>
        <v>1519770.0748998432</v>
      </c>
      <c r="Z27" s="39">
        <f t="shared" si="1"/>
        <v>1465603.3673904953</v>
      </c>
      <c r="AA27" s="40">
        <v>6.2892039999999927</v>
      </c>
    </row>
    <row r="28" spans="1:27" ht="15.5" x14ac:dyDescent="0.35">
      <c r="A28" s="38" t="s">
        <v>516</v>
      </c>
      <c r="B28" s="38" t="s">
        <v>517</v>
      </c>
      <c r="C28" s="38" t="s">
        <v>518</v>
      </c>
      <c r="D28" s="39">
        <v>1880000</v>
      </c>
      <c r="E28" s="38" t="s">
        <v>519</v>
      </c>
      <c r="F28" s="38" t="s">
        <v>520</v>
      </c>
      <c r="G28" s="38" t="s">
        <v>30</v>
      </c>
      <c r="H28" s="38" t="s">
        <v>118</v>
      </c>
      <c r="I28" s="38" t="s">
        <v>463</v>
      </c>
      <c r="J28" s="38" t="s">
        <v>21</v>
      </c>
      <c r="K28" s="38" t="s">
        <v>21</v>
      </c>
      <c r="L28" s="38" t="s">
        <v>21</v>
      </c>
      <c r="M28" s="38" t="s">
        <v>45</v>
      </c>
      <c r="N28" s="40">
        <v>10.680939546584961</v>
      </c>
      <c r="O28" s="38" t="s">
        <v>347</v>
      </c>
      <c r="P28" s="41">
        <v>80.129965279999993</v>
      </c>
      <c r="Q28" s="42">
        <v>200.68166158998241</v>
      </c>
      <c r="R28" s="40">
        <f>AA28+Overview!$C$59*100</f>
        <v>4.774916615899846</v>
      </c>
      <c r="S28" s="39">
        <f>Z28*(1/Overview!$C$58)</f>
        <v>1312004.3087127677</v>
      </c>
      <c r="T28" s="40">
        <v>17.205479452054799</v>
      </c>
      <c r="U28" s="38" t="s">
        <v>41</v>
      </c>
      <c r="V28" s="38" t="s">
        <v>42</v>
      </c>
      <c r="W28" s="39">
        <v>2000000000</v>
      </c>
      <c r="X28" s="38">
        <v>10</v>
      </c>
      <c r="Y28" s="39">
        <f>D28/Overview!$C$58</f>
        <v>1637345.4102072809</v>
      </c>
      <c r="Z28" s="39">
        <f t="shared" si="1"/>
        <v>1506443.347264</v>
      </c>
      <c r="AA28" s="40">
        <v>6.7149166158998463</v>
      </c>
    </row>
    <row r="29" spans="1:27" ht="15.5" x14ac:dyDescent="0.35">
      <c r="A29" s="38" t="s">
        <v>521</v>
      </c>
      <c r="B29" s="38" t="s">
        <v>522</v>
      </c>
      <c r="C29" s="38" t="s">
        <v>523</v>
      </c>
      <c r="D29" s="39">
        <v>1266000</v>
      </c>
      <c r="E29" s="38" t="s">
        <v>524</v>
      </c>
      <c r="F29" s="38" t="s">
        <v>525</v>
      </c>
      <c r="G29" s="38" t="s">
        <v>29</v>
      </c>
      <c r="H29" s="38" t="s">
        <v>222</v>
      </c>
      <c r="I29" s="38" t="s">
        <v>130</v>
      </c>
      <c r="J29" s="38" t="s">
        <v>20</v>
      </c>
      <c r="K29" s="38" t="s">
        <v>19</v>
      </c>
      <c r="L29" s="38" t="s">
        <v>20</v>
      </c>
      <c r="M29" s="38" t="s">
        <v>45</v>
      </c>
      <c r="N29" s="40">
        <v>13.52665992832557</v>
      </c>
      <c r="O29" s="38" t="s">
        <v>73</v>
      </c>
      <c r="P29" s="41">
        <v>95.095785574839581</v>
      </c>
      <c r="Q29" s="42">
        <v>138.34460000000001</v>
      </c>
      <c r="R29" s="40">
        <f>AA29+Overview!$C$59*100</f>
        <v>4.1755460000000166</v>
      </c>
      <c r="S29" s="39">
        <f>Z29*(1/Overview!$C$58)</f>
        <v>1048521.725637928</v>
      </c>
      <c r="T29" s="40">
        <v>28.468493150684932</v>
      </c>
      <c r="U29" s="38" t="s">
        <v>41</v>
      </c>
      <c r="V29" s="38" t="s">
        <v>42</v>
      </c>
      <c r="W29" s="39">
        <v>1500000000</v>
      </c>
      <c r="X29" s="38">
        <v>9</v>
      </c>
      <c r="Y29" s="39">
        <f>D29/Overview!$C$58</f>
        <v>1102595.3666608604</v>
      </c>
      <c r="Z29" s="39">
        <f t="shared" si="1"/>
        <v>1203912.645377469</v>
      </c>
      <c r="AA29" s="40">
        <v>6.1155460000000161</v>
      </c>
    </row>
    <row r="30" spans="1:27" ht="15.5" x14ac:dyDescent="0.35">
      <c r="A30" s="38" t="s">
        <v>526</v>
      </c>
      <c r="B30" s="38" t="s">
        <v>527</v>
      </c>
      <c r="C30" s="38" t="s">
        <v>528</v>
      </c>
      <c r="D30" s="39">
        <v>1561000</v>
      </c>
      <c r="E30" s="38" t="s">
        <v>210</v>
      </c>
      <c r="F30" s="38" t="s">
        <v>529</v>
      </c>
      <c r="G30" s="38" t="s">
        <v>31</v>
      </c>
      <c r="H30" s="38" t="s">
        <v>509</v>
      </c>
      <c r="I30" s="38" t="s">
        <v>130</v>
      </c>
      <c r="J30" s="38" t="s">
        <v>20</v>
      </c>
      <c r="K30" s="38" t="s">
        <v>87</v>
      </c>
      <c r="L30" s="38" t="s">
        <v>20</v>
      </c>
      <c r="M30" s="38" t="s">
        <v>45</v>
      </c>
      <c r="N30" s="40">
        <v>3.3342769875829532</v>
      </c>
      <c r="O30" s="38" t="s">
        <v>73</v>
      </c>
      <c r="P30" s="41">
        <v>95.848512098723063</v>
      </c>
      <c r="Q30" s="42">
        <v>98.99730000000001</v>
      </c>
      <c r="R30" s="40">
        <f>AA30+Overview!$C$59*100</f>
        <v>2.8100729999999881</v>
      </c>
      <c r="S30" s="39">
        <f>Z30*(1/Overview!$C$58)</f>
        <v>1303078.9704416189</v>
      </c>
      <c r="T30" s="40">
        <v>3.6547945205479451</v>
      </c>
      <c r="U30" s="38" t="s">
        <v>38</v>
      </c>
      <c r="V30" s="38" t="s">
        <v>42</v>
      </c>
      <c r="W30" s="39">
        <v>3000000000</v>
      </c>
      <c r="X30" s="38">
        <v>9</v>
      </c>
      <c r="Y30" s="39">
        <f>D30/Overview!$C$58</f>
        <v>1359519.247517854</v>
      </c>
      <c r="Z30" s="39">
        <f t="shared" si="1"/>
        <v>1496195.2738610669</v>
      </c>
      <c r="AA30" s="40">
        <v>4.750072999999988</v>
      </c>
    </row>
    <row r="31" spans="1:27" ht="15.5" x14ac:dyDescent="0.35">
      <c r="A31" s="38" t="s">
        <v>530</v>
      </c>
      <c r="B31" s="38" t="s">
        <v>531</v>
      </c>
      <c r="C31" s="38" t="s">
        <v>532</v>
      </c>
      <c r="D31" s="39">
        <v>1219000</v>
      </c>
      <c r="E31" s="38" t="s">
        <v>533</v>
      </c>
      <c r="F31" s="38" t="s">
        <v>534</v>
      </c>
      <c r="G31" s="38" t="s">
        <v>30</v>
      </c>
      <c r="H31" s="38" t="s">
        <v>118</v>
      </c>
      <c r="I31" s="38" t="s">
        <v>130</v>
      </c>
      <c r="J31" s="38" t="s">
        <v>20</v>
      </c>
      <c r="K31" s="38" t="s">
        <v>20</v>
      </c>
      <c r="L31" s="38" t="s">
        <v>20</v>
      </c>
      <c r="M31" s="38" t="s">
        <v>45</v>
      </c>
      <c r="N31" s="40">
        <v>6.7324688699786108</v>
      </c>
      <c r="O31" s="38" t="s">
        <v>73</v>
      </c>
      <c r="P31" s="41">
        <v>100.6358907282374</v>
      </c>
      <c r="Q31" s="42">
        <v>120.49809999999999</v>
      </c>
      <c r="R31" s="40">
        <f>AA31+Overview!$C$59*100</f>
        <v>3.416280999999985</v>
      </c>
      <c r="S31" s="39">
        <f>Z31*(1/Overview!$C$58)</f>
        <v>1068412.7399209319</v>
      </c>
      <c r="T31" s="40">
        <v>8.8410958904109584</v>
      </c>
      <c r="U31" s="38" t="s">
        <v>40</v>
      </c>
      <c r="V31" s="38" t="s">
        <v>42</v>
      </c>
      <c r="W31" s="39">
        <v>750000000</v>
      </c>
      <c r="X31" s="38">
        <v>9</v>
      </c>
      <c r="Y31" s="39">
        <f>D31/Overview!$C$58</f>
        <v>1061661.7314056784</v>
      </c>
      <c r="Z31" s="39">
        <f t="shared" si="1"/>
        <v>1226751.5079772139</v>
      </c>
      <c r="AA31" s="40">
        <v>5.356280999999985</v>
      </c>
    </row>
    <row r="32" spans="1:27" ht="15.5" x14ac:dyDescent="0.35">
      <c r="A32" s="38" t="s">
        <v>535</v>
      </c>
      <c r="B32" s="38" t="s">
        <v>536</v>
      </c>
      <c r="C32" s="38" t="s">
        <v>537</v>
      </c>
      <c r="D32" s="39">
        <v>1533000</v>
      </c>
      <c r="E32" s="38" t="s">
        <v>538</v>
      </c>
      <c r="F32" s="38" t="s">
        <v>539</v>
      </c>
      <c r="G32" s="38" t="s">
        <v>26</v>
      </c>
      <c r="H32" s="38" t="s">
        <v>79</v>
      </c>
      <c r="I32" s="38" t="s">
        <v>119</v>
      </c>
      <c r="J32" s="38" t="s">
        <v>19</v>
      </c>
      <c r="K32" s="38" t="s">
        <v>17</v>
      </c>
      <c r="L32" s="38" t="s">
        <v>17</v>
      </c>
      <c r="M32" s="38" t="s">
        <v>45</v>
      </c>
      <c r="N32" s="40">
        <v>0.93334874475797358</v>
      </c>
      <c r="O32" s="38" t="s">
        <v>73</v>
      </c>
      <c r="P32" s="41">
        <v>97.69892402396853</v>
      </c>
      <c r="Q32" s="42">
        <v>67.575900000000004</v>
      </c>
      <c r="R32" s="40">
        <f>AA32+Overview!$C$59*100</f>
        <v>2.3683036983214429</v>
      </c>
      <c r="S32" s="39">
        <f>Z32*(1/Overview!$C$58)</f>
        <v>1304410.8215358276</v>
      </c>
      <c r="T32" s="40">
        <v>1.9589041095890409</v>
      </c>
      <c r="U32" s="38" t="s">
        <v>37</v>
      </c>
      <c r="V32" s="38" t="s">
        <v>42</v>
      </c>
      <c r="W32" s="39">
        <v>4250000000</v>
      </c>
      <c r="X32" s="38">
        <v>6</v>
      </c>
      <c r="Y32" s="39">
        <f>D32/Overview!$C$58</f>
        <v>1335133.2520466817</v>
      </c>
      <c r="Z32" s="39">
        <f t="shared" si="1"/>
        <v>1497724.5052874375</v>
      </c>
      <c r="AA32" s="40">
        <v>4.3083036983214429</v>
      </c>
    </row>
    <row r="33" spans="1:27" ht="15.5" x14ac:dyDescent="0.35">
      <c r="A33" s="38" t="s">
        <v>540</v>
      </c>
      <c r="B33" s="38" t="s">
        <v>541</v>
      </c>
      <c r="C33" s="38" t="s">
        <v>542</v>
      </c>
      <c r="D33" s="39">
        <v>977000</v>
      </c>
      <c r="E33" s="38" t="s">
        <v>543</v>
      </c>
      <c r="F33" s="38" t="s">
        <v>544</v>
      </c>
      <c r="G33" s="38" t="s">
        <v>28</v>
      </c>
      <c r="H33" s="38" t="s">
        <v>474</v>
      </c>
      <c r="I33" s="38" t="s">
        <v>130</v>
      </c>
      <c r="J33" s="38" t="s">
        <v>20</v>
      </c>
      <c r="K33" s="38" t="s">
        <v>20</v>
      </c>
      <c r="L33" s="38" t="s">
        <v>20</v>
      </c>
      <c r="M33" s="38" t="s">
        <v>45</v>
      </c>
      <c r="N33" s="40">
        <v>5.663848677488394</v>
      </c>
      <c r="O33" s="38" t="s">
        <v>73</v>
      </c>
      <c r="P33" s="41">
        <v>85.728483874393092</v>
      </c>
      <c r="Q33" s="42">
        <v>67.338800000000006</v>
      </c>
      <c r="R33" s="40">
        <f>AA33+Overview!$C$59*100</f>
        <v>2.8846879636995504</v>
      </c>
      <c r="S33" s="39">
        <f>Z33*(1/Overview!$C$58)</f>
        <v>729461.14566523302</v>
      </c>
      <c r="T33" s="40">
        <v>6.2493150684931509</v>
      </c>
      <c r="U33" s="38" t="s">
        <v>39</v>
      </c>
      <c r="V33" s="38" t="s">
        <v>42</v>
      </c>
      <c r="W33" s="39">
        <v>750000000</v>
      </c>
      <c r="X33" s="38">
        <v>9</v>
      </c>
      <c r="Y33" s="39">
        <f>D33/Overview!$C$58</f>
        <v>850897.0562619752</v>
      </c>
      <c r="Z33" s="39">
        <f t="shared" si="1"/>
        <v>837567.28745282057</v>
      </c>
      <c r="AA33" s="40">
        <v>4.8246879636995503</v>
      </c>
    </row>
    <row r="34" spans="1:27" ht="15.5" x14ac:dyDescent="0.35">
      <c r="A34" s="38" t="s">
        <v>545</v>
      </c>
      <c r="B34" s="38" t="s">
        <v>546</v>
      </c>
      <c r="C34" s="38" t="s">
        <v>547</v>
      </c>
      <c r="D34" s="39">
        <v>1279000</v>
      </c>
      <c r="E34" s="38" t="s">
        <v>548</v>
      </c>
      <c r="F34" s="38" t="s">
        <v>549</v>
      </c>
      <c r="G34" s="38" t="s">
        <v>26</v>
      </c>
      <c r="H34" s="38" t="s">
        <v>79</v>
      </c>
      <c r="I34" s="38" t="s">
        <v>98</v>
      </c>
      <c r="J34" s="38" t="s">
        <v>18</v>
      </c>
      <c r="K34" s="38" t="s">
        <v>16</v>
      </c>
      <c r="L34" s="38" t="s">
        <v>18</v>
      </c>
      <c r="M34" s="38" t="s">
        <v>45</v>
      </c>
      <c r="N34" s="40">
        <v>0.39593435539753719</v>
      </c>
      <c r="O34" s="38" t="s">
        <v>73</v>
      </c>
      <c r="P34" s="41">
        <v>99.215120006538854</v>
      </c>
      <c r="Q34" s="42">
        <v>65.871399999999994</v>
      </c>
      <c r="R34" s="40">
        <f>AA34+Overview!$C$59*100</f>
        <v>2.351258701700695</v>
      </c>
      <c r="S34" s="39">
        <f>Z34*(1/Overview!$C$58)</f>
        <v>1105174.5208880263</v>
      </c>
      <c r="T34" s="40">
        <v>1.402739726027397</v>
      </c>
      <c r="U34" s="38" t="s">
        <v>37</v>
      </c>
      <c r="V34" s="38" t="s">
        <v>81</v>
      </c>
      <c r="W34" s="39">
        <v>1100000000</v>
      </c>
      <c r="X34" s="38">
        <v>7</v>
      </c>
      <c r="Y34" s="39">
        <f>D34/Overview!$C$58</f>
        <v>1113917.4359867617</v>
      </c>
      <c r="Z34" s="39">
        <f t="shared" si="1"/>
        <v>1268961.384883632</v>
      </c>
      <c r="AA34" s="40">
        <v>4.2912587017006949</v>
      </c>
    </row>
    <row r="35" spans="1:27" ht="15.5" x14ac:dyDescent="0.35">
      <c r="A35" s="38" t="s">
        <v>550</v>
      </c>
      <c r="B35" s="38" t="s">
        <v>551</v>
      </c>
      <c r="C35" s="38" t="s">
        <v>552</v>
      </c>
      <c r="D35" s="39">
        <v>1535000</v>
      </c>
      <c r="E35" s="38" t="s">
        <v>240</v>
      </c>
      <c r="F35" s="38" t="s">
        <v>241</v>
      </c>
      <c r="G35" s="38" t="s">
        <v>26</v>
      </c>
      <c r="H35" s="38" t="s">
        <v>79</v>
      </c>
      <c r="I35" s="38" t="s">
        <v>104</v>
      </c>
      <c r="J35" s="38" t="s">
        <v>17</v>
      </c>
      <c r="K35" s="38" t="s">
        <v>15</v>
      </c>
      <c r="L35" s="38" t="s">
        <v>16</v>
      </c>
      <c r="M35" s="38" t="s">
        <v>45</v>
      </c>
      <c r="N35" s="40">
        <v>0.85610905528511483</v>
      </c>
      <c r="O35" s="38" t="s">
        <v>73</v>
      </c>
      <c r="P35" s="41">
        <v>97.560624754864094</v>
      </c>
      <c r="Q35" s="42">
        <v>56.5869</v>
      </c>
      <c r="R35" s="40">
        <f>AA35+Overview!$C$59*100</f>
        <v>2.2584136986089782</v>
      </c>
      <c r="S35" s="39">
        <f>Z35*(1/Overview!$C$58)</f>
        <v>1304263.708401989</v>
      </c>
      <c r="T35" s="40">
        <v>1.879452054794521</v>
      </c>
      <c r="U35" s="38" t="s">
        <v>37</v>
      </c>
      <c r="V35" s="38" t="s">
        <v>42</v>
      </c>
      <c r="W35" s="39">
        <v>2750000000</v>
      </c>
      <c r="X35" s="38">
        <v>5</v>
      </c>
      <c r="Y35" s="39">
        <f>D35/Overview!$C$58</f>
        <v>1336875.1088660511</v>
      </c>
      <c r="Z35" s="39">
        <f t="shared" si="1"/>
        <v>1497555.5899871639</v>
      </c>
      <c r="AA35" s="40">
        <v>4.1984136986089782</v>
      </c>
    </row>
    <row r="36" spans="1:27" ht="15.5" x14ac:dyDescent="0.35">
      <c r="A36" s="38" t="s">
        <v>553</v>
      </c>
      <c r="B36" s="38" t="s">
        <v>554</v>
      </c>
      <c r="C36" s="38" t="s">
        <v>555</v>
      </c>
      <c r="D36" s="39">
        <v>1811000</v>
      </c>
      <c r="E36" s="38" t="s">
        <v>556</v>
      </c>
      <c r="F36" s="38" t="s">
        <v>557</v>
      </c>
      <c r="G36" s="38" t="s">
        <v>28</v>
      </c>
      <c r="H36" s="38" t="s">
        <v>265</v>
      </c>
      <c r="I36" s="38" t="s">
        <v>130</v>
      </c>
      <c r="J36" s="38" t="s">
        <v>20</v>
      </c>
      <c r="K36" s="38" t="s">
        <v>20</v>
      </c>
      <c r="L36" s="38" t="s">
        <v>20</v>
      </c>
      <c r="M36" s="38" t="s">
        <v>45</v>
      </c>
      <c r="N36" s="40">
        <v>12.357999689772161</v>
      </c>
      <c r="O36" s="38" t="s">
        <v>73</v>
      </c>
      <c r="P36" s="41">
        <v>82.62837184555589</v>
      </c>
      <c r="Q36" s="42">
        <v>112.8006</v>
      </c>
      <c r="R36" s="40">
        <f>AA36+Overview!$C$59*100</f>
        <v>3.8961060000000187</v>
      </c>
      <c r="S36" s="39">
        <f>Z36*(1/Overview!$C$58)</f>
        <v>1303257.1103666758</v>
      </c>
      <c r="T36" s="40">
        <v>20.583561643835619</v>
      </c>
      <c r="U36" s="38" t="s">
        <v>41</v>
      </c>
      <c r="V36" s="38" t="s">
        <v>42</v>
      </c>
      <c r="W36" s="39">
        <v>2786150000</v>
      </c>
      <c r="X36" s="38">
        <v>9</v>
      </c>
      <c r="Y36" s="39">
        <f>D36/Overview!$C$58</f>
        <v>1577251.3499390348</v>
      </c>
      <c r="Z36" s="39">
        <f t="shared" si="1"/>
        <v>1496399.8141230172</v>
      </c>
      <c r="AA36" s="40">
        <v>5.8361060000000187</v>
      </c>
    </row>
    <row r="37" spans="1:27" ht="15.5" x14ac:dyDescent="0.35">
      <c r="A37" s="38" t="s">
        <v>558</v>
      </c>
      <c r="B37" s="38" t="s">
        <v>559</v>
      </c>
      <c r="C37" s="38" t="s">
        <v>560</v>
      </c>
      <c r="D37" s="39">
        <v>1536000</v>
      </c>
      <c r="E37" s="38" t="s">
        <v>561</v>
      </c>
      <c r="F37" s="38" t="s">
        <v>562</v>
      </c>
      <c r="G37" s="38" t="s">
        <v>28</v>
      </c>
      <c r="H37" s="38" t="s">
        <v>70</v>
      </c>
      <c r="I37" s="38" t="s">
        <v>104</v>
      </c>
      <c r="J37" s="38" t="s">
        <v>16</v>
      </c>
      <c r="K37" s="38" t="s">
        <v>72</v>
      </c>
      <c r="L37" s="38" t="s">
        <v>16</v>
      </c>
      <c r="M37" s="38" t="s">
        <v>45</v>
      </c>
      <c r="N37" s="40">
        <v>4.0067423264506212</v>
      </c>
      <c r="O37" s="38" t="s">
        <v>73</v>
      </c>
      <c r="P37" s="41">
        <v>97.566291073779439</v>
      </c>
      <c r="Q37" s="42">
        <v>30.047899999999998</v>
      </c>
      <c r="R37" s="40">
        <f>AA37+Overview!$C$59*100</f>
        <v>2.1205789999999864</v>
      </c>
      <c r="S37" s="39">
        <f>Z37*(1/Overview!$C$58)</f>
        <v>1305189.1925563945</v>
      </c>
      <c r="T37" s="40">
        <v>4.3863013698630144</v>
      </c>
      <c r="U37" s="38" t="s">
        <v>38</v>
      </c>
      <c r="V37" s="38" t="s">
        <v>42</v>
      </c>
      <c r="W37" s="39">
        <v>1250000000</v>
      </c>
      <c r="X37" s="38">
        <v>5</v>
      </c>
      <c r="Y37" s="39">
        <f>D37/Overview!$C$58</f>
        <v>1337746.0372757358</v>
      </c>
      <c r="Z37" s="39">
        <f t="shared" si="1"/>
        <v>1498618.2308932522</v>
      </c>
      <c r="AA37" s="40">
        <v>4.0605789999999864</v>
      </c>
    </row>
    <row r="38" spans="1:27" ht="15.5" x14ac:dyDescent="0.35">
      <c r="A38" s="38" t="s">
        <v>563</v>
      </c>
      <c r="B38" s="38" t="s">
        <v>564</v>
      </c>
      <c r="C38" s="38" t="s">
        <v>565</v>
      </c>
      <c r="D38" s="39">
        <v>1615000</v>
      </c>
      <c r="E38" s="38" t="s">
        <v>566</v>
      </c>
      <c r="F38" s="38" t="s">
        <v>567</v>
      </c>
      <c r="G38" s="38" t="s">
        <v>28</v>
      </c>
      <c r="H38" s="38" t="s">
        <v>373</v>
      </c>
      <c r="I38" s="38" t="s">
        <v>119</v>
      </c>
      <c r="J38" s="38" t="s">
        <v>17</v>
      </c>
      <c r="K38" s="38" t="s">
        <v>87</v>
      </c>
      <c r="L38" s="38" t="s">
        <v>17</v>
      </c>
      <c r="M38" s="38" t="s">
        <v>45</v>
      </c>
      <c r="N38" s="40">
        <v>14.063756690599551</v>
      </c>
      <c r="O38" s="38" t="s">
        <v>73</v>
      </c>
      <c r="P38" s="41">
        <v>91.487414323863689</v>
      </c>
      <c r="Q38" s="42">
        <v>93.306399999999996</v>
      </c>
      <c r="R38" s="40">
        <f>AA38+Overview!$C$59*100</f>
        <v>3.7251640000000115</v>
      </c>
      <c r="S38" s="39">
        <f>Z38*(1/Overview!$C$58)</f>
        <v>1286815.6604514881</v>
      </c>
      <c r="T38" s="40">
        <v>27.394520547945209</v>
      </c>
      <c r="U38" s="38" t="s">
        <v>41</v>
      </c>
      <c r="V38" s="38" t="s">
        <v>42</v>
      </c>
      <c r="W38" s="39">
        <v>1500000000</v>
      </c>
      <c r="X38" s="38">
        <v>6</v>
      </c>
      <c r="Y38" s="39">
        <f>D38/Overview!$C$58</f>
        <v>1406549.3816408289</v>
      </c>
      <c r="Z38" s="39">
        <f t="shared" si="1"/>
        <v>1477521.7413303987</v>
      </c>
      <c r="AA38" s="40">
        <v>5.6651640000000114</v>
      </c>
    </row>
    <row r="39" spans="1:27" ht="15.5" x14ac:dyDescent="0.35">
      <c r="A39" s="38" t="s">
        <v>568</v>
      </c>
      <c r="B39" s="38" t="s">
        <v>569</v>
      </c>
      <c r="C39" s="38" t="s">
        <v>570</v>
      </c>
      <c r="D39" s="39">
        <v>1481000</v>
      </c>
      <c r="E39" s="38" t="s">
        <v>571</v>
      </c>
      <c r="F39" s="38" t="s">
        <v>572</v>
      </c>
      <c r="G39" s="38" t="s">
        <v>26</v>
      </c>
      <c r="H39" s="38" t="s">
        <v>79</v>
      </c>
      <c r="I39" s="38" t="s">
        <v>71</v>
      </c>
      <c r="J39" s="38" t="s">
        <v>18</v>
      </c>
      <c r="K39" s="38" t="s">
        <v>16</v>
      </c>
      <c r="L39" s="38" t="s">
        <v>18</v>
      </c>
      <c r="M39" s="38" t="s">
        <v>45</v>
      </c>
      <c r="N39" s="40">
        <v>1.63</v>
      </c>
      <c r="O39" s="38" t="s">
        <v>73</v>
      </c>
      <c r="P39" s="41">
        <v>101.256653</v>
      </c>
      <c r="Q39" s="42">
        <v>63.651000000000003</v>
      </c>
      <c r="R39" s="40">
        <f>AA39+Overview!$C$59*100</f>
        <v>2.3199999999999998</v>
      </c>
      <c r="S39" s="39">
        <f>Z39*(1/Overview!$C$58)</f>
        <v>1306053.850313534</v>
      </c>
      <c r="T39" s="40">
        <v>1.753424657534246</v>
      </c>
      <c r="U39" s="38" t="s">
        <v>37</v>
      </c>
      <c r="V39" s="38" t="s">
        <v>131</v>
      </c>
      <c r="W39" s="39">
        <v>1500000000</v>
      </c>
      <c r="X39" s="38">
        <v>7</v>
      </c>
      <c r="Y39" s="39">
        <f>D39/Overview!$C$58</f>
        <v>1289844.9747430759</v>
      </c>
      <c r="Z39" s="44">
        <f t="shared" si="1"/>
        <v>1499611.0309299999</v>
      </c>
      <c r="AA39" s="43">
        <v>4.26</v>
      </c>
    </row>
    <row r="40" spans="1:27" ht="15.5" x14ac:dyDescent="0.35">
      <c r="A40" s="38" t="s">
        <v>573</v>
      </c>
      <c r="B40" s="38" t="s">
        <v>574</v>
      </c>
      <c r="C40" s="38" t="s">
        <v>575</v>
      </c>
      <c r="D40" s="39">
        <v>1507000</v>
      </c>
      <c r="E40" s="38" t="s">
        <v>576</v>
      </c>
      <c r="F40" s="38" t="s">
        <v>577</v>
      </c>
      <c r="G40" s="38" t="s">
        <v>32</v>
      </c>
      <c r="H40" s="38" t="s">
        <v>342</v>
      </c>
      <c r="I40" s="38" t="s">
        <v>130</v>
      </c>
      <c r="J40" s="38" t="s">
        <v>20</v>
      </c>
      <c r="K40" s="38" t="s">
        <v>20</v>
      </c>
      <c r="L40" s="38" t="s">
        <v>20</v>
      </c>
      <c r="M40" s="38" t="s">
        <v>45</v>
      </c>
      <c r="N40" s="40">
        <v>6.5317982021062981</v>
      </c>
      <c r="O40" s="38" t="s">
        <v>73</v>
      </c>
      <c r="P40" s="41">
        <v>99.288645798662372</v>
      </c>
      <c r="Q40" s="42">
        <v>145.5532</v>
      </c>
      <c r="R40" s="40">
        <f>AA40+Overview!$C$59*100</f>
        <v>3.6668321275917655</v>
      </c>
      <c r="S40" s="39">
        <f>Z40*(1/Overview!$C$58)</f>
        <v>1303152.6669446456</v>
      </c>
      <c r="T40" s="40">
        <v>8.3232876712328761</v>
      </c>
      <c r="U40" s="38" t="s">
        <v>40</v>
      </c>
      <c r="V40" s="38" t="s">
        <v>42</v>
      </c>
      <c r="W40" s="39">
        <v>750000000</v>
      </c>
      <c r="X40" s="38">
        <v>9</v>
      </c>
      <c r="Y40" s="39">
        <f>D40/Overview!$C$58</f>
        <v>1312489.1133948788</v>
      </c>
      <c r="Z40" s="39">
        <f t="shared" si="1"/>
        <v>1496279.8921858422</v>
      </c>
      <c r="AA40" s="40">
        <v>5.6068321275917654</v>
      </c>
    </row>
    <row r="41" spans="1:27" ht="15.5" x14ac:dyDescent="0.35">
      <c r="A41" s="38" t="s">
        <v>578</v>
      </c>
      <c r="B41" s="38" t="s">
        <v>579</v>
      </c>
      <c r="C41" s="38" t="s">
        <v>580</v>
      </c>
      <c r="D41" s="39">
        <v>1555000</v>
      </c>
      <c r="E41" s="38" t="s">
        <v>581</v>
      </c>
      <c r="F41" s="38" t="s">
        <v>582</v>
      </c>
      <c r="G41" s="38" t="s">
        <v>27</v>
      </c>
      <c r="H41" s="38" t="s">
        <v>270</v>
      </c>
      <c r="I41" s="38" t="s">
        <v>80</v>
      </c>
      <c r="J41" s="38" t="s">
        <v>15</v>
      </c>
      <c r="K41" s="38" t="s">
        <v>87</v>
      </c>
      <c r="L41" s="38" t="s">
        <v>15</v>
      </c>
      <c r="M41" s="38" t="s">
        <v>45</v>
      </c>
      <c r="N41" s="40">
        <v>14.06228610917214</v>
      </c>
      <c r="O41" s="38" t="s">
        <v>73</v>
      </c>
      <c r="P41" s="41">
        <v>96.078791839794647</v>
      </c>
      <c r="Q41" s="42">
        <v>94.541600000000017</v>
      </c>
      <c r="R41" s="40">
        <f>AA41+Overview!$C$59*100</f>
        <v>3.7375159999999936</v>
      </c>
      <c r="S41" s="39">
        <f>Z41*(1/Overview!$C$58)</f>
        <v>1301189.0028817337</v>
      </c>
      <c r="T41" s="40">
        <v>28.794520547945201</v>
      </c>
      <c r="U41" s="38" t="s">
        <v>41</v>
      </c>
      <c r="V41" s="38" t="s">
        <v>42</v>
      </c>
      <c r="W41" s="39">
        <v>3250000000</v>
      </c>
      <c r="X41" s="38">
        <v>4</v>
      </c>
      <c r="Y41" s="39">
        <f>D41/Overview!$C$58</f>
        <v>1354293.6770597456</v>
      </c>
      <c r="Z41" s="39">
        <f t="shared" si="1"/>
        <v>1494025.2131088069</v>
      </c>
      <c r="AA41" s="40">
        <v>5.6775159999999936</v>
      </c>
    </row>
    <row r="42" spans="1:27" ht="15.5" x14ac:dyDescent="0.35">
      <c r="A42" s="38" t="s">
        <v>583</v>
      </c>
      <c r="B42" s="38" t="s">
        <v>584</v>
      </c>
      <c r="C42" s="38" t="s">
        <v>585</v>
      </c>
      <c r="D42" s="39">
        <v>1496000</v>
      </c>
      <c r="E42" s="38" t="s">
        <v>586</v>
      </c>
      <c r="F42" s="38" t="s">
        <v>587</v>
      </c>
      <c r="G42" s="38" t="s">
        <v>26</v>
      </c>
      <c r="H42" s="38" t="s">
        <v>79</v>
      </c>
      <c r="I42" s="38" t="s">
        <v>80</v>
      </c>
      <c r="J42" s="38" t="s">
        <v>16</v>
      </c>
      <c r="K42" s="38" t="s">
        <v>15</v>
      </c>
      <c r="L42" s="38" t="s">
        <v>15</v>
      </c>
      <c r="M42" s="38" t="s">
        <v>45</v>
      </c>
      <c r="N42" s="40">
        <v>0.9117070711969848</v>
      </c>
      <c r="O42" s="38" t="s">
        <v>73</v>
      </c>
      <c r="P42" s="41">
        <v>100.2331129568602</v>
      </c>
      <c r="Q42" s="42">
        <v>55.732700000000001</v>
      </c>
      <c r="R42" s="40">
        <f>AA42+Overview!$C$59*100</f>
        <v>2.2493561472700745</v>
      </c>
      <c r="S42" s="39">
        <f>Z42*(1/Overview!$C$58)</f>
        <v>1305946.1503524024</v>
      </c>
      <c r="T42" s="40">
        <v>1.942465753424657</v>
      </c>
      <c r="U42" s="38" t="s">
        <v>37</v>
      </c>
      <c r="V42" s="38" t="s">
        <v>42</v>
      </c>
      <c r="W42" s="39">
        <v>1750000000</v>
      </c>
      <c r="X42" s="38">
        <v>4</v>
      </c>
      <c r="Y42" s="39">
        <f>D42/Overview!$C$58</f>
        <v>1302908.9008883468</v>
      </c>
      <c r="Z42" s="39">
        <f t="shared" si="1"/>
        <v>1499487.3698346284</v>
      </c>
      <c r="AA42" s="40">
        <v>4.1893561472700744</v>
      </c>
    </row>
    <row r="43" spans="1:27" ht="15.5" x14ac:dyDescent="0.35">
      <c r="A43" s="38" t="s">
        <v>588</v>
      </c>
      <c r="B43" s="38" t="s">
        <v>589</v>
      </c>
      <c r="C43" s="38" t="s">
        <v>590</v>
      </c>
      <c r="D43" s="39">
        <v>2412000</v>
      </c>
      <c r="E43" s="38" t="s">
        <v>591</v>
      </c>
      <c r="F43" s="38" t="s">
        <v>592</v>
      </c>
      <c r="G43" s="38" t="s">
        <v>31</v>
      </c>
      <c r="H43" s="38" t="s">
        <v>509</v>
      </c>
      <c r="I43" s="38" t="s">
        <v>593</v>
      </c>
      <c r="J43" s="38" t="s">
        <v>12</v>
      </c>
      <c r="K43" s="38" t="s">
        <v>72</v>
      </c>
      <c r="L43" s="38" t="s">
        <v>12</v>
      </c>
      <c r="M43" s="38" t="s">
        <v>45</v>
      </c>
      <c r="N43" s="40">
        <v>15.75427128092398</v>
      </c>
      <c r="O43" s="38" t="s">
        <v>73</v>
      </c>
      <c r="P43" s="41">
        <v>61.912278433555002</v>
      </c>
      <c r="Q43" s="42">
        <v>58.891000000000012</v>
      </c>
      <c r="R43" s="40">
        <f>AA43+Overview!$C$59*100</f>
        <v>3.3810099999999816</v>
      </c>
      <c r="S43" s="39">
        <f>Z43*(1/Overview!$C$58)</f>
        <v>1300578.4321697846</v>
      </c>
      <c r="T43" s="40">
        <v>24.586301369863008</v>
      </c>
      <c r="U43" s="38" t="s">
        <v>41</v>
      </c>
      <c r="V43" s="38" t="s">
        <v>42</v>
      </c>
      <c r="W43" s="39">
        <v>6249997000</v>
      </c>
      <c r="X43" s="38">
        <v>1</v>
      </c>
      <c r="Y43" s="39">
        <f>D43/Overview!$C$58</f>
        <v>2100679.3241595537</v>
      </c>
      <c r="Z43" s="39">
        <f t="shared" si="1"/>
        <v>1493324.1558173466</v>
      </c>
      <c r="AA43" s="40">
        <v>5.3210099999999816</v>
      </c>
    </row>
    <row r="44" spans="1:27" ht="15.5" x14ac:dyDescent="0.35">
      <c r="A44" s="38" t="s">
        <v>594</v>
      </c>
      <c r="B44" s="38" t="s">
        <v>595</v>
      </c>
      <c r="C44" s="38" t="s">
        <v>596</v>
      </c>
      <c r="D44" s="39">
        <v>734000</v>
      </c>
      <c r="E44" s="38" t="s">
        <v>268</v>
      </c>
      <c r="F44" s="38" t="s">
        <v>269</v>
      </c>
      <c r="G44" s="38" t="s">
        <v>27</v>
      </c>
      <c r="H44" s="38" t="s">
        <v>270</v>
      </c>
      <c r="I44" s="38" t="s">
        <v>71</v>
      </c>
      <c r="J44" s="38" t="s">
        <v>17</v>
      </c>
      <c r="K44" s="38" t="s">
        <v>87</v>
      </c>
      <c r="L44" s="38" t="s">
        <v>18</v>
      </c>
      <c r="M44" s="38" t="s">
        <v>45</v>
      </c>
      <c r="N44" s="40">
        <v>6.8556882916945723</v>
      </c>
      <c r="O44" s="38" t="s">
        <v>73</v>
      </c>
      <c r="P44" s="41">
        <v>102.12109484501239</v>
      </c>
      <c r="Q44" s="42">
        <v>44.484999999999999</v>
      </c>
      <c r="R44" s="40">
        <f>AA44+Overview!$C$59*100</f>
        <v>2.6561500000000211</v>
      </c>
      <c r="S44" s="39">
        <f>Z44*(1/Overview!$C$58)</f>
        <v>652820.79442814051</v>
      </c>
      <c r="T44" s="40">
        <v>8.7808219178082183</v>
      </c>
      <c r="U44" s="38" t="s">
        <v>40</v>
      </c>
      <c r="V44" s="38" t="s">
        <v>42</v>
      </c>
      <c r="W44" s="39">
        <v>1000000000</v>
      </c>
      <c r="X44" s="38">
        <v>7</v>
      </c>
      <c r="Y44" s="39">
        <f>D44/Overview!$C$58</f>
        <v>639261.45270858728</v>
      </c>
      <c r="Z44" s="39">
        <f t="shared" si="1"/>
        <v>749568.836162391</v>
      </c>
      <c r="AA44" s="40">
        <v>4.5961500000000211</v>
      </c>
    </row>
    <row r="45" spans="1:27" ht="15.5" x14ac:dyDescent="0.35">
      <c r="A45" s="38" t="s">
        <v>597</v>
      </c>
      <c r="B45" s="38" t="s">
        <v>598</v>
      </c>
      <c r="C45" s="38" t="s">
        <v>599</v>
      </c>
      <c r="D45" s="39">
        <v>1525000</v>
      </c>
      <c r="E45" s="38" t="s">
        <v>600</v>
      </c>
      <c r="F45" s="38" t="s">
        <v>601</v>
      </c>
      <c r="G45" s="38" t="s">
        <v>33</v>
      </c>
      <c r="H45" s="38" t="s">
        <v>427</v>
      </c>
      <c r="I45" s="38" t="s">
        <v>71</v>
      </c>
      <c r="J45" s="38" t="s">
        <v>19</v>
      </c>
      <c r="K45" s="38" t="s">
        <v>19</v>
      </c>
      <c r="L45" s="38" t="s">
        <v>19</v>
      </c>
      <c r="M45" s="38" t="s">
        <v>45</v>
      </c>
      <c r="N45" s="40">
        <v>2.0700376407683252</v>
      </c>
      <c r="O45" s="38" t="s">
        <v>73</v>
      </c>
      <c r="P45" s="41">
        <v>98.309426046273202</v>
      </c>
      <c r="Q45" s="42">
        <v>41.855200000000011</v>
      </c>
      <c r="R45" s="40">
        <f>AA45+Overview!$C$59*100</f>
        <v>2.1221520000000189</v>
      </c>
      <c r="S45" s="39">
        <f>Z45*(1/Overview!$C$58)</f>
        <v>1305712.1992733548</v>
      </c>
      <c r="T45" s="40">
        <v>2.194520547945205</v>
      </c>
      <c r="U45" s="38" t="s">
        <v>37</v>
      </c>
      <c r="V45" s="38" t="s">
        <v>42</v>
      </c>
      <c r="W45" s="39">
        <v>2000000000</v>
      </c>
      <c r="X45" s="38">
        <v>8</v>
      </c>
      <c r="Y45" s="39">
        <f>D45/Overview!$C$58</f>
        <v>1328165.8247692038</v>
      </c>
      <c r="Z45" s="39">
        <f t="shared" si="1"/>
        <v>1499218.7472056663</v>
      </c>
      <c r="AA45" s="40">
        <v>4.0621520000000189</v>
      </c>
    </row>
    <row r="46" spans="1:27" ht="15.5" x14ac:dyDescent="0.35">
      <c r="A46" s="38" t="s">
        <v>602</v>
      </c>
      <c r="B46" s="38" t="s">
        <v>603</v>
      </c>
      <c r="C46" s="38" t="s">
        <v>604</v>
      </c>
      <c r="D46" s="39">
        <v>2214000</v>
      </c>
      <c r="E46" s="38" t="s">
        <v>605</v>
      </c>
      <c r="F46" s="38" t="s">
        <v>606</v>
      </c>
      <c r="G46" s="38" t="s">
        <v>31</v>
      </c>
      <c r="H46" s="38" t="s">
        <v>509</v>
      </c>
      <c r="I46" s="38" t="s">
        <v>130</v>
      </c>
      <c r="J46" s="38" t="s">
        <v>20</v>
      </c>
      <c r="K46" s="38" t="s">
        <v>20</v>
      </c>
      <c r="L46" s="38" t="s">
        <v>20</v>
      </c>
      <c r="M46" s="38" t="s">
        <v>45</v>
      </c>
      <c r="N46" s="40">
        <v>13.97882903922693</v>
      </c>
      <c r="O46" s="38" t="s">
        <v>73</v>
      </c>
      <c r="P46" s="41">
        <v>67.408250271909111</v>
      </c>
      <c r="Q46" s="42">
        <v>147.8777</v>
      </c>
      <c r="R46" s="40">
        <f>AA46+Overview!$C$59*100</f>
        <v>4.270877000000004</v>
      </c>
      <c r="S46" s="39">
        <f>Z46*(1/Overview!$C$58)</f>
        <v>1299789.8110260123</v>
      </c>
      <c r="T46" s="40">
        <v>24.419178082191781</v>
      </c>
      <c r="U46" s="38" t="s">
        <v>41</v>
      </c>
      <c r="V46" s="38" t="s">
        <v>42</v>
      </c>
      <c r="W46" s="39">
        <v>4500000000</v>
      </c>
      <c r="X46" s="38">
        <v>9</v>
      </c>
      <c r="Y46" s="39">
        <f>D46/Overview!$C$58</f>
        <v>1928235.4990419785</v>
      </c>
      <c r="Z46" s="39">
        <f t="shared" si="1"/>
        <v>1492418.6610200675</v>
      </c>
      <c r="AA46" s="40">
        <v>6.2108770000000044</v>
      </c>
    </row>
    <row r="47" spans="1:27" ht="15.5" x14ac:dyDescent="0.35">
      <c r="A47" s="38" t="s">
        <v>607</v>
      </c>
      <c r="B47" s="38" t="s">
        <v>608</v>
      </c>
      <c r="C47" s="38" t="s">
        <v>609</v>
      </c>
      <c r="D47" s="39">
        <v>707000</v>
      </c>
      <c r="E47" s="38" t="s">
        <v>610</v>
      </c>
      <c r="F47" s="38" t="s">
        <v>611</v>
      </c>
      <c r="G47" s="38" t="s">
        <v>29</v>
      </c>
      <c r="H47" s="38" t="s">
        <v>222</v>
      </c>
      <c r="I47" s="38" t="s">
        <v>167</v>
      </c>
      <c r="J47" s="38" t="s">
        <v>22</v>
      </c>
      <c r="K47" s="38" t="s">
        <v>21</v>
      </c>
      <c r="L47" s="38" t="s">
        <v>21</v>
      </c>
      <c r="M47" s="38" t="s">
        <v>45</v>
      </c>
      <c r="N47" s="40">
        <v>7.7823628100541438</v>
      </c>
      <c r="O47" s="38" t="s">
        <v>347</v>
      </c>
      <c r="P47" s="41">
        <v>106.24380118000001</v>
      </c>
      <c r="Q47" s="42">
        <v>151.95770212125171</v>
      </c>
      <c r="R47" s="40">
        <f>AA47+Overview!$C$59*100</f>
        <v>3.7308770212125331</v>
      </c>
      <c r="S47" s="39">
        <f>Z47*(1/Overview!$C$58)</f>
        <v>654192.3657399409</v>
      </c>
      <c r="T47" s="40">
        <v>10.86849315068493</v>
      </c>
      <c r="U47" s="38" t="s">
        <v>41</v>
      </c>
      <c r="V47" s="38" t="s">
        <v>42</v>
      </c>
      <c r="W47" s="39">
        <v>1711555000</v>
      </c>
      <c r="X47" s="38">
        <v>10</v>
      </c>
      <c r="Y47" s="39">
        <f>D47/Overview!$C$58</f>
        <v>615746.3856470997</v>
      </c>
      <c r="Z47" s="39">
        <f t="shared" si="1"/>
        <v>751143.67434260016</v>
      </c>
      <c r="AA47" s="40">
        <v>5.670877021212533</v>
      </c>
    </row>
    <row r="48" spans="1:27" ht="15.5" x14ac:dyDescent="0.35">
      <c r="A48" s="38" t="s">
        <v>612</v>
      </c>
      <c r="B48" s="38" t="s">
        <v>613</v>
      </c>
      <c r="C48" s="38" t="s">
        <v>614</v>
      </c>
      <c r="D48" s="39">
        <v>1512000</v>
      </c>
      <c r="E48" s="38" t="s">
        <v>615</v>
      </c>
      <c r="F48" s="38" t="s">
        <v>616</v>
      </c>
      <c r="G48" s="38" t="s">
        <v>34</v>
      </c>
      <c r="H48" s="38" t="s">
        <v>200</v>
      </c>
      <c r="I48" s="38" t="s">
        <v>98</v>
      </c>
      <c r="J48" s="38" t="s">
        <v>20</v>
      </c>
      <c r="K48" s="38" t="s">
        <v>19</v>
      </c>
      <c r="L48" s="38" t="s">
        <v>19</v>
      </c>
      <c r="M48" s="38" t="s">
        <v>44</v>
      </c>
      <c r="N48" s="40">
        <v>4.0805326108252746</v>
      </c>
      <c r="O48" s="38" t="s">
        <v>73</v>
      </c>
      <c r="P48" s="41">
        <v>99.061078018876145</v>
      </c>
      <c r="Q48" s="42">
        <v>101.5958</v>
      </c>
      <c r="R48" s="40">
        <f>AA48+Overview!$C$59*100</f>
        <v>2.8360579999999831</v>
      </c>
      <c r="S48" s="39">
        <f>Z48*(1/Overview!$C$58)</f>
        <v>1304479.6199663884</v>
      </c>
      <c r="T48" s="40">
        <v>4.6547945205479451</v>
      </c>
      <c r="U48" s="38" t="s">
        <v>38</v>
      </c>
      <c r="V48" s="38" t="s">
        <v>42</v>
      </c>
      <c r="W48" s="39">
        <v>3100000000</v>
      </c>
      <c r="X48" s="38">
        <v>8</v>
      </c>
      <c r="Y48" s="39">
        <f>D48/Overview!$C$58</f>
        <v>1316843.7554433024</v>
      </c>
      <c r="Z48" s="39">
        <f t="shared" si="1"/>
        <v>1497803.4996454073</v>
      </c>
      <c r="AA48" s="40">
        <v>4.776057999999983</v>
      </c>
    </row>
    <row r="49" spans="1:27" ht="15.5" x14ac:dyDescent="0.35">
      <c r="A49" s="38" t="s">
        <v>617</v>
      </c>
      <c r="B49" s="38" t="s">
        <v>618</v>
      </c>
      <c r="C49" s="38" t="s">
        <v>619</v>
      </c>
      <c r="D49" s="39">
        <v>1553000</v>
      </c>
      <c r="E49" s="38" t="s">
        <v>620</v>
      </c>
      <c r="F49" s="38" t="s">
        <v>621</v>
      </c>
      <c r="G49" s="38" t="s">
        <v>28</v>
      </c>
      <c r="H49" s="38" t="s">
        <v>281</v>
      </c>
      <c r="I49" s="38" t="s">
        <v>119</v>
      </c>
      <c r="J49" s="38" t="s">
        <v>17</v>
      </c>
      <c r="K49" s="38" t="s">
        <v>72</v>
      </c>
      <c r="L49" s="38" t="s">
        <v>17</v>
      </c>
      <c r="M49" s="38" t="s">
        <v>45</v>
      </c>
      <c r="N49" s="40">
        <v>11.07940013546499</v>
      </c>
      <c r="O49" s="38" t="s">
        <v>73</v>
      </c>
      <c r="P49" s="41">
        <v>96.222689602471362</v>
      </c>
      <c r="Q49" s="42">
        <v>73.881299999999996</v>
      </c>
      <c r="R49" s="40">
        <f>AA49+Overview!$C$59*100</f>
        <v>3.5069130001205191</v>
      </c>
      <c r="S49" s="39">
        <f>Z49*(1/Overview!$C$58)</f>
        <v>1301461.7397024736</v>
      </c>
      <c r="T49" s="40">
        <v>17.545205479452051</v>
      </c>
      <c r="U49" s="38" t="s">
        <v>41</v>
      </c>
      <c r="V49" s="38" t="s">
        <v>42</v>
      </c>
      <c r="W49" s="39">
        <v>3000000000</v>
      </c>
      <c r="X49" s="38">
        <v>6</v>
      </c>
      <c r="Y49" s="39">
        <f>D49/Overview!$C$58</f>
        <v>1352551.8202403761</v>
      </c>
      <c r="Z49" s="39">
        <f t="shared" si="1"/>
        <v>1494338.3695263802</v>
      </c>
      <c r="AA49" s="40">
        <v>5.446913000120519</v>
      </c>
    </row>
    <row r="50" spans="1:27" ht="15.5" x14ac:dyDescent="0.35">
      <c r="A50" s="38" t="s">
        <v>622</v>
      </c>
      <c r="B50" s="38" t="s">
        <v>623</v>
      </c>
      <c r="C50" s="38" t="s">
        <v>624</v>
      </c>
      <c r="D50" s="39">
        <v>1451000</v>
      </c>
      <c r="E50" s="38" t="s">
        <v>625</v>
      </c>
      <c r="F50" s="38" t="s">
        <v>626</v>
      </c>
      <c r="G50" s="38" t="s">
        <v>26</v>
      </c>
      <c r="H50" s="38" t="s">
        <v>79</v>
      </c>
      <c r="I50" s="38" t="s">
        <v>71</v>
      </c>
      <c r="J50" s="38" t="s">
        <v>18</v>
      </c>
      <c r="K50" s="38" t="s">
        <v>17</v>
      </c>
      <c r="L50" s="38" t="s">
        <v>18</v>
      </c>
      <c r="M50" s="38" t="s">
        <v>45</v>
      </c>
      <c r="N50" s="40">
        <v>2.3588008543946599</v>
      </c>
      <c r="O50" s="38" t="s">
        <v>73</v>
      </c>
      <c r="P50" s="41">
        <v>104.4245894085158</v>
      </c>
      <c r="Q50" s="42">
        <v>52.894399999999997</v>
      </c>
      <c r="R50" s="40">
        <f>AA50+Overview!$C$59*100</f>
        <v>2.2325440625298314</v>
      </c>
      <c r="S50" s="39">
        <f>Z50*(1/Overview!$C$58)</f>
        <v>1319631.4164061698</v>
      </c>
      <c r="T50" s="40">
        <v>3.602739726027397</v>
      </c>
      <c r="U50" s="38" t="s">
        <v>38</v>
      </c>
      <c r="V50" s="38" t="s">
        <v>42</v>
      </c>
      <c r="W50" s="39">
        <v>2500000000</v>
      </c>
      <c r="X50" s="38">
        <v>7</v>
      </c>
      <c r="Y50" s="39">
        <f>D50/Overview!$C$58</f>
        <v>1263717.1224525343</v>
      </c>
      <c r="Z50" s="39">
        <f t="shared" si="1"/>
        <v>1515200.7923175641</v>
      </c>
      <c r="AA50" s="40">
        <v>4.1725440625298313</v>
      </c>
    </row>
    <row r="51" spans="1:27" ht="15.5" x14ac:dyDescent="0.35">
      <c r="A51" s="38" t="s">
        <v>627</v>
      </c>
      <c r="B51" s="38" t="s">
        <v>628</v>
      </c>
      <c r="C51" s="38" t="s">
        <v>629</v>
      </c>
      <c r="D51" s="39">
        <v>929000</v>
      </c>
      <c r="E51" s="38" t="s">
        <v>630</v>
      </c>
      <c r="F51" s="38" t="s">
        <v>631</v>
      </c>
      <c r="G51" s="38" t="s">
        <v>30</v>
      </c>
      <c r="H51" s="38" t="s">
        <v>227</v>
      </c>
      <c r="I51" s="38" t="s">
        <v>167</v>
      </c>
      <c r="J51" s="38" t="s">
        <v>21</v>
      </c>
      <c r="K51" s="38" t="s">
        <v>20</v>
      </c>
      <c r="L51" s="38" t="s">
        <v>21</v>
      </c>
      <c r="M51" s="38" t="s">
        <v>45</v>
      </c>
      <c r="N51" s="40">
        <v>3.2704681146615231</v>
      </c>
      <c r="O51" s="38" t="s">
        <v>73</v>
      </c>
      <c r="P51" s="41">
        <v>102.3722086143928</v>
      </c>
      <c r="Q51" s="42">
        <v>152.89160000000001</v>
      </c>
      <c r="R51" s="40">
        <f>AA51+Overview!$C$59*100</f>
        <v>3.349016000000002</v>
      </c>
      <c r="S51" s="39">
        <f>Z51*(1/Overview!$C$58)</f>
        <v>828285.85440490255</v>
      </c>
      <c r="T51" s="40">
        <v>7.2465753424657544</v>
      </c>
      <c r="U51" s="38" t="s">
        <v>39</v>
      </c>
      <c r="V51" s="38" t="s">
        <v>42</v>
      </c>
      <c r="W51" s="39">
        <v>2000000000</v>
      </c>
      <c r="X51" s="38">
        <v>10</v>
      </c>
      <c r="Y51" s="39">
        <f>D51/Overview!$C$58</f>
        <v>809092.49259710847</v>
      </c>
      <c r="Z51" s="39">
        <f t="shared" si="1"/>
        <v>951037.81802770915</v>
      </c>
      <c r="AA51" s="40">
        <v>5.2890160000000019</v>
      </c>
    </row>
    <row r="52" spans="1:27" ht="15.5" x14ac:dyDescent="0.35">
      <c r="A52" s="38" t="s">
        <v>632</v>
      </c>
      <c r="B52" s="38" t="s">
        <v>633</v>
      </c>
      <c r="C52" s="38" t="s">
        <v>634</v>
      </c>
      <c r="D52" s="39">
        <v>1467000</v>
      </c>
      <c r="E52" s="38" t="s">
        <v>635</v>
      </c>
      <c r="F52" s="38" t="s">
        <v>636</v>
      </c>
      <c r="G52" s="38" t="s">
        <v>26</v>
      </c>
      <c r="H52" s="38" t="s">
        <v>79</v>
      </c>
      <c r="I52" s="38" t="s">
        <v>98</v>
      </c>
      <c r="J52" s="38" t="s">
        <v>19</v>
      </c>
      <c r="K52" s="38" t="s">
        <v>18</v>
      </c>
      <c r="L52" s="38" t="s">
        <v>19</v>
      </c>
      <c r="M52" s="38" t="s">
        <v>45</v>
      </c>
      <c r="N52" s="40">
        <v>6.8912761299392571</v>
      </c>
      <c r="O52" s="38" t="s">
        <v>73</v>
      </c>
      <c r="P52" s="41">
        <v>101.96596870068559</v>
      </c>
      <c r="Q52" s="42">
        <v>106.8929</v>
      </c>
      <c r="R52" s="40">
        <f>AA52+Overview!$C$59*100</f>
        <v>3.2802289999999874</v>
      </c>
      <c r="S52" s="39">
        <f>Z52*(1/Overview!$C$58)</f>
        <v>1302770.2149791478</v>
      </c>
      <c r="T52" s="40">
        <v>9.8410958904109584</v>
      </c>
      <c r="U52" s="38" t="s">
        <v>40</v>
      </c>
      <c r="V52" s="38" t="s">
        <v>42</v>
      </c>
      <c r="W52" s="39">
        <v>1000000000</v>
      </c>
      <c r="X52" s="38">
        <v>8</v>
      </c>
      <c r="Y52" s="39">
        <f>D52/Overview!$C$58</f>
        <v>1277651.9770074899</v>
      </c>
      <c r="Z52" s="39">
        <f t="shared" si="1"/>
        <v>1495840.7608390576</v>
      </c>
      <c r="AA52" s="40">
        <v>5.2202289999999874</v>
      </c>
    </row>
    <row r="53" spans="1:27" ht="15.5" x14ac:dyDescent="0.35">
      <c r="A53" s="38" t="s">
        <v>637</v>
      </c>
      <c r="B53" s="38" t="s">
        <v>638</v>
      </c>
      <c r="C53" s="38" t="s">
        <v>639</v>
      </c>
      <c r="D53" s="39">
        <v>1047000</v>
      </c>
      <c r="E53" s="38" t="s">
        <v>640</v>
      </c>
      <c r="F53" s="38" t="s">
        <v>641</v>
      </c>
      <c r="G53" s="38" t="s">
        <v>33</v>
      </c>
      <c r="H53" s="38" t="s">
        <v>427</v>
      </c>
      <c r="I53" s="38" t="s">
        <v>98</v>
      </c>
      <c r="J53" s="38" t="s">
        <v>19</v>
      </c>
      <c r="K53" s="38" t="s">
        <v>87</v>
      </c>
      <c r="L53" s="38" t="s">
        <v>19</v>
      </c>
      <c r="M53" s="38" t="s">
        <v>45</v>
      </c>
      <c r="N53" s="40">
        <v>0.95</v>
      </c>
      <c r="O53" s="38" t="s">
        <v>73</v>
      </c>
      <c r="P53" s="41">
        <v>101.585036</v>
      </c>
      <c r="Q53" s="42">
        <v>36.061300000000003</v>
      </c>
      <c r="R53" s="40">
        <f>AA53+Overview!$C$59*100</f>
        <v>2.0463279999999999</v>
      </c>
      <c r="S53" s="39">
        <f>Z53*(1/Overview!$C$58)</f>
        <v>926315.38662253949</v>
      </c>
      <c r="T53" s="40">
        <v>1.0082191780821921</v>
      </c>
      <c r="U53" s="38" t="s">
        <v>36</v>
      </c>
      <c r="V53" s="38" t="s">
        <v>42</v>
      </c>
      <c r="W53" s="39">
        <v>1250000000</v>
      </c>
      <c r="X53" s="38">
        <v>8</v>
      </c>
      <c r="Y53" s="39">
        <f>D53/Overview!$C$58</f>
        <v>911862.04493990587</v>
      </c>
      <c r="Z53" s="44">
        <f t="shared" si="1"/>
        <v>1063595.3269199999</v>
      </c>
      <c r="AA53" s="43">
        <v>3.9863279999999999</v>
      </c>
    </row>
    <row r="54" spans="1:27" ht="15.5" x14ac:dyDescent="0.35">
      <c r="A54" s="38" t="s">
        <v>642</v>
      </c>
      <c r="B54" s="38" t="s">
        <v>643</v>
      </c>
      <c r="C54" s="38" t="s">
        <v>644</v>
      </c>
      <c r="D54" s="39">
        <v>1467000</v>
      </c>
      <c r="E54" s="38" t="s">
        <v>645</v>
      </c>
      <c r="F54" s="38" t="s">
        <v>646</v>
      </c>
      <c r="G54" s="38" t="s">
        <v>26</v>
      </c>
      <c r="H54" s="38" t="s">
        <v>79</v>
      </c>
      <c r="I54" s="38" t="s">
        <v>104</v>
      </c>
      <c r="J54" s="38" t="s">
        <v>17</v>
      </c>
      <c r="K54" s="38" t="s">
        <v>15</v>
      </c>
      <c r="L54" s="38" t="s">
        <v>16</v>
      </c>
      <c r="M54" s="38" t="s">
        <v>45</v>
      </c>
      <c r="N54" s="40">
        <v>3.3468123198654451</v>
      </c>
      <c r="O54" s="38" t="s">
        <v>73</v>
      </c>
      <c r="P54" s="41">
        <v>102.0857898001706</v>
      </c>
      <c r="Q54" s="42">
        <v>59.637400000000007</v>
      </c>
      <c r="R54" s="40">
        <f>AA54+Overview!$C$59*100</f>
        <v>2.416473999999988</v>
      </c>
      <c r="S54" s="39">
        <f>Z54*(1/Overview!$C$58)</f>
        <v>1304301.1116255901</v>
      </c>
      <c r="T54" s="40">
        <v>4.7424657534246579</v>
      </c>
      <c r="U54" s="38" t="s">
        <v>38</v>
      </c>
      <c r="V54" s="38" t="s">
        <v>161</v>
      </c>
      <c r="W54" s="39">
        <v>1300000000</v>
      </c>
      <c r="X54" s="38">
        <v>5</v>
      </c>
      <c r="Y54" s="39">
        <f>D54/Overview!$C$58</f>
        <v>1277651.9770074899</v>
      </c>
      <c r="Z54" s="39">
        <f t="shared" si="1"/>
        <v>1497598.5363685028</v>
      </c>
      <c r="AA54" s="40">
        <v>4.356473999999988</v>
      </c>
    </row>
    <row r="55" spans="1:27" ht="15.5" x14ac:dyDescent="0.35">
      <c r="A55" s="38" t="s">
        <v>647</v>
      </c>
      <c r="B55" s="38" t="s">
        <v>648</v>
      </c>
      <c r="C55" s="38" t="s">
        <v>649</v>
      </c>
      <c r="D55" s="39">
        <v>1628000</v>
      </c>
      <c r="E55" s="38" t="s">
        <v>650</v>
      </c>
      <c r="F55" s="38" t="s">
        <v>651</v>
      </c>
      <c r="G55" s="38" t="s">
        <v>30</v>
      </c>
      <c r="H55" s="38" t="s">
        <v>652</v>
      </c>
      <c r="I55" s="38" t="s">
        <v>98</v>
      </c>
      <c r="J55" s="38" t="s">
        <v>19</v>
      </c>
      <c r="K55" s="38" t="s">
        <v>72</v>
      </c>
      <c r="L55" s="38" t="s">
        <v>19</v>
      </c>
      <c r="M55" s="38" t="s">
        <v>45</v>
      </c>
      <c r="N55" s="40">
        <v>4.5722477202579146</v>
      </c>
      <c r="O55" s="38" t="s">
        <v>73</v>
      </c>
      <c r="P55" s="41">
        <v>91.905736204175653</v>
      </c>
      <c r="Q55" s="42">
        <v>60.091900000000003</v>
      </c>
      <c r="R55" s="40">
        <f>AA55+Overview!$C$59*100</f>
        <v>2.4210189849623913</v>
      </c>
      <c r="S55" s="39">
        <f>Z55*(1/Overview!$C$58)</f>
        <v>1303105.1954398011</v>
      </c>
      <c r="T55" s="40">
        <v>5.0301369863013701</v>
      </c>
      <c r="U55" s="38" t="s">
        <v>38</v>
      </c>
      <c r="V55" s="38" t="s">
        <v>42</v>
      </c>
      <c r="W55" s="39">
        <v>1250000000</v>
      </c>
      <c r="X55" s="38">
        <v>8</v>
      </c>
      <c r="Y55" s="39">
        <f>D55/Overview!$C$58</f>
        <v>1417871.4509667305</v>
      </c>
      <c r="Z55" s="39">
        <f t="shared" si="1"/>
        <v>1496225.3854039798</v>
      </c>
      <c r="AA55" s="40">
        <v>4.3610189849623913</v>
      </c>
    </row>
    <row r="56" spans="1:27" ht="15.5" x14ac:dyDescent="0.35">
      <c r="A56" s="38" t="s">
        <v>653</v>
      </c>
      <c r="B56" s="38" t="s">
        <v>654</v>
      </c>
      <c r="C56" s="38" t="s">
        <v>655</v>
      </c>
      <c r="D56" s="39">
        <v>1199000</v>
      </c>
      <c r="E56" s="38" t="s">
        <v>311</v>
      </c>
      <c r="F56" s="38" t="s">
        <v>312</v>
      </c>
      <c r="G56" s="38" t="s">
        <v>26</v>
      </c>
      <c r="H56" s="38" t="s">
        <v>79</v>
      </c>
      <c r="I56" s="38" t="s">
        <v>130</v>
      </c>
      <c r="J56" s="38" t="s">
        <v>20</v>
      </c>
      <c r="K56" s="38" t="s">
        <v>18</v>
      </c>
      <c r="L56" s="38" t="s">
        <v>20</v>
      </c>
      <c r="M56" s="38" t="s">
        <v>45</v>
      </c>
      <c r="N56" s="40">
        <v>6.94</v>
      </c>
      <c r="O56" s="38" t="s">
        <v>73</v>
      </c>
      <c r="P56" s="41">
        <v>104.544882</v>
      </c>
      <c r="Q56" s="42">
        <v>121.5864</v>
      </c>
      <c r="R56" s="40">
        <f>AA56+Overview!$C$59*100</f>
        <v>3.4321490000000003</v>
      </c>
      <c r="S56" s="39">
        <f>Z56*(1/Overview!$C$58)</f>
        <v>1091702.782773036</v>
      </c>
      <c r="T56" s="40">
        <v>9.2109589041095887</v>
      </c>
      <c r="U56" s="38" t="s">
        <v>40</v>
      </c>
      <c r="V56" s="38" t="s">
        <v>88</v>
      </c>
      <c r="W56" s="39">
        <v>1250000000</v>
      </c>
      <c r="X56" s="38">
        <v>9</v>
      </c>
      <c r="Y56" s="39">
        <f>D56/Overview!$C$58</f>
        <v>1044243.1632119839</v>
      </c>
      <c r="Z56" s="44">
        <f t="shared" si="1"/>
        <v>1253493.13518</v>
      </c>
      <c r="AA56" s="43">
        <v>5.3721490000000003</v>
      </c>
    </row>
    <row r="57" spans="1:27" ht="15.5" x14ac:dyDescent="0.35">
      <c r="A57" s="38" t="s">
        <v>656</v>
      </c>
      <c r="B57" s="38" t="s">
        <v>657</v>
      </c>
      <c r="C57" s="38" t="s">
        <v>658</v>
      </c>
      <c r="D57" s="39">
        <v>1718000</v>
      </c>
      <c r="E57" s="38" t="s">
        <v>659</v>
      </c>
      <c r="F57" s="38" t="s">
        <v>660</v>
      </c>
      <c r="G57" s="38" t="s">
        <v>27</v>
      </c>
      <c r="H57" s="38" t="s">
        <v>129</v>
      </c>
      <c r="I57" s="38" t="s">
        <v>130</v>
      </c>
      <c r="J57" s="38" t="s">
        <v>20</v>
      </c>
      <c r="K57" s="38" t="s">
        <v>19</v>
      </c>
      <c r="L57" s="38" t="s">
        <v>20</v>
      </c>
      <c r="M57" s="38" t="s">
        <v>45</v>
      </c>
      <c r="N57" s="40">
        <v>5.6576687857012482</v>
      </c>
      <c r="O57" s="38" t="s">
        <v>73</v>
      </c>
      <c r="P57" s="41">
        <v>88.111078105019615</v>
      </c>
      <c r="Q57" s="42">
        <v>49.3309</v>
      </c>
      <c r="R57" s="40">
        <f>AA57+Overview!$C$59*100</f>
        <v>2.5139089999999782</v>
      </c>
      <c r="S57" s="39">
        <f>Z57*(1/Overview!$C$58)</f>
        <v>1318366.4186067209</v>
      </c>
      <c r="T57" s="40">
        <v>6.2438356164383562</v>
      </c>
      <c r="U57" s="38" t="s">
        <v>39</v>
      </c>
      <c r="V57" s="38" t="s">
        <v>42</v>
      </c>
      <c r="W57" s="39">
        <v>2500000000</v>
      </c>
      <c r="X57" s="38">
        <v>9</v>
      </c>
      <c r="Y57" s="39">
        <f>D57/Overview!$C$58</f>
        <v>1496255.0078383556</v>
      </c>
      <c r="Z57" s="39">
        <f t="shared" si="1"/>
        <v>1513748.3218442369</v>
      </c>
      <c r="AA57" s="40">
        <v>4.4539089999999781</v>
      </c>
    </row>
    <row r="58" spans="1:27" ht="15.5" x14ac:dyDescent="0.35">
      <c r="A58" s="38" t="s">
        <v>661</v>
      </c>
      <c r="B58" s="38" t="s">
        <v>662</v>
      </c>
      <c r="C58" s="38" t="s">
        <v>663</v>
      </c>
      <c r="D58" s="39">
        <v>1515000</v>
      </c>
      <c r="E58" s="38" t="s">
        <v>664</v>
      </c>
      <c r="F58" s="38" t="s">
        <v>665</v>
      </c>
      <c r="G58" s="38" t="s">
        <v>30</v>
      </c>
      <c r="H58" s="38" t="s">
        <v>666</v>
      </c>
      <c r="I58" s="38" t="s">
        <v>463</v>
      </c>
      <c r="J58" s="38" t="s">
        <v>21</v>
      </c>
      <c r="K58" s="38" t="s">
        <v>21</v>
      </c>
      <c r="L58" s="38" t="s">
        <v>21</v>
      </c>
      <c r="M58" s="38" t="s">
        <v>44</v>
      </c>
      <c r="N58" s="40">
        <v>3.1346877968420088</v>
      </c>
      <c r="O58" s="38" t="s">
        <v>347</v>
      </c>
      <c r="P58" s="41">
        <v>99.075791249999995</v>
      </c>
      <c r="Q58" s="42">
        <v>115.9167987055036</v>
      </c>
      <c r="R58" s="40">
        <f>AA58+Overview!$C$59*100</f>
        <v>2.9792679870550365</v>
      </c>
      <c r="S58" s="39">
        <f>Z58*(1/Overview!$C$58)</f>
        <v>1307262.0078710155</v>
      </c>
      <c r="T58" s="40">
        <v>3.4438356164383559</v>
      </c>
      <c r="U58" s="38" t="s">
        <v>37</v>
      </c>
      <c r="V58" s="38" t="s">
        <v>42</v>
      </c>
      <c r="W58" s="39">
        <v>2000000000</v>
      </c>
      <c r="X58" s="38">
        <v>10</v>
      </c>
      <c r="Y58" s="39">
        <f>D58/Overview!$C$58</f>
        <v>1319456.5406723565</v>
      </c>
      <c r="Z58" s="39">
        <f t="shared" si="1"/>
        <v>1500998.2374375002</v>
      </c>
      <c r="AA58" s="40">
        <v>4.9192679870550364</v>
      </c>
    </row>
    <row r="59" spans="1:27" ht="15.5" x14ac:dyDescent="0.35">
      <c r="A59" s="38" t="s">
        <v>667</v>
      </c>
      <c r="B59" s="38" t="s">
        <v>668</v>
      </c>
      <c r="C59" s="38" t="s">
        <v>669</v>
      </c>
      <c r="D59" s="39">
        <v>1623000</v>
      </c>
      <c r="E59" s="38" t="s">
        <v>670</v>
      </c>
      <c r="F59" s="38" t="s">
        <v>671</v>
      </c>
      <c r="G59" s="38" t="s">
        <v>26</v>
      </c>
      <c r="H59" s="38" t="s">
        <v>79</v>
      </c>
      <c r="I59" s="38" t="s">
        <v>119</v>
      </c>
      <c r="J59" s="38" t="s">
        <v>18</v>
      </c>
      <c r="K59" s="38" t="s">
        <v>17</v>
      </c>
      <c r="L59" s="38" t="s">
        <v>17</v>
      </c>
      <c r="M59" s="38" t="s">
        <v>45</v>
      </c>
      <c r="N59" s="40">
        <v>4.9034687362834548</v>
      </c>
      <c r="O59" s="38" t="s">
        <v>73</v>
      </c>
      <c r="P59" s="41">
        <v>93.059722678464226</v>
      </c>
      <c r="Q59" s="42">
        <v>92.7303</v>
      </c>
      <c r="R59" s="40">
        <f>AA59+Overview!$C$59*100</f>
        <v>2.7474027808668962</v>
      </c>
      <c r="S59" s="39">
        <f>Z59*(1/Overview!$C$58)</f>
        <v>1315414.8223928534</v>
      </c>
      <c r="T59" s="40">
        <v>6.5260273972602736</v>
      </c>
      <c r="U59" s="38" t="s">
        <v>39</v>
      </c>
      <c r="V59" s="38" t="s">
        <v>308</v>
      </c>
      <c r="W59" s="39">
        <v>3250000000</v>
      </c>
      <c r="X59" s="38">
        <v>6</v>
      </c>
      <c r="Y59" s="39">
        <f>D59/Overview!$C$58</f>
        <v>1413516.8089183068</v>
      </c>
      <c r="Z59" s="39">
        <f t="shared" si="1"/>
        <v>1510359.2990714745</v>
      </c>
      <c r="AA59" s="40">
        <v>4.6874027808668961</v>
      </c>
    </row>
    <row r="60" spans="1:27" ht="15.5" x14ac:dyDescent="0.35">
      <c r="A60" s="38" t="s">
        <v>672</v>
      </c>
      <c r="B60" s="38" t="s">
        <v>673</v>
      </c>
      <c r="C60" s="38" t="s">
        <v>674</v>
      </c>
      <c r="D60" s="39">
        <v>752000</v>
      </c>
      <c r="E60" s="38" t="s">
        <v>675</v>
      </c>
      <c r="F60" s="38" t="s">
        <v>676</v>
      </c>
      <c r="G60" s="38" t="s">
        <v>28</v>
      </c>
      <c r="H60" s="38" t="s">
        <v>474</v>
      </c>
      <c r="I60" s="38" t="s">
        <v>119</v>
      </c>
      <c r="J60" s="38" t="s">
        <v>16</v>
      </c>
      <c r="K60" s="38" t="s">
        <v>17</v>
      </c>
      <c r="L60" s="38" t="s">
        <v>17</v>
      </c>
      <c r="M60" s="38" t="s">
        <v>45</v>
      </c>
      <c r="N60" s="40">
        <v>11.37161823122511</v>
      </c>
      <c r="O60" s="38" t="s">
        <v>73</v>
      </c>
      <c r="P60" s="41">
        <v>99.399982424084271</v>
      </c>
      <c r="Q60" s="42">
        <v>84.311899999999994</v>
      </c>
      <c r="R60" s="40">
        <f>AA60+Overview!$C$59*100</f>
        <v>3.6112189999999962</v>
      </c>
      <c r="S60" s="39">
        <f>Z60*(1/Overview!$C$58)</f>
        <v>651008.4199870351</v>
      </c>
      <c r="T60" s="40">
        <v>18.704109589041099</v>
      </c>
      <c r="U60" s="38" t="s">
        <v>41</v>
      </c>
      <c r="V60" s="38" t="s">
        <v>42</v>
      </c>
      <c r="W60" s="39">
        <v>1500000000</v>
      </c>
      <c r="X60" s="38">
        <v>6</v>
      </c>
      <c r="Y60" s="39">
        <f>D60/Overview!$C$58</f>
        <v>654938.16408291238</v>
      </c>
      <c r="Z60" s="39">
        <f t="shared" si="1"/>
        <v>747487.86782911373</v>
      </c>
      <c r="AA60" s="40">
        <v>5.5512189999999961</v>
      </c>
    </row>
    <row r="61" spans="1:27" ht="15.5" x14ac:dyDescent="0.35">
      <c r="A61" s="38" t="s">
        <v>677</v>
      </c>
      <c r="B61" s="38" t="s">
        <v>678</v>
      </c>
      <c r="C61" s="38" t="s">
        <v>679</v>
      </c>
      <c r="D61" s="39">
        <v>1458000</v>
      </c>
      <c r="E61" s="38" t="s">
        <v>680</v>
      </c>
      <c r="F61" s="38" t="s">
        <v>681</v>
      </c>
      <c r="G61" s="38" t="s">
        <v>26</v>
      </c>
      <c r="H61" s="38" t="s">
        <v>79</v>
      </c>
      <c r="I61" s="38" t="s">
        <v>71</v>
      </c>
      <c r="J61" s="38" t="s">
        <v>17</v>
      </c>
      <c r="K61" s="38" t="s">
        <v>17</v>
      </c>
      <c r="L61" s="38" t="s">
        <v>17</v>
      </c>
      <c r="M61" s="38" t="s">
        <v>45</v>
      </c>
      <c r="N61" s="40">
        <v>3.316545328296312</v>
      </c>
      <c r="O61" s="38" t="s">
        <v>73</v>
      </c>
      <c r="P61" s="41">
        <v>102.6592145860468</v>
      </c>
      <c r="Q61" s="42">
        <v>55.532800000000009</v>
      </c>
      <c r="R61" s="40">
        <f>AA61+Overview!$C$59*100</f>
        <v>2.375427999999999</v>
      </c>
      <c r="S61" s="39">
        <f>Z61*(1/Overview!$C$58)</f>
        <v>1303580.6903540867</v>
      </c>
      <c r="T61" s="40">
        <v>4.7150684931506852</v>
      </c>
      <c r="U61" s="38" t="s">
        <v>38</v>
      </c>
      <c r="V61" s="38" t="s">
        <v>42</v>
      </c>
      <c r="W61" s="39">
        <v>1250000000</v>
      </c>
      <c r="X61" s="38">
        <v>6</v>
      </c>
      <c r="Y61" s="39">
        <f>D61/Overview!$C$58</f>
        <v>1269813.6213203273</v>
      </c>
      <c r="Z61" s="39">
        <f t="shared" si="1"/>
        <v>1496771.3486645625</v>
      </c>
      <c r="AA61" s="40">
        <v>4.3154279999999989</v>
      </c>
    </row>
    <row r="62" spans="1:27" ht="15.5" x14ac:dyDescent="0.35">
      <c r="A62" s="38" t="s">
        <v>682</v>
      </c>
      <c r="B62" s="38" t="s">
        <v>683</v>
      </c>
      <c r="C62" s="38" t="s">
        <v>684</v>
      </c>
      <c r="D62" s="39">
        <v>1195000</v>
      </c>
      <c r="E62" s="38" t="s">
        <v>685</v>
      </c>
      <c r="F62" s="38" t="s">
        <v>686</v>
      </c>
      <c r="G62" s="38" t="s">
        <v>27</v>
      </c>
      <c r="H62" s="38" t="s">
        <v>129</v>
      </c>
      <c r="I62" s="38" t="s">
        <v>98</v>
      </c>
      <c r="J62" s="38" t="s">
        <v>19</v>
      </c>
      <c r="K62" s="38" t="s">
        <v>18</v>
      </c>
      <c r="L62" s="38" t="s">
        <v>19</v>
      </c>
      <c r="M62" s="38" t="s">
        <v>45</v>
      </c>
      <c r="N62" s="40">
        <v>5.7468701771049782</v>
      </c>
      <c r="O62" s="38" t="s">
        <v>73</v>
      </c>
      <c r="P62" s="41">
        <v>87.05324352040536</v>
      </c>
      <c r="Q62" s="42">
        <v>58.518900000000002</v>
      </c>
      <c r="R62" s="40">
        <f>AA62+Overview!$C$59*100</f>
        <v>2.7964889999999882</v>
      </c>
      <c r="S62" s="39">
        <f>Z62*(1/Overview!$C$58)</f>
        <v>906014.85809862742</v>
      </c>
      <c r="T62" s="40">
        <v>6.3616438356164382</v>
      </c>
      <c r="U62" s="38" t="s">
        <v>39</v>
      </c>
      <c r="V62" s="38" t="s">
        <v>42</v>
      </c>
      <c r="W62" s="39">
        <v>4626005000</v>
      </c>
      <c r="X62" s="38">
        <v>8</v>
      </c>
      <c r="Y62" s="39">
        <f>D62/Overview!$C$58</f>
        <v>1040759.449573245</v>
      </c>
      <c r="Z62" s="39">
        <f t="shared" si="1"/>
        <v>1040286.2600688441</v>
      </c>
      <c r="AA62" s="40">
        <v>4.7364889999999882</v>
      </c>
    </row>
    <row r="63" spans="1:27" ht="15.5" x14ac:dyDescent="0.35">
      <c r="A63" s="38" t="s">
        <v>687</v>
      </c>
      <c r="B63" s="38" t="s">
        <v>688</v>
      </c>
      <c r="C63" s="38" t="s">
        <v>689</v>
      </c>
      <c r="D63" s="39">
        <v>1450000</v>
      </c>
      <c r="E63" s="38" t="s">
        <v>690</v>
      </c>
      <c r="F63" s="38" t="s">
        <v>691</v>
      </c>
      <c r="G63" s="38" t="s">
        <v>26</v>
      </c>
      <c r="H63" s="38" t="s">
        <v>79</v>
      </c>
      <c r="I63" s="38" t="s">
        <v>104</v>
      </c>
      <c r="J63" s="38" t="s">
        <v>19</v>
      </c>
      <c r="K63" s="38" t="s">
        <v>16</v>
      </c>
      <c r="L63" s="38" t="s">
        <v>16</v>
      </c>
      <c r="M63" s="38" t="s">
        <v>45</v>
      </c>
      <c r="N63" s="40">
        <v>2.4751443050306992</v>
      </c>
      <c r="O63" s="38" t="s">
        <v>73</v>
      </c>
      <c r="P63" s="41">
        <v>104.2503841215661</v>
      </c>
      <c r="Q63" s="42">
        <v>58.754199999999997</v>
      </c>
      <c r="R63" s="40">
        <f>AA63+Overview!$C$59*100</f>
        <v>2.2911420719257687</v>
      </c>
      <c r="S63" s="39">
        <f>Z63*(1/Overview!$C$58)</f>
        <v>1316522.0081542488</v>
      </c>
      <c r="T63" s="40">
        <v>3.720547945205479</v>
      </c>
      <c r="U63" s="38" t="s">
        <v>38</v>
      </c>
      <c r="V63" s="38" t="s">
        <v>42</v>
      </c>
      <c r="W63" s="39">
        <v>4250000000</v>
      </c>
      <c r="X63" s="38">
        <v>5</v>
      </c>
      <c r="Y63" s="39">
        <f>D63/Overview!$C$58</f>
        <v>1262846.1940428496</v>
      </c>
      <c r="Z63" s="39">
        <f t="shared" si="1"/>
        <v>1511630.5697627086</v>
      </c>
      <c r="AA63" s="40">
        <v>4.2311420719257686</v>
      </c>
    </row>
    <row r="64" spans="1:27" ht="15.5" x14ac:dyDescent="0.35">
      <c r="A64" s="38" t="s">
        <v>692</v>
      </c>
      <c r="B64" s="38" t="s">
        <v>693</v>
      </c>
      <c r="C64" s="38" t="s">
        <v>694</v>
      </c>
      <c r="D64" s="39">
        <v>727000</v>
      </c>
      <c r="E64" s="38" t="s">
        <v>695</v>
      </c>
      <c r="F64" s="38" t="s">
        <v>696</v>
      </c>
      <c r="G64" s="38" t="s">
        <v>34</v>
      </c>
      <c r="H64" s="38" t="s">
        <v>200</v>
      </c>
      <c r="I64" s="38" t="s">
        <v>104</v>
      </c>
      <c r="J64" s="38" t="s">
        <v>17</v>
      </c>
      <c r="K64" s="38" t="s">
        <v>16</v>
      </c>
      <c r="L64" s="38" t="s">
        <v>16</v>
      </c>
      <c r="M64" s="38" t="s">
        <v>44</v>
      </c>
      <c r="N64" s="40">
        <v>6.6538377364665209</v>
      </c>
      <c r="O64" s="38" t="s">
        <v>73</v>
      </c>
      <c r="P64" s="41">
        <v>103.137746999017</v>
      </c>
      <c r="Q64" s="42">
        <v>74.386499999999998</v>
      </c>
      <c r="R64" s="40">
        <f>AA64+Overview!$C$59*100</f>
        <v>2.9551651468898252</v>
      </c>
      <c r="S64" s="39">
        <f>Z64*(1/Overview!$C$58)</f>
        <v>653032.06817876105</v>
      </c>
      <c r="T64" s="40">
        <v>8.5287671232876718</v>
      </c>
      <c r="U64" s="38" t="s">
        <v>40</v>
      </c>
      <c r="V64" s="38" t="s">
        <v>42</v>
      </c>
      <c r="W64" s="39">
        <v>850000000</v>
      </c>
      <c r="X64" s="38">
        <v>5</v>
      </c>
      <c r="Y64" s="39">
        <f>D64/Overview!$C$58</f>
        <v>633164.95384079427</v>
      </c>
      <c r="Z64" s="39">
        <f t="shared" si="1"/>
        <v>749811.42068285355</v>
      </c>
      <c r="AA64" s="40">
        <v>4.8951651468898252</v>
      </c>
    </row>
    <row r="65" spans="1:27" ht="15.5" x14ac:dyDescent="0.35">
      <c r="A65" s="38" t="s">
        <v>697</v>
      </c>
      <c r="B65" s="38" t="s">
        <v>698</v>
      </c>
      <c r="C65" s="38" t="s">
        <v>699</v>
      </c>
      <c r="D65" s="39">
        <v>820000</v>
      </c>
      <c r="E65" s="38" t="s">
        <v>700</v>
      </c>
      <c r="F65" s="38" t="s">
        <v>701</v>
      </c>
      <c r="G65" s="38" t="s">
        <v>29</v>
      </c>
      <c r="H65" s="38" t="s">
        <v>222</v>
      </c>
      <c r="I65" s="38" t="s">
        <v>137</v>
      </c>
      <c r="J65" s="38" t="s">
        <v>15</v>
      </c>
      <c r="K65" s="38" t="s">
        <v>87</v>
      </c>
      <c r="L65" s="38" t="s">
        <v>15</v>
      </c>
      <c r="M65" s="38" t="s">
        <v>45</v>
      </c>
      <c r="N65" s="40">
        <v>10.39840657571944</v>
      </c>
      <c r="O65" s="38" t="s">
        <v>73</v>
      </c>
      <c r="P65" s="41">
        <v>91.347460725049203</v>
      </c>
      <c r="Q65" s="42">
        <v>93.103999999999999</v>
      </c>
      <c r="R65" s="40">
        <f>AA65+Overview!$C$59*100</f>
        <v>3.1423400000000075</v>
      </c>
      <c r="S65" s="39">
        <f>Z65*(1/Overview!$C$58)</f>
        <v>652368.20932363998</v>
      </c>
      <c r="T65" s="40">
        <v>14.37808219178082</v>
      </c>
      <c r="U65" s="38" t="s">
        <v>41</v>
      </c>
      <c r="V65" s="38" t="s">
        <v>42</v>
      </c>
      <c r="W65" s="39">
        <v>2000000000</v>
      </c>
      <c r="X65" s="38">
        <v>4</v>
      </c>
      <c r="Y65" s="39">
        <f>D65/Overview!$C$58</f>
        <v>714161.29594147357</v>
      </c>
      <c r="Z65" s="39">
        <f t="shared" si="1"/>
        <v>749049.1779454035</v>
      </c>
      <c r="AA65" s="40">
        <v>5.0823400000000074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4.5" x14ac:dyDescent="0.35"/>
  <sheetData>
    <row r="1" spans="1:3" x14ac:dyDescent="0.35">
      <c r="A1">
        <v>1</v>
      </c>
      <c r="B1" t="s">
        <v>12</v>
      </c>
      <c r="C1">
        <v>1</v>
      </c>
    </row>
    <row r="2" spans="1:3" x14ac:dyDescent="0.35">
      <c r="A2">
        <v>2</v>
      </c>
      <c r="B2" t="s">
        <v>13</v>
      </c>
      <c r="C2">
        <v>2</v>
      </c>
    </row>
    <row r="3" spans="1:3" x14ac:dyDescent="0.35">
      <c r="A3">
        <v>3</v>
      </c>
      <c r="B3" t="s">
        <v>14</v>
      </c>
      <c r="C3">
        <v>3</v>
      </c>
    </row>
    <row r="4" spans="1:3" x14ac:dyDescent="0.35">
      <c r="A4">
        <v>4</v>
      </c>
      <c r="B4" t="s">
        <v>15</v>
      </c>
      <c r="C4">
        <v>4</v>
      </c>
    </row>
    <row r="5" spans="1:3" x14ac:dyDescent="0.35">
      <c r="A5">
        <v>5</v>
      </c>
      <c r="B5" t="s">
        <v>16</v>
      </c>
      <c r="C5">
        <v>5</v>
      </c>
    </row>
    <row r="6" spans="1:3" x14ac:dyDescent="0.35">
      <c r="A6">
        <v>6</v>
      </c>
      <c r="B6" t="s">
        <v>17</v>
      </c>
      <c r="C6">
        <v>6</v>
      </c>
    </row>
    <row r="7" spans="1:3" x14ac:dyDescent="0.35">
      <c r="A7">
        <v>7</v>
      </c>
      <c r="B7" t="s">
        <v>18</v>
      </c>
      <c r="C7">
        <v>7</v>
      </c>
    </row>
    <row r="8" spans="1:3" x14ac:dyDescent="0.35">
      <c r="A8">
        <v>8</v>
      </c>
      <c r="B8" t="s">
        <v>19</v>
      </c>
      <c r="C8">
        <v>8</v>
      </c>
    </row>
    <row r="9" spans="1:3" x14ac:dyDescent="0.35">
      <c r="A9">
        <v>9</v>
      </c>
      <c r="B9" t="s">
        <v>20</v>
      </c>
      <c r="C9">
        <v>9</v>
      </c>
    </row>
    <row r="10" spans="1:3" x14ac:dyDescent="0.35">
      <c r="A10">
        <v>10</v>
      </c>
      <c r="B10" t="s">
        <v>21</v>
      </c>
      <c r="C10">
        <v>10</v>
      </c>
    </row>
    <row r="11" spans="1:3" x14ac:dyDescent="0.35">
      <c r="A11">
        <v>11</v>
      </c>
      <c r="B11" t="s">
        <v>22</v>
      </c>
      <c r="C11">
        <v>11</v>
      </c>
    </row>
    <row r="12" spans="1:3" x14ac:dyDescent="0.35">
      <c r="A12">
        <v>12</v>
      </c>
      <c r="B12" t="s">
        <v>23</v>
      </c>
      <c r="C12">
        <v>12</v>
      </c>
    </row>
    <row r="13" spans="1:3" x14ac:dyDescent="0.35">
      <c r="A13">
        <v>13</v>
      </c>
      <c r="B13" t="s">
        <v>702</v>
      </c>
      <c r="C13">
        <v>13</v>
      </c>
    </row>
    <row r="14" spans="1:3" x14ac:dyDescent="0.35">
      <c r="A14">
        <v>14</v>
      </c>
      <c r="B14" t="s">
        <v>703</v>
      </c>
      <c r="C14">
        <v>14</v>
      </c>
    </row>
    <row r="15" spans="1:3" x14ac:dyDescent="0.35">
      <c r="A15">
        <v>15</v>
      </c>
      <c r="B15" t="s">
        <v>704</v>
      </c>
      <c r="C15">
        <v>15</v>
      </c>
    </row>
    <row r="16" spans="1:3" x14ac:dyDescent="0.35">
      <c r="A16">
        <v>16</v>
      </c>
      <c r="B16" t="s">
        <v>705</v>
      </c>
      <c r="C16">
        <v>16</v>
      </c>
    </row>
    <row r="17" spans="1:3" x14ac:dyDescent="0.35">
      <c r="A17">
        <v>17</v>
      </c>
      <c r="B17" t="s">
        <v>706</v>
      </c>
      <c r="C17">
        <v>17</v>
      </c>
    </row>
    <row r="18" spans="1:3" x14ac:dyDescent="0.35">
      <c r="A18">
        <v>18</v>
      </c>
      <c r="B18" t="s">
        <v>707</v>
      </c>
      <c r="C18">
        <v>18</v>
      </c>
    </row>
    <row r="19" spans="1:3" x14ac:dyDescent="0.35">
      <c r="A19">
        <v>19</v>
      </c>
      <c r="B19" t="s">
        <v>708</v>
      </c>
      <c r="C19">
        <v>19</v>
      </c>
    </row>
    <row r="20" spans="1:3" x14ac:dyDescent="0.35">
      <c r="A20">
        <v>20</v>
      </c>
      <c r="B20" t="s">
        <v>709</v>
      </c>
      <c r="C20">
        <v>20</v>
      </c>
    </row>
    <row r="21" spans="1:3" x14ac:dyDescent="0.35">
      <c r="A21">
        <v>21</v>
      </c>
      <c r="B21" t="s">
        <v>710</v>
      </c>
      <c r="C21">
        <v>21</v>
      </c>
    </row>
    <row r="22" spans="1:3" x14ac:dyDescent="0.35">
      <c r="A22">
        <v>22</v>
      </c>
      <c r="B22" t="s">
        <v>711</v>
      </c>
      <c r="C22">
        <v>22</v>
      </c>
    </row>
    <row r="23" spans="1:3" x14ac:dyDescent="0.35">
      <c r="A23">
        <v>23</v>
      </c>
      <c r="B23" t="s">
        <v>712</v>
      </c>
      <c r="C23">
        <v>23</v>
      </c>
    </row>
    <row r="24" spans="1:3" x14ac:dyDescent="0.35">
      <c r="A24">
        <v>24</v>
      </c>
      <c r="B24" t="s">
        <v>140</v>
      </c>
      <c r="C24">
        <v>24</v>
      </c>
    </row>
    <row r="25" spans="1:3" x14ac:dyDescent="0.35">
      <c r="A25">
        <v>25</v>
      </c>
      <c r="B25" t="s">
        <v>713</v>
      </c>
      <c r="C25">
        <v>25</v>
      </c>
    </row>
    <row r="26" spans="1:3" x14ac:dyDescent="0.35">
      <c r="A26">
        <v>26</v>
      </c>
      <c r="B26" t="s">
        <v>714</v>
      </c>
      <c r="C26">
        <v>26</v>
      </c>
    </row>
    <row r="27" spans="1:3" x14ac:dyDescent="0.35">
      <c r="A27">
        <v>27</v>
      </c>
      <c r="B27" t="s">
        <v>24</v>
      </c>
      <c r="C27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EUR iBoxx IG proxy</vt:lpstr>
      <vt:lpstr>USD JULI-ex EM proxy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Parker, Guy (CIB, GBR)</cp:lastModifiedBy>
  <dcterms:created xsi:type="dcterms:W3CDTF">2025-11-05T10:05:06Z</dcterms:created>
  <dcterms:modified xsi:type="dcterms:W3CDTF">2025-11-06T08:40:30Z</dcterms:modified>
</cp:coreProperties>
</file>