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6"/>
  <workbookPr defaultThemeVersion="124226"/>
  <mc:AlternateContent xmlns:mc="http://schemas.openxmlformats.org/markup-compatibility/2006">
    <mc:Choice Requires="x15">
      <x15ac:absPath xmlns:x15ac="http://schemas.microsoft.com/office/spreadsheetml/2010/11/ac" url="/Users/muhammad/Desktop/Work Samples/"/>
    </mc:Choice>
  </mc:AlternateContent>
  <xr:revisionPtr revIDLastSave="0" documentId="13_ncr:1_{01421F6A-2D7F-8D49-866E-6EA689636AA8}" xr6:coauthVersionLast="47" xr6:coauthVersionMax="47" xr10:uidLastSave="{00000000-0000-0000-0000-000000000000}"/>
  <bookViews>
    <workbookView xWindow="280" yWindow="760" windowWidth="31020" windowHeight="20080" tabRatio="915" xr2:uid="{00000000-000D-0000-FFFF-FFFF00000000}"/>
  </bookViews>
  <sheets>
    <sheet name="Builiding#1" sheetId="18" r:id="rId1"/>
    <sheet name="Builiding#2" sheetId="1" r:id="rId2"/>
    <sheet name="Builiding#3" sheetId="15" r:id="rId3"/>
    <sheet name="Builiding#4" sheetId="14" r:id="rId4"/>
    <sheet name="Builiding#5" sheetId="19" r:id="rId5"/>
    <sheet name="Builiding#6" sheetId="20" r:id="rId6"/>
    <sheet name="Builiding#7" sheetId="16" r:id="rId7"/>
    <sheet name="Builiding#8" sheetId="21" r:id="rId8"/>
    <sheet name="Builiding#9" sheetId="17" r:id="rId9"/>
    <sheet name="Club House" sheetId="22" r:id="rId10"/>
    <sheet name="Garages" sheetId="23" r:id="rId11"/>
    <sheet name="Our Services" sheetId="24" r:id="rId12"/>
    <sheet name="Why Us" sheetId="25" r:id="rId13"/>
  </sheets>
  <definedNames>
    <definedName name="_xlnm.Print_Area" localSheetId="0">'Builiding#1'!$A$1:$H$57</definedName>
    <definedName name="_xlnm.Print_Area" localSheetId="1">'Builiding#2'!$A$1:$H$57</definedName>
    <definedName name="_xlnm.Print_Area" localSheetId="2">'Builiding#3'!$A$1:$H$57</definedName>
    <definedName name="_xlnm.Print_Area" localSheetId="3">'Builiding#4'!$A$1:$H$57</definedName>
    <definedName name="_xlnm.Print_Area" localSheetId="4">'Builiding#5'!$A$1:$H$57</definedName>
    <definedName name="_xlnm.Print_Area" localSheetId="5">'Builiding#6'!$A$1:$H$57</definedName>
    <definedName name="_xlnm.Print_Area" localSheetId="6">'Builiding#7'!$A$1:$H$56</definedName>
    <definedName name="_xlnm.Print_Area" localSheetId="7">'Builiding#8'!$A$1:$H$57</definedName>
    <definedName name="_xlnm.Print_Area" localSheetId="8">'Builiding#9'!$A$1:$H$56</definedName>
    <definedName name="_xlnm.Print_Area" localSheetId="9">'Club House'!$A$1:$H$59</definedName>
    <definedName name="_xlnm.Print_Area" localSheetId="10">Garages!$A$1:$H$54</definedName>
    <definedName name="_xlnm.Print_Titles" localSheetId="0">'Builiding#1'!$1:$6</definedName>
    <definedName name="_xlnm.Print_Titles" localSheetId="1">'Builiding#2'!$1:$6</definedName>
    <definedName name="_xlnm.Print_Titles" localSheetId="2">'Builiding#3'!$1:$6</definedName>
    <definedName name="_xlnm.Print_Titles" localSheetId="3">'Builiding#4'!$1:$6</definedName>
    <definedName name="_xlnm.Print_Titles" localSheetId="4">'Builiding#5'!$1:$6</definedName>
    <definedName name="_xlnm.Print_Titles" localSheetId="5">'Builiding#6'!$1:$6</definedName>
    <definedName name="_xlnm.Print_Titles" localSheetId="6">'Builiding#7'!$1:$6</definedName>
    <definedName name="_xlnm.Print_Titles" localSheetId="7">'Builiding#8'!$1:$6</definedName>
    <definedName name="_xlnm.Print_Titles" localSheetId="8">'Builiding#9'!$1:$6</definedName>
    <definedName name="_xlnm.Print_Titles" localSheetId="9">'Club House'!$1:$6</definedName>
    <definedName name="_xlnm.Print_Titles" localSheetId="10">Garages!$1:$6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23" l="1"/>
  <c r="G20" i="23"/>
  <c r="G21" i="23"/>
  <c r="G22" i="23"/>
  <c r="A30" i="17"/>
  <c r="G32" i="17"/>
  <c r="G33" i="17"/>
  <c r="G34" i="17"/>
  <c r="G36" i="17"/>
  <c r="G39" i="17"/>
  <c r="G40" i="17"/>
  <c r="G41" i="17"/>
  <c r="G42" i="17"/>
  <c r="G43" i="17"/>
  <c r="G44" i="17"/>
  <c r="G45" i="17"/>
  <c r="G46" i="17"/>
  <c r="G47" i="17"/>
  <c r="G20" i="16"/>
  <c r="G21" i="16"/>
  <c r="G24" i="16"/>
  <c r="G25" i="16"/>
  <c r="G26" i="16"/>
  <c r="G27" i="16"/>
  <c r="G28" i="16"/>
  <c r="G29" i="16"/>
  <c r="G32" i="16"/>
  <c r="G33" i="16"/>
  <c r="G34" i="16"/>
  <c r="G36" i="16"/>
  <c r="G39" i="16"/>
  <c r="G40" i="16"/>
  <c r="G41" i="16"/>
  <c r="G42" i="16"/>
  <c r="G43" i="16"/>
  <c r="G44" i="16"/>
  <c r="G45" i="16"/>
  <c r="G46" i="16"/>
  <c r="A30" i="20"/>
  <c r="A15" i="20"/>
  <c r="G20" i="19"/>
  <c r="G21" i="19"/>
  <c r="G22" i="19"/>
  <c r="G23" i="19"/>
  <c r="G25" i="19"/>
  <c r="G26" i="19"/>
  <c r="G27" i="19"/>
  <c r="G28" i="19"/>
  <c r="G29" i="19"/>
  <c r="G32" i="19"/>
  <c r="G33" i="19"/>
  <c r="G34" i="19"/>
  <c r="G35" i="19"/>
  <c r="G37" i="19"/>
  <c r="G38" i="19"/>
  <c r="G39" i="19"/>
  <c r="G40" i="19"/>
  <c r="G41" i="19"/>
  <c r="G42" i="19"/>
  <c r="G43" i="19"/>
  <c r="G44" i="19"/>
  <c r="G45" i="19"/>
  <c r="G46" i="19"/>
  <c r="G47" i="19"/>
  <c r="G15" i="19"/>
  <c r="G20" i="15"/>
  <c r="G21" i="15"/>
  <c r="G22" i="15"/>
  <c r="G23" i="15"/>
  <c r="G25" i="15"/>
  <c r="G26" i="15"/>
  <c r="G27" i="15"/>
  <c r="G28" i="15"/>
  <c r="G29" i="15"/>
  <c r="G32" i="15"/>
  <c r="G33" i="15"/>
  <c r="G34" i="15"/>
  <c r="G35" i="15"/>
  <c r="G37" i="15"/>
  <c r="G40" i="15"/>
  <c r="G41" i="15"/>
  <c r="G42" i="15"/>
  <c r="G43" i="15"/>
  <c r="G44" i="15"/>
  <c r="G45" i="15"/>
  <c r="G46" i="15"/>
  <c r="G47" i="15"/>
  <c r="G15" i="15"/>
  <c r="G20" i="18"/>
  <c r="G21" i="18"/>
  <c r="G22" i="18"/>
  <c r="G23" i="18"/>
  <c r="G25" i="18"/>
  <c r="G26" i="18"/>
  <c r="G27" i="18"/>
  <c r="G28" i="18"/>
  <c r="G29" i="18"/>
  <c r="G32" i="18"/>
  <c r="G33" i="18"/>
  <c r="G34" i="18"/>
  <c r="G35" i="18"/>
  <c r="G37" i="18"/>
  <c r="G38" i="18"/>
  <c r="G39" i="18"/>
  <c r="G40" i="18"/>
  <c r="G41" i="18"/>
  <c r="G42" i="18"/>
  <c r="G43" i="18"/>
  <c r="G44" i="18"/>
  <c r="G45" i="18"/>
  <c r="G46" i="18"/>
  <c r="G47" i="18"/>
  <c r="G15" i="18"/>
  <c r="F30" i="17"/>
  <c r="G30" i="17" s="1"/>
  <c r="G47" i="21"/>
  <c r="G46" i="21"/>
  <c r="G45" i="21"/>
  <c r="G44" i="21"/>
  <c r="G43" i="21"/>
  <c r="G42" i="21"/>
  <c r="G41" i="21"/>
  <c r="G40" i="21"/>
  <c r="G39" i="21"/>
  <c r="G38" i="21"/>
  <c r="G37" i="21"/>
  <c r="G35" i="21"/>
  <c r="G34" i="21"/>
  <c r="G33" i="21"/>
  <c r="G32" i="21"/>
  <c r="F30" i="21"/>
  <c r="G30" i="21" s="1"/>
  <c r="G29" i="21"/>
  <c r="G28" i="21"/>
  <c r="G27" i="21"/>
  <c r="G26" i="21"/>
  <c r="G25" i="21"/>
  <c r="G23" i="21"/>
  <c r="G22" i="21"/>
  <c r="G21" i="21"/>
  <c r="G20" i="21"/>
  <c r="G47" i="16"/>
  <c r="F30" i="16"/>
  <c r="G30" i="16" s="1"/>
  <c r="G47" i="20"/>
  <c r="G46" i="20"/>
  <c r="G45" i="20"/>
  <c r="G44" i="20"/>
  <c r="G43" i="20"/>
  <c r="G42" i="20"/>
  <c r="G41" i="20"/>
  <c r="G40" i="20"/>
  <c r="G39" i="20"/>
  <c r="G38" i="20"/>
  <c r="G37" i="20"/>
  <c r="G35" i="20"/>
  <c r="G34" i="20"/>
  <c r="G33" i="20"/>
  <c r="G32" i="20"/>
  <c r="F30" i="20"/>
  <c r="G30" i="20" s="1"/>
  <c r="G29" i="20"/>
  <c r="G28" i="20"/>
  <c r="G27" i="20"/>
  <c r="G26" i="20"/>
  <c r="G25" i="20"/>
  <c r="G23" i="20"/>
  <c r="G22" i="20"/>
  <c r="G21" i="20"/>
  <c r="G20" i="20"/>
  <c r="F30" i="19"/>
  <c r="G30" i="19" s="1"/>
  <c r="G47" i="14"/>
  <c r="G46" i="14"/>
  <c r="G45" i="14"/>
  <c r="G44" i="14"/>
  <c r="G43" i="14"/>
  <c r="G42" i="14"/>
  <c r="G41" i="14"/>
  <c r="G40" i="14"/>
  <c r="G37" i="14"/>
  <c r="G35" i="14"/>
  <c r="G34" i="14"/>
  <c r="G33" i="14"/>
  <c r="G32" i="14"/>
  <c r="F30" i="14"/>
  <c r="G30" i="14" s="1"/>
  <c r="G29" i="14"/>
  <c r="G28" i="14"/>
  <c r="G27" i="14"/>
  <c r="G26" i="14"/>
  <c r="G25" i="14"/>
  <c r="G23" i="14"/>
  <c r="G22" i="14"/>
  <c r="G21" i="14"/>
  <c r="G20" i="14"/>
  <c r="F30" i="15"/>
  <c r="G30" i="15" s="1"/>
  <c r="G20" i="1"/>
  <c r="G21" i="1"/>
  <c r="G22" i="1"/>
  <c r="G23" i="1"/>
  <c r="G25" i="1"/>
  <c r="G26" i="1"/>
  <c r="G27" i="1"/>
  <c r="G28" i="1"/>
  <c r="G29" i="1"/>
  <c r="G32" i="1"/>
  <c r="G33" i="1"/>
  <c r="G34" i="1"/>
  <c r="G35" i="1"/>
  <c r="G37" i="1"/>
  <c r="G38" i="1"/>
  <c r="G39" i="1"/>
  <c r="G40" i="1"/>
  <c r="G41" i="1"/>
  <c r="G42" i="1"/>
  <c r="G43" i="1"/>
  <c r="G44" i="1"/>
  <c r="G45" i="1"/>
  <c r="G46" i="1"/>
  <c r="G47" i="1"/>
  <c r="A30" i="1"/>
  <c r="F30" i="1"/>
  <c r="G30" i="1" s="1"/>
  <c r="G15" i="1"/>
  <c r="A30" i="18"/>
  <c r="A48" i="18"/>
  <c r="F30" i="18" l="1"/>
  <c r="G30" i="18" s="1"/>
  <c r="F48" i="18"/>
  <c r="G48" i="18" s="1"/>
  <c r="D32" i="23"/>
  <c r="G32" i="23" s="1"/>
  <c r="D19" i="23"/>
  <c r="G19" i="23" s="1"/>
  <c r="F45" i="23"/>
  <c r="G45" i="23" s="1"/>
  <c r="A45" i="23"/>
  <c r="G44" i="23"/>
  <c r="G43" i="23"/>
  <c r="G42" i="23"/>
  <c r="G41" i="23"/>
  <c r="G40" i="23"/>
  <c r="G39" i="23"/>
  <c r="G38" i="23"/>
  <c r="G37" i="23"/>
  <c r="G36" i="23"/>
  <c r="G35" i="23"/>
  <c r="G33" i="23"/>
  <c r="F31" i="23"/>
  <c r="G31" i="23" s="1"/>
  <c r="G30" i="23"/>
  <c r="G29" i="23"/>
  <c r="G28" i="23"/>
  <c r="G27" i="23"/>
  <c r="G26" i="23"/>
  <c r="G24" i="23"/>
  <c r="G23" i="23"/>
  <c r="F18" i="23"/>
  <c r="G18" i="23" s="1"/>
  <c r="A18" i="23"/>
  <c r="A15" i="23"/>
  <c r="F14" i="23"/>
  <c r="G14" i="23" s="1"/>
  <c r="F13" i="23"/>
  <c r="G13" i="23" s="1"/>
  <c r="F12" i="23"/>
  <c r="G12" i="23" s="1"/>
  <c r="F11" i="23"/>
  <c r="G11" i="23" s="1"/>
  <c r="F10" i="23"/>
  <c r="G10" i="23" s="1"/>
  <c r="F9" i="23"/>
  <c r="G9" i="23" s="1"/>
  <c r="A9" i="23"/>
  <c r="F8" i="23"/>
  <c r="G8" i="23" s="1"/>
  <c r="A38" i="22"/>
  <c r="A39" i="22"/>
  <c r="A50" i="22"/>
  <c r="G19" i="22"/>
  <c r="G20" i="22"/>
  <c r="G21" i="22"/>
  <c r="G22" i="22"/>
  <c r="G24" i="22"/>
  <c r="G26" i="22"/>
  <c r="G28" i="22"/>
  <c r="G29" i="22"/>
  <c r="G30" i="22"/>
  <c r="G31" i="22"/>
  <c r="G32" i="22"/>
  <c r="G34" i="22"/>
  <c r="G35" i="22"/>
  <c r="G36" i="22"/>
  <c r="F38" i="22"/>
  <c r="G38" i="22" s="1"/>
  <c r="F39" i="22"/>
  <c r="G39" i="22" s="1"/>
  <c r="G40" i="22"/>
  <c r="G41" i="22"/>
  <c r="G42" i="22"/>
  <c r="G43" i="22"/>
  <c r="G44" i="22"/>
  <c r="G45" i="22"/>
  <c r="G46" i="22"/>
  <c r="G47" i="22"/>
  <c r="G48" i="22"/>
  <c r="G49" i="22"/>
  <c r="F50" i="22"/>
  <c r="G50" i="22" s="1"/>
  <c r="D37" i="22"/>
  <c r="G37" i="22" s="1"/>
  <c r="D33" i="22"/>
  <c r="G33" i="22" s="1"/>
  <c r="D27" i="22"/>
  <c r="G27" i="22" s="1"/>
  <c r="D25" i="22"/>
  <c r="G25" i="22" s="1"/>
  <c r="D23" i="22"/>
  <c r="G23" i="22" s="1"/>
  <c r="F18" i="22"/>
  <c r="G18" i="22" s="1"/>
  <c r="A18" i="22"/>
  <c r="A15" i="22"/>
  <c r="F14" i="22"/>
  <c r="G14" i="22" s="1"/>
  <c r="F13" i="22"/>
  <c r="G13" i="22" s="1"/>
  <c r="F12" i="22"/>
  <c r="G12" i="22" s="1"/>
  <c r="F11" i="22"/>
  <c r="G11" i="22" s="1"/>
  <c r="F10" i="22"/>
  <c r="G10" i="22" s="1"/>
  <c r="F9" i="22"/>
  <c r="G9" i="22" s="1"/>
  <c r="A9" i="22"/>
  <c r="A10" i="22" s="1"/>
  <c r="F8" i="22"/>
  <c r="G8" i="22" s="1"/>
  <c r="A10" i="23" l="1"/>
  <c r="A11" i="23" s="1"/>
  <c r="H15" i="23"/>
  <c r="G25" i="23"/>
  <c r="G34" i="23"/>
  <c r="A11" i="22"/>
  <c r="A12" i="22" s="1"/>
  <c r="H15" i="22"/>
  <c r="H50" i="22"/>
  <c r="H52" i="22" s="1"/>
  <c r="F48" i="21"/>
  <c r="G48" i="21" s="1"/>
  <c r="A48" i="21"/>
  <c r="D36" i="21"/>
  <c r="G36" i="21" s="1"/>
  <c r="D31" i="21"/>
  <c r="G31" i="21" s="1"/>
  <c r="A30" i="21"/>
  <c r="D24" i="21"/>
  <c r="G24" i="21" s="1"/>
  <c r="D19" i="21"/>
  <c r="G19" i="21" s="1"/>
  <c r="F18" i="21"/>
  <c r="G18" i="21" s="1"/>
  <c r="A18" i="21"/>
  <c r="A15" i="21"/>
  <c r="F14" i="21"/>
  <c r="G14" i="21" s="1"/>
  <c r="F13" i="21"/>
  <c r="G13" i="21" s="1"/>
  <c r="F12" i="21"/>
  <c r="G12" i="21" s="1"/>
  <c r="F11" i="21"/>
  <c r="G11" i="21" s="1"/>
  <c r="F10" i="21"/>
  <c r="G10" i="21" s="1"/>
  <c r="F9" i="21"/>
  <c r="G9" i="21" s="1"/>
  <c r="A9" i="21"/>
  <c r="A10" i="21" s="1"/>
  <c r="F8" i="21"/>
  <c r="G8" i="21" s="1"/>
  <c r="F48" i="20"/>
  <c r="G48" i="20" s="1"/>
  <c r="A48" i="20"/>
  <c r="D36" i="20"/>
  <c r="G36" i="20" s="1"/>
  <c r="D31" i="20"/>
  <c r="G31" i="20" s="1"/>
  <c r="D24" i="20"/>
  <c r="G24" i="20" s="1"/>
  <c r="D19" i="20"/>
  <c r="G19" i="20" s="1"/>
  <c r="F18" i="20"/>
  <c r="G18" i="20" s="1"/>
  <c r="A18" i="20"/>
  <c r="F14" i="20"/>
  <c r="G14" i="20" s="1"/>
  <c r="F13" i="20"/>
  <c r="G13" i="20" s="1"/>
  <c r="F12" i="20"/>
  <c r="G12" i="20" s="1"/>
  <c r="F11" i="20"/>
  <c r="G11" i="20" s="1"/>
  <c r="F10" i="20"/>
  <c r="G10" i="20" s="1"/>
  <c r="F9" i="20"/>
  <c r="G9" i="20" s="1"/>
  <c r="A9" i="20"/>
  <c r="F8" i="20"/>
  <c r="G8" i="20" s="1"/>
  <c r="F48" i="19"/>
  <c r="G48" i="19" s="1"/>
  <c r="A48" i="19"/>
  <c r="D36" i="19"/>
  <c r="G36" i="19" s="1"/>
  <c r="D31" i="19"/>
  <c r="G31" i="19" s="1"/>
  <c r="A30" i="19"/>
  <c r="D24" i="19"/>
  <c r="G24" i="19" s="1"/>
  <c r="D19" i="19"/>
  <c r="G19" i="19" s="1"/>
  <c r="F18" i="19"/>
  <c r="G18" i="19" s="1"/>
  <c r="A18" i="19"/>
  <c r="A15" i="19"/>
  <c r="F14" i="19"/>
  <c r="G14" i="19" s="1"/>
  <c r="F13" i="19"/>
  <c r="G13" i="19" s="1"/>
  <c r="F12" i="19"/>
  <c r="G12" i="19" s="1"/>
  <c r="F11" i="19"/>
  <c r="G11" i="19" s="1"/>
  <c r="F10" i="19"/>
  <c r="G10" i="19" s="1"/>
  <c r="F9" i="19"/>
  <c r="G9" i="19" s="1"/>
  <c r="A9" i="19"/>
  <c r="A10" i="19" s="1"/>
  <c r="F8" i="19"/>
  <c r="G8" i="19" s="1"/>
  <c r="D36" i="18"/>
  <c r="G36" i="18" s="1"/>
  <c r="D31" i="18"/>
  <c r="G31" i="18" s="1"/>
  <c r="D24" i="18"/>
  <c r="G24" i="18" s="1"/>
  <c r="D19" i="18"/>
  <c r="F18" i="18"/>
  <c r="G18" i="18" s="1"/>
  <c r="A18" i="18"/>
  <c r="A15" i="18"/>
  <c r="F14" i="18"/>
  <c r="G14" i="18" s="1"/>
  <c r="F13" i="18"/>
  <c r="G13" i="18" s="1"/>
  <c r="F12" i="18"/>
  <c r="G12" i="18" s="1"/>
  <c r="F11" i="18"/>
  <c r="G11" i="18" s="1"/>
  <c r="F10" i="18"/>
  <c r="G10" i="18" s="1"/>
  <c r="F9" i="18"/>
  <c r="G9" i="18" s="1"/>
  <c r="A9" i="18"/>
  <c r="F8" i="18"/>
  <c r="G8" i="18" s="1"/>
  <c r="D35" i="17"/>
  <c r="G35" i="17" s="1"/>
  <c r="D37" i="17"/>
  <c r="G37" i="17" s="1"/>
  <c r="D38" i="17"/>
  <c r="G38" i="17" s="1"/>
  <c r="D31" i="17"/>
  <c r="G31" i="17" s="1"/>
  <c r="D23" i="17"/>
  <c r="D22" i="17"/>
  <c r="G22" i="17" s="1"/>
  <c r="D21" i="17"/>
  <c r="D20" i="17"/>
  <c r="G20" i="17" s="1"/>
  <c r="D25" i="17"/>
  <c r="G25" i="17" s="1"/>
  <c r="D24" i="17"/>
  <c r="D27" i="17"/>
  <c r="G27" i="17" s="1"/>
  <c r="D28" i="17"/>
  <c r="G28" i="17" s="1"/>
  <c r="D29" i="17"/>
  <c r="G29" i="17" s="1"/>
  <c r="D26" i="17"/>
  <c r="G26" i="17" s="1"/>
  <c r="D19" i="17"/>
  <c r="G19" i="17" s="1"/>
  <c r="A47" i="17"/>
  <c r="F18" i="17"/>
  <c r="G18" i="17" s="1"/>
  <c r="A18" i="17"/>
  <c r="A15" i="17"/>
  <c r="F14" i="17"/>
  <c r="G14" i="17" s="1"/>
  <c r="F13" i="17"/>
  <c r="G13" i="17" s="1"/>
  <c r="F12" i="17"/>
  <c r="G12" i="17" s="1"/>
  <c r="F11" i="17"/>
  <c r="G11" i="17" s="1"/>
  <c r="F10" i="17"/>
  <c r="G10" i="17" s="1"/>
  <c r="F9" i="17"/>
  <c r="G9" i="17" s="1"/>
  <c r="A9" i="17"/>
  <c r="A10" i="17" s="1"/>
  <c r="F8" i="17"/>
  <c r="G8" i="17" s="1"/>
  <c r="D35" i="16"/>
  <c r="G35" i="16" s="1"/>
  <c r="D38" i="16"/>
  <c r="G38" i="16" s="1"/>
  <c r="D37" i="16"/>
  <c r="G37" i="16" s="1"/>
  <c r="D31" i="16"/>
  <c r="G31" i="16" s="1"/>
  <c r="D19" i="16"/>
  <c r="G19" i="16" s="1"/>
  <c r="D23" i="16"/>
  <c r="G23" i="16" s="1"/>
  <c r="D22" i="16"/>
  <c r="G22" i="16" s="1"/>
  <c r="A47" i="16"/>
  <c r="A30" i="16"/>
  <c r="F18" i="16"/>
  <c r="G18" i="16" s="1"/>
  <c r="A18" i="16"/>
  <c r="A15" i="16"/>
  <c r="F14" i="16"/>
  <c r="G14" i="16" s="1"/>
  <c r="F13" i="16"/>
  <c r="G13" i="16" s="1"/>
  <c r="F12" i="16"/>
  <c r="G12" i="16" s="1"/>
  <c r="F11" i="16"/>
  <c r="G11" i="16" s="1"/>
  <c r="F10" i="16"/>
  <c r="G10" i="16" s="1"/>
  <c r="F9" i="16"/>
  <c r="G9" i="16" s="1"/>
  <c r="A9" i="16"/>
  <c r="F8" i="16"/>
  <c r="G8" i="16" s="1"/>
  <c r="D39" i="15"/>
  <c r="G39" i="15" s="1"/>
  <c r="D39" i="14"/>
  <c r="G39" i="14" s="1"/>
  <c r="D36" i="15"/>
  <c r="G36" i="15" s="1"/>
  <c r="D31" i="15"/>
  <c r="G31" i="15" s="1"/>
  <c r="F48" i="14"/>
  <c r="G48" i="14" s="1"/>
  <c r="A30" i="14"/>
  <c r="A48" i="14"/>
  <c r="F48" i="15"/>
  <c r="G48" i="15" s="1"/>
  <c r="A48" i="15"/>
  <c r="D38" i="15"/>
  <c r="G38" i="15" s="1"/>
  <c r="A30" i="15"/>
  <c r="D24" i="15"/>
  <c r="G24" i="15" s="1"/>
  <c r="D19" i="15"/>
  <c r="G19" i="15" s="1"/>
  <c r="F18" i="15"/>
  <c r="G18" i="15" s="1"/>
  <c r="A18" i="15"/>
  <c r="A15" i="15"/>
  <c r="F14" i="15"/>
  <c r="G14" i="15" s="1"/>
  <c r="F13" i="15"/>
  <c r="G13" i="15" s="1"/>
  <c r="F12" i="15"/>
  <c r="G12" i="15" s="1"/>
  <c r="F11" i="15"/>
  <c r="G11" i="15" s="1"/>
  <c r="F10" i="15"/>
  <c r="G10" i="15" s="1"/>
  <c r="F9" i="15"/>
  <c r="G9" i="15" s="1"/>
  <c r="A9" i="15"/>
  <c r="F8" i="15"/>
  <c r="G8" i="15" s="1"/>
  <c r="D36" i="1"/>
  <c r="G36" i="1" s="1"/>
  <c r="D24" i="1"/>
  <c r="G24" i="1" s="1"/>
  <c r="A48" i="1"/>
  <c r="F48" i="1"/>
  <c r="G48" i="1" s="1"/>
  <c r="D24" i="14"/>
  <c r="G24" i="14" s="1"/>
  <c r="D36" i="14"/>
  <c r="G36" i="14" s="1"/>
  <c r="D38" i="14"/>
  <c r="G38" i="14" s="1"/>
  <c r="D31" i="14"/>
  <c r="G31" i="14" s="1"/>
  <c r="D19" i="14"/>
  <c r="G19" i="14" s="1"/>
  <c r="F18" i="14"/>
  <c r="G18" i="14" s="1"/>
  <c r="A18" i="14"/>
  <c r="A15" i="14"/>
  <c r="F14" i="14"/>
  <c r="G14" i="14" s="1"/>
  <c r="F13" i="14"/>
  <c r="G13" i="14" s="1"/>
  <c r="F12" i="14"/>
  <c r="G12" i="14" s="1"/>
  <c r="F11" i="14"/>
  <c r="G11" i="14" s="1"/>
  <c r="F10" i="14"/>
  <c r="G10" i="14" s="1"/>
  <c r="F9" i="14"/>
  <c r="G9" i="14" s="1"/>
  <c r="A9" i="14"/>
  <c r="F8" i="14"/>
  <c r="G8" i="14" s="1"/>
  <c r="D31" i="1"/>
  <c r="G31" i="1" s="1"/>
  <c r="D19" i="1"/>
  <c r="G19" i="1" s="1"/>
  <c r="G21" i="17" l="1"/>
  <c r="G23" i="17"/>
  <c r="G24" i="17"/>
  <c r="A10" i="18"/>
  <c r="H15" i="21"/>
  <c r="A12" i="23"/>
  <c r="A10" i="20"/>
  <c r="A11" i="20" s="1"/>
  <c r="A13" i="23"/>
  <c r="H15" i="17"/>
  <c r="H48" i="19"/>
  <c r="A10" i="16"/>
  <c r="A11" i="16" s="1"/>
  <c r="A12" i="16" s="1"/>
  <c r="A13" i="22"/>
  <c r="A14" i="22" s="1"/>
  <c r="G19" i="18"/>
  <c r="H48" i="18" s="1"/>
  <c r="H45" i="23"/>
  <c r="H47" i="23" s="1"/>
  <c r="H50" i="23" s="1"/>
  <c r="H55" i="22"/>
  <c r="H54" i="22"/>
  <c r="H53" i="22"/>
  <c r="H48" i="21"/>
  <c r="A11" i="21"/>
  <c r="A12" i="21" s="1"/>
  <c r="H48" i="20"/>
  <c r="H15" i="20"/>
  <c r="H15" i="19"/>
  <c r="A11" i="19"/>
  <c r="A12" i="19" s="1"/>
  <c r="A13" i="19" s="1"/>
  <c r="H15" i="18"/>
  <c r="A11" i="17"/>
  <c r="H15" i="16"/>
  <c r="H15" i="15"/>
  <c r="A10" i="15"/>
  <c r="H15" i="14"/>
  <c r="H48" i="14"/>
  <c r="A10" i="14"/>
  <c r="A12" i="20" l="1"/>
  <c r="A11" i="18"/>
  <c r="H50" i="21"/>
  <c r="H51" i="21" s="1"/>
  <c r="A13" i="20"/>
  <c r="A14" i="23"/>
  <c r="H56" i="22"/>
  <c r="H50" i="19"/>
  <c r="H52" i="19" s="1"/>
  <c r="A19" i="22"/>
  <c r="A20" i="22" s="1"/>
  <c r="H50" i="20"/>
  <c r="H52" i="20" s="1"/>
  <c r="H50" i="18"/>
  <c r="H51" i="18" s="1"/>
  <c r="H48" i="23"/>
  <c r="H49" i="23"/>
  <c r="A13" i="21"/>
  <c r="A14" i="19"/>
  <c r="H47" i="17"/>
  <c r="H49" i="17" s="1"/>
  <c r="H50" i="17" s="1"/>
  <c r="A12" i="17"/>
  <c r="A13" i="17" s="1"/>
  <c r="H47" i="16"/>
  <c r="H49" i="16" s="1"/>
  <c r="H50" i="16" s="1"/>
  <c r="A13" i="16"/>
  <c r="A14" i="16" s="1"/>
  <c r="H48" i="15"/>
  <c r="H50" i="15" s="1"/>
  <c r="A11" i="15"/>
  <c r="A11" i="14"/>
  <c r="A12" i="14" s="1"/>
  <c r="H50" i="14"/>
  <c r="A18" i="1"/>
  <c r="A9" i="1"/>
  <c r="H53" i="20" l="1"/>
  <c r="A14" i="20"/>
  <c r="H52" i="21"/>
  <c r="H53" i="21"/>
  <c r="H54" i="21" s="1"/>
  <c r="A12" i="18"/>
  <c r="H51" i="20"/>
  <c r="H54" i="20" s="1"/>
  <c r="H51" i="23"/>
  <c r="H52" i="16"/>
  <c r="H53" i="19"/>
  <c r="H51" i="19"/>
  <c r="A10" i="1"/>
  <c r="A11" i="1" s="1"/>
  <c r="A12" i="1" s="1"/>
  <c r="H51" i="16"/>
  <c r="H53" i="16" s="1"/>
  <c r="A21" i="22"/>
  <c r="H52" i="18"/>
  <c r="H53" i="18"/>
  <c r="A14" i="21"/>
  <c r="A19" i="19"/>
  <c r="H51" i="17"/>
  <c r="H52" i="17"/>
  <c r="A14" i="17"/>
  <c r="A19" i="16"/>
  <c r="H53" i="15"/>
  <c r="H52" i="15"/>
  <c r="H51" i="15"/>
  <c r="A12" i="15"/>
  <c r="A13" i="14"/>
  <c r="H53" i="14"/>
  <c r="H52" i="14"/>
  <c r="H51" i="14"/>
  <c r="A13" i="18" l="1"/>
  <c r="A19" i="17"/>
  <c r="H54" i="19"/>
  <c r="H53" i="17"/>
  <c r="H54" i="18"/>
  <c r="A19" i="20"/>
  <c r="A22" i="22"/>
  <c r="A19" i="23"/>
  <c r="A19" i="21"/>
  <c r="A20" i="19"/>
  <c r="A21" i="19" s="1"/>
  <c r="A22" i="19" s="1"/>
  <c r="A20" i="16"/>
  <c r="A21" i="16" s="1"/>
  <c r="A22" i="16" s="1"/>
  <c r="H54" i="15"/>
  <c r="A13" i="15"/>
  <c r="H54" i="14"/>
  <c r="A14" i="14"/>
  <c r="A13" i="1"/>
  <c r="A15" i="1"/>
  <c r="F14" i="1"/>
  <c r="G14" i="1" s="1"/>
  <c r="A14" i="18" l="1"/>
  <c r="A20" i="17"/>
  <c r="A21" i="17" s="1"/>
  <c r="A22" i="17" s="1"/>
  <c r="A20" i="23"/>
  <c r="A21" i="23" s="1"/>
  <c r="A20" i="20"/>
  <c r="A21" i="20" s="1"/>
  <c r="A22" i="20" s="1"/>
  <c r="A14" i="1"/>
  <c r="A23" i="22"/>
  <c r="A24" i="22" s="1"/>
  <c r="A25" i="22" s="1"/>
  <c r="A19" i="14"/>
  <c r="A19" i="18"/>
  <c r="A20" i="18" s="1"/>
  <c r="A20" i="21"/>
  <c r="A23" i="19"/>
  <c r="A23" i="16"/>
  <c r="A24" i="16" s="1"/>
  <c r="A25" i="16" s="1"/>
  <c r="A14" i="15"/>
  <c r="F18" i="1"/>
  <c r="G18" i="1" s="1"/>
  <c r="H48" i="1" s="1"/>
  <c r="A22" i="23" l="1"/>
  <c r="A23" i="23"/>
  <c r="A24" i="23" s="1"/>
  <c r="A23" i="20"/>
  <c r="A21" i="18"/>
  <c r="A22" i="18" s="1"/>
  <c r="A23" i="17"/>
  <c r="A20" i="14"/>
  <c r="A19" i="1"/>
  <c r="A26" i="22"/>
  <c r="A21" i="21"/>
  <c r="A24" i="19"/>
  <c r="A26" i="16"/>
  <c r="A27" i="16" s="1"/>
  <c r="A28" i="16" s="1"/>
  <c r="A29" i="16" s="1"/>
  <c r="A31" i="16" s="1"/>
  <c r="A32" i="16" s="1"/>
  <c r="A33" i="16" s="1"/>
  <c r="A34" i="16" s="1"/>
  <c r="A35" i="16" s="1"/>
  <c r="A36" i="16" s="1"/>
  <c r="A37" i="16" s="1"/>
  <c r="A38" i="16" s="1"/>
  <c r="A39" i="16" s="1"/>
  <c r="A40" i="16" s="1"/>
  <c r="A19" i="15"/>
  <c r="F10" i="1"/>
  <c r="G10" i="1" s="1"/>
  <c r="F11" i="1"/>
  <c r="G11" i="1" s="1"/>
  <c r="F12" i="1"/>
  <c r="G12" i="1" s="1"/>
  <c r="F13" i="1"/>
  <c r="G13" i="1" s="1"/>
  <c r="F9" i="1"/>
  <c r="G9" i="1" s="1"/>
  <c r="F8" i="1"/>
  <c r="G8" i="1" s="1"/>
  <c r="A24" i="20" l="1"/>
  <c r="A24" i="17"/>
  <c r="A23" i="18"/>
  <c r="A26" i="18" s="1"/>
  <c r="A24" i="18"/>
  <c r="A25" i="18" s="1"/>
  <c r="A25" i="23"/>
  <c r="A26" i="23" s="1"/>
  <c r="A20" i="1"/>
  <c r="A21" i="14"/>
  <c r="A27" i="22"/>
  <c r="A28" i="22" s="1"/>
  <c r="A29" i="22" s="1"/>
  <c r="A22" i="21"/>
  <c r="A23" i="21" s="1"/>
  <c r="A24" i="21" s="1"/>
  <c r="A25" i="21" s="1"/>
  <c r="A26" i="21" s="1"/>
  <c r="A27" i="21" s="1"/>
  <c r="A25" i="19"/>
  <c r="A26" i="19" s="1"/>
  <c r="A27" i="19" s="1"/>
  <c r="A28" i="19" s="1"/>
  <c r="A29" i="19" s="1"/>
  <c r="A31" i="19" s="1"/>
  <c r="A32" i="19" s="1"/>
  <c r="A33" i="19" s="1"/>
  <c r="A34" i="19" s="1"/>
  <c r="A35" i="19" s="1"/>
  <c r="A36" i="19" s="1"/>
  <c r="A37" i="19" s="1"/>
  <c r="A38" i="19" s="1"/>
  <c r="A39" i="19" s="1"/>
  <c r="A40" i="19" s="1"/>
  <c r="A41" i="19" s="1"/>
  <c r="A42" i="19" s="1"/>
  <c r="A43" i="19" s="1"/>
  <c r="A44" i="19" s="1"/>
  <c r="A45" i="19" s="1"/>
  <c r="A46" i="19" s="1"/>
  <c r="A47" i="19" s="1"/>
  <c r="A41" i="16"/>
  <c r="A42" i="16" s="1"/>
  <c r="A43" i="16" s="1"/>
  <c r="A44" i="16" s="1"/>
  <c r="A45" i="16" s="1"/>
  <c r="A46" i="16" s="1"/>
  <c r="A20" i="15"/>
  <c r="A21" i="15" s="1"/>
  <c r="H15" i="1"/>
  <c r="A27" i="18" l="1"/>
  <c r="A25" i="17"/>
  <c r="A28" i="18"/>
  <c r="A25" i="20"/>
  <c r="A21" i="1"/>
  <c r="A22" i="1" s="1"/>
  <c r="A23" i="1" s="1"/>
  <c r="A24" i="1"/>
  <c r="A25" i="1" s="1"/>
  <c r="A27" i="23"/>
  <c r="A28" i="23" s="1"/>
  <c r="A22" i="15"/>
  <c r="A23" i="15" s="1"/>
  <c r="A30" i="22"/>
  <c r="A31" i="22" s="1"/>
  <c r="A32" i="22" s="1"/>
  <c r="A33" i="22" s="1"/>
  <c r="A34" i="22" s="1"/>
  <c r="A35" i="22" s="1"/>
  <c r="A36" i="22" s="1"/>
  <c r="A37" i="22" s="1"/>
  <c r="A40" i="22" s="1"/>
  <c r="A41" i="22" s="1"/>
  <c r="A42" i="22" s="1"/>
  <c r="A43" i="22" s="1"/>
  <c r="A44" i="22" s="1"/>
  <c r="A45" i="22" s="1"/>
  <c r="A46" i="22" s="1"/>
  <c r="A47" i="22" s="1"/>
  <c r="A48" i="22" s="1"/>
  <c r="A49" i="22" s="1"/>
  <c r="A22" i="14"/>
  <c r="A23" i="14" s="1"/>
  <c r="A24" i="14" s="1"/>
  <c r="A25" i="14" s="1"/>
  <c r="A28" i="21"/>
  <c r="A29" i="21" s="1"/>
  <c r="A31" i="21" s="1"/>
  <c r="A32" i="21" s="1"/>
  <c r="A33" i="21" s="1"/>
  <c r="A34" i="21" s="1"/>
  <c r="A35" i="21" s="1"/>
  <c r="A36" i="21" s="1"/>
  <c r="A37" i="21" s="1"/>
  <c r="A38" i="21" s="1"/>
  <c r="A39" i="21" s="1"/>
  <c r="A40" i="21" s="1"/>
  <c r="A41" i="21" s="1"/>
  <c r="A42" i="21" s="1"/>
  <c r="A43" i="21" s="1"/>
  <c r="A44" i="21" s="1"/>
  <c r="A45" i="21" s="1"/>
  <c r="A46" i="21" s="1"/>
  <c r="A47" i="21" s="1"/>
  <c r="H50" i="1"/>
  <c r="A24" i="15" l="1"/>
  <c r="A25" i="15" s="1"/>
  <c r="A26" i="15" s="1"/>
  <c r="A27" i="15" s="1"/>
  <c r="A28" i="15" s="1"/>
  <c r="A29" i="15" s="1"/>
  <c r="A31" i="15" s="1"/>
  <c r="A32" i="15" s="1"/>
  <c r="A33" i="15" s="1"/>
  <c r="A34" i="15" s="1"/>
  <c r="A35" i="15" s="1"/>
  <c r="A36" i="15" s="1"/>
  <c r="A37" i="15" s="1"/>
  <c r="A38" i="15" s="1"/>
  <c r="A39" i="15" s="1"/>
  <c r="A40" i="15" s="1"/>
  <c r="A41" i="15" s="1"/>
  <c r="A42" i="15" s="1"/>
  <c r="A43" i="15" s="1"/>
  <c r="A44" i="15" s="1"/>
  <c r="A45" i="15" s="1"/>
  <c r="A46" i="15" s="1"/>
  <c r="A47" i="15" s="1"/>
  <c r="A26" i="20"/>
  <c r="A27" i="20" s="1"/>
  <c r="A28" i="20" s="1"/>
  <c r="A29" i="20" s="1"/>
  <c r="A31" i="20" s="1"/>
  <c r="A32" i="20" s="1"/>
  <c r="A33" i="20" s="1"/>
  <c r="A34" i="20" s="1"/>
  <c r="A35" i="20" s="1"/>
  <c r="A36" i="20" s="1"/>
  <c r="A37" i="20" s="1"/>
  <c r="A38" i="20" s="1"/>
  <c r="A39" i="20" s="1"/>
  <c r="A40" i="20" s="1"/>
  <c r="A41" i="20" s="1"/>
  <c r="A42" i="20" s="1"/>
  <c r="A43" i="20" s="1"/>
  <c r="A44" i="20" s="1"/>
  <c r="A45" i="20" s="1"/>
  <c r="A46" i="20" s="1"/>
  <c r="A47" i="20" s="1"/>
  <c r="A29" i="18"/>
  <c r="A31" i="18"/>
  <c r="A32" i="18" s="1"/>
  <c r="A33" i="18" s="1"/>
  <c r="A34" i="18" s="1"/>
  <c r="A35" i="18" s="1"/>
  <c r="A36" i="18" s="1"/>
  <c r="A37" i="18" s="1"/>
  <c r="A38" i="18" s="1"/>
  <c r="A39" i="18" s="1"/>
  <c r="A40" i="18" s="1"/>
  <c r="A41" i="18" s="1"/>
  <c r="A42" i="18" s="1"/>
  <c r="A43" i="18" s="1"/>
  <c r="A44" i="18" s="1"/>
  <c r="A45" i="18" s="1"/>
  <c r="A46" i="18" s="1"/>
  <c r="A47" i="18" s="1"/>
  <c r="A26" i="17"/>
  <c r="A27" i="17" s="1"/>
  <c r="A28" i="17" s="1"/>
  <c r="A29" i="17" s="1"/>
  <c r="A31" i="17" s="1"/>
  <c r="A26" i="1"/>
  <c r="A29" i="23"/>
  <c r="A30" i="23" s="1"/>
  <c r="A26" i="14"/>
  <c r="A27" i="14" s="1"/>
  <c r="H53" i="1"/>
  <c r="H52" i="1"/>
  <c r="H51" i="1"/>
  <c r="A32" i="17" l="1"/>
  <c r="A33" i="17" s="1"/>
  <c r="A34" i="17" s="1"/>
  <c r="A35" i="17" s="1"/>
  <c r="A36" i="17" s="1"/>
  <c r="A37" i="17" s="1"/>
  <c r="A38" i="17" s="1"/>
  <c r="A39" i="17" s="1"/>
  <c r="A40" i="17" s="1"/>
  <c r="A41" i="17" s="1"/>
  <c r="A42" i="17" s="1"/>
  <c r="A43" i="17" s="1"/>
  <c r="A44" i="17" s="1"/>
  <c r="A27" i="1"/>
  <c r="A28" i="1"/>
  <c r="A29" i="1" s="1"/>
  <c r="A32" i="23"/>
  <c r="A33" i="23" s="1"/>
  <c r="A34" i="23" s="1"/>
  <c r="A35" i="23" s="1"/>
  <c r="A36" i="23" s="1"/>
  <c r="A37" i="23" s="1"/>
  <c r="A38" i="23" s="1"/>
  <c r="A39" i="23" s="1"/>
  <c r="A40" i="23" s="1"/>
  <c r="A41" i="23" s="1"/>
  <c r="A42" i="23" s="1"/>
  <c r="A43" i="23" s="1"/>
  <c r="A44" i="23" s="1"/>
  <c r="A28" i="14"/>
  <c r="H54" i="1"/>
  <c r="A31" i="1" l="1"/>
  <c r="A32" i="1"/>
  <c r="A33" i="1" s="1"/>
  <c r="A34" i="1" s="1"/>
  <c r="A35" i="1" s="1"/>
  <c r="A36" i="1" s="1"/>
  <c r="A37" i="1" s="1"/>
  <c r="A38" i="1" s="1"/>
  <c r="A39" i="1" s="1"/>
  <c r="A40" i="1" s="1"/>
  <c r="A41" i="1" s="1"/>
  <c r="A42" i="1" s="1"/>
  <c r="A43" i="1" s="1"/>
  <c r="A44" i="1" s="1"/>
  <c r="A45" i="1" s="1"/>
  <c r="A46" i="1" s="1"/>
  <c r="A45" i="17"/>
  <c r="A46" i="17" s="1"/>
  <c r="A29" i="14"/>
  <c r="A31" i="14" s="1"/>
  <c r="A32" i="14" s="1"/>
  <c r="A33" i="14" s="1"/>
  <c r="A34" i="14" s="1"/>
  <c r="A35" i="14" s="1"/>
  <c r="A36" i="14" s="1"/>
  <c r="A37" i="14" s="1"/>
  <c r="A38" i="14" s="1"/>
  <c r="A39" i="14" s="1"/>
  <c r="A40" i="14" s="1"/>
  <c r="A41" i="14" s="1"/>
  <c r="A42" i="14" s="1"/>
  <c r="A43" i="14" s="1"/>
  <c r="A44" i="14" s="1"/>
  <c r="A45" i="14" s="1"/>
  <c r="A46" i="14" s="1"/>
  <c r="A47" i="14" s="1"/>
  <c r="A47" i="1" l="1"/>
</calcChain>
</file>

<file path=xl/sharedStrings.xml><?xml version="1.0" encoding="utf-8"?>
<sst xmlns="http://schemas.openxmlformats.org/spreadsheetml/2006/main" count="1156" uniqueCount="158">
  <si>
    <t>ITEM #</t>
  </si>
  <si>
    <t>DWG. #</t>
  </si>
  <si>
    <t>DESCRIPTION</t>
  </si>
  <si>
    <t>QUANTITY</t>
  </si>
  <si>
    <t>UNIT</t>
  </si>
  <si>
    <t>GENERAL REQUIREMENTS</t>
  </si>
  <si>
    <t>Supervision</t>
  </si>
  <si>
    <t>Mobilization Costs</t>
  </si>
  <si>
    <t>Project Overheads</t>
  </si>
  <si>
    <t>Bonds</t>
  </si>
  <si>
    <t>INSURANCE</t>
  </si>
  <si>
    <t>TOTAL BASE BID</t>
  </si>
  <si>
    <t>CONTINGENCY</t>
  </si>
  <si>
    <t>Permits</t>
  </si>
  <si>
    <t>LS</t>
  </si>
  <si>
    <t>Note:</t>
  </si>
  <si>
    <t>CONTACT:</t>
  </si>
  <si>
    <t>Subtotal (General Requirements)</t>
  </si>
  <si>
    <t>SUBTOTAL</t>
  </si>
  <si>
    <t>DIVISION 07- THERMAL &amp; MOISTURE PROTECTION</t>
  </si>
  <si>
    <t>Subtotal (Thermal &amp; Moisture Protection)</t>
  </si>
  <si>
    <t>Final Clean-up</t>
  </si>
  <si>
    <t>E-MAIL ADDRESS:</t>
  </si>
  <si>
    <t>PHONE NUMBER:</t>
  </si>
  <si>
    <t>Temporary Control &amp; Facilities</t>
  </si>
  <si>
    <t>CLIENT'S INFORMATION:</t>
  </si>
  <si>
    <t>SCOPE:</t>
  </si>
  <si>
    <t>PROJECT ID:</t>
  </si>
  <si>
    <t>UNIT COST</t>
  </si>
  <si>
    <t>TOTAL COST</t>
  </si>
  <si>
    <t>OVERHEAD &amp; PROFIT</t>
  </si>
  <si>
    <t>Roofing</t>
  </si>
  <si>
    <t>TRADE COST</t>
  </si>
  <si>
    <t>A1-11</t>
  </si>
  <si>
    <t>1st Floor Roof</t>
  </si>
  <si>
    <t>LF</t>
  </si>
  <si>
    <t>Gutter W/ Drip Edge</t>
  </si>
  <si>
    <t>Roof Underlayment</t>
  </si>
  <si>
    <t>Rake Board - (5/4x6) Trim</t>
  </si>
  <si>
    <t>(5/8") Sheathing</t>
  </si>
  <si>
    <t>SF</t>
  </si>
  <si>
    <t>Shingles</t>
  </si>
  <si>
    <t>#15 Felt Paper</t>
  </si>
  <si>
    <t>Insulation</t>
  </si>
  <si>
    <t>A1.12</t>
  </si>
  <si>
    <t>Roof</t>
  </si>
  <si>
    <t>EA</t>
  </si>
  <si>
    <t>Roof Step</t>
  </si>
  <si>
    <t>Fascia - (5/4x6) Trim</t>
  </si>
  <si>
    <t>(2x8) Freeze Board</t>
  </si>
  <si>
    <t>Rake Board - (5/4x8) Trim</t>
  </si>
  <si>
    <t>Fiber Cement Soffit</t>
  </si>
  <si>
    <t>Fiber-Cement Panel Ceiling W/ Battens</t>
  </si>
  <si>
    <t>(2x4) Sub Fascia</t>
  </si>
  <si>
    <r>
      <t xml:space="preserve">Downspouts W/ Heads </t>
    </r>
    <r>
      <rPr>
        <b/>
        <sz val="12"/>
        <color rgb="FFFF0000"/>
        <rFont val="Calibri"/>
        <family val="2"/>
        <scheme val="minor"/>
      </rPr>
      <t>(22 EA)</t>
    </r>
  </si>
  <si>
    <t>(2x2) Roof Vent (Assumed)</t>
  </si>
  <si>
    <t xml:space="preserve"> Date:</t>
  </si>
  <si>
    <r>
      <t xml:space="preserve">Downspouts W/ Heads </t>
    </r>
    <r>
      <rPr>
        <b/>
        <sz val="12"/>
        <color rgb="FFFF0000"/>
        <rFont val="Calibri"/>
        <family val="2"/>
        <scheme val="minor"/>
      </rPr>
      <t>(8 EA)</t>
    </r>
  </si>
  <si>
    <t>A1-21</t>
  </si>
  <si>
    <r>
      <t xml:space="preserve">Downspouts W/ Heads </t>
    </r>
    <r>
      <rPr>
        <b/>
        <sz val="12"/>
        <color rgb="FFFF0000"/>
        <rFont val="Calibri"/>
        <family val="2"/>
        <scheme val="minor"/>
      </rPr>
      <t>(26 EA)</t>
    </r>
  </si>
  <si>
    <t>Ridge</t>
  </si>
  <si>
    <t>Hip</t>
  </si>
  <si>
    <t>A1.22</t>
  </si>
  <si>
    <t>A1-31</t>
  </si>
  <si>
    <t>A1.32</t>
  </si>
  <si>
    <r>
      <t xml:space="preserve">Downspouts W/ Heads </t>
    </r>
    <r>
      <rPr>
        <b/>
        <sz val="12"/>
        <color rgb="FFFF0000"/>
        <rFont val="Calibri"/>
        <family val="2"/>
        <scheme val="minor"/>
      </rPr>
      <t>(12 EA)</t>
    </r>
  </si>
  <si>
    <t>A1-41</t>
  </si>
  <si>
    <t>A1.42</t>
  </si>
  <si>
    <r>
      <t xml:space="preserve">Downspouts W/ Heads </t>
    </r>
    <r>
      <rPr>
        <b/>
        <sz val="12"/>
        <color rgb="FFFF0000"/>
        <rFont val="Calibri"/>
        <family val="2"/>
        <scheme val="minor"/>
      </rPr>
      <t>(34 EA)</t>
    </r>
  </si>
  <si>
    <t>A1.52</t>
  </si>
  <si>
    <t>A1-51</t>
  </si>
  <si>
    <r>
      <t xml:space="preserve">Downspouts W/ Heads </t>
    </r>
    <r>
      <rPr>
        <b/>
        <sz val="12"/>
        <color rgb="FFFF0000"/>
        <rFont val="Calibri"/>
        <family val="2"/>
        <scheme val="minor"/>
      </rPr>
      <t>(25 EA)</t>
    </r>
  </si>
  <si>
    <t>A1-003</t>
  </si>
  <si>
    <r>
      <t xml:space="preserve">Downspouts W/ Heads </t>
    </r>
    <r>
      <rPr>
        <b/>
        <sz val="12"/>
        <color rgb="FFFF0000"/>
        <rFont val="Calibri"/>
        <family val="2"/>
        <scheme val="minor"/>
      </rPr>
      <t>(7 EA)</t>
    </r>
  </si>
  <si>
    <t>Furnish And Install Primary Roof Drain</t>
  </si>
  <si>
    <t>Gutter W/ Metal Drip Edge</t>
  </si>
  <si>
    <t>Prefinished Rake Edge</t>
  </si>
  <si>
    <t>(5/4x12") Metal Fascia</t>
  </si>
  <si>
    <t>(2x8) Sub Fascia</t>
  </si>
  <si>
    <t>Prefinished Peak Flashing</t>
  </si>
  <si>
    <t>Fascia Board</t>
  </si>
  <si>
    <t>Metal Gutter</t>
  </si>
  <si>
    <t>Soffit Board</t>
  </si>
  <si>
    <t>Cont. Bead Of Water Block</t>
  </si>
  <si>
    <t>Standing Seam Metal Roof</t>
  </si>
  <si>
    <t>Taper Tile Insulation</t>
  </si>
  <si>
    <t>(60) Mil Thick TPO</t>
  </si>
  <si>
    <t>Asphalt Shingles</t>
  </si>
  <si>
    <t>Underlayment</t>
  </si>
  <si>
    <t>(6") Batt Insulation</t>
  </si>
  <si>
    <t>(3/4") Roof Sheathing</t>
  </si>
  <si>
    <t>Furnish And Install Secondary Roof Drain Above Primary Roof Drain</t>
  </si>
  <si>
    <t>A1-01</t>
  </si>
  <si>
    <t>Mail &amp; Package Hub</t>
  </si>
  <si>
    <t>Storm Stop</t>
  </si>
  <si>
    <t>Ridge Vent</t>
  </si>
  <si>
    <t>(5/4x6) Fascia Board</t>
  </si>
  <si>
    <t>Pre-Formed Gutter W/ Metal Drip Edge</t>
  </si>
  <si>
    <t>(5/6x6) Cement Fiber Trim Board</t>
  </si>
  <si>
    <t>(1/4") Ventilated Fiber Cement Soffit Panel</t>
  </si>
  <si>
    <t>#15 Roofing Felt Paper</t>
  </si>
  <si>
    <t>Sheathing (Assumed)</t>
  </si>
  <si>
    <t>A1-02</t>
  </si>
  <si>
    <r>
      <t xml:space="preserve">Downspouts W/ Head </t>
    </r>
    <r>
      <rPr>
        <b/>
        <sz val="12"/>
        <color rgb="FFFF0000"/>
        <rFont val="Calibri"/>
        <family val="2"/>
        <scheme val="minor"/>
      </rPr>
      <t>(6 EA, 9'-0" High)</t>
    </r>
  </si>
  <si>
    <t>Pre-Finished Metal Gutter W/ Metal Drip Edge</t>
  </si>
  <si>
    <t>Cement Fiber Fascia</t>
  </si>
  <si>
    <t>(5/4x6) Cement Fiber Fascia</t>
  </si>
  <si>
    <t>(5/4x8) Cement Fiber Fascia</t>
  </si>
  <si>
    <t>Cement Fiber Bead Board Panel Soffit</t>
  </si>
  <si>
    <t>Architectural Shingles</t>
  </si>
  <si>
    <t>(5/8") OSB Roof Deck</t>
  </si>
  <si>
    <t>A2-02</t>
  </si>
  <si>
    <r>
      <t xml:space="preserve">Downspouts W/ Head </t>
    </r>
    <r>
      <rPr>
        <b/>
        <sz val="12"/>
        <color rgb="FFFF0000"/>
        <rFont val="Calibri"/>
        <family val="2"/>
        <scheme val="minor"/>
      </rPr>
      <t>(6 EA, 10'-4" High)</t>
    </r>
  </si>
  <si>
    <t>Garage #1 Roof</t>
  </si>
  <si>
    <t>Garage #2 Roof</t>
  </si>
  <si>
    <t>1-</t>
  </si>
  <si>
    <t>Prices can be changed based on field circumstances.</t>
  </si>
  <si>
    <t>Our Services : Muhammad@mfbzone.com</t>
  </si>
  <si>
    <r>
      <t xml:space="preserve">Scheduling | Quantities Take-offs | Cost Estimation | </t>
    </r>
    <r>
      <rPr>
        <b/>
        <sz val="16"/>
        <color rgb="FF0000B3"/>
        <rFont val="Times New Roman"/>
        <family val="1"/>
      </rPr>
      <t xml:space="preserve">Websites Development </t>
    </r>
    <r>
      <rPr>
        <b/>
        <sz val="16"/>
        <color rgb="FFC00000"/>
        <rFont val="Times New Roman"/>
        <family val="1"/>
      </rPr>
      <t>| Data Entry</t>
    </r>
  </si>
  <si>
    <t>We supply a thorough materials list that you may use to place an order with the supplier or to work on the job site. We can provide you Counts, Thickness, Height, Width, Length, Depth, Area, Yards, Pounds, Sq.Ft, LF, and other pertinent information.</t>
  </si>
  <si>
    <t>Our Average Fees are like $100, $200, $300, $500 – depending on the size and scope of the work.</t>
  </si>
  <si>
    <t>With us, you can bid more construction projects without adding More full-time staff.</t>
  </si>
  <si>
    <t>For your Scope: I can provide you the Quantities and Measurements along with Standard Labor/materials Costs. </t>
  </si>
  <si>
    <t>Accurate Quantities &amp; Cost Estimates I can provide for:</t>
  </si>
  <si>
    <t xml:space="preserve"> Earthwork  –      [Grading, Trenching, Excavation, Backfill, etc.]  </t>
  </si>
  <si>
    <t>Concrete and Rebars  –      [Beams, Columns, Footings, Piles, etc.]</t>
  </si>
  <si>
    <t>Masonry  –      [Stone, Brick, CMU]</t>
  </si>
  <si>
    <t>Metals – [Ornamental, Structural, Miscellaneous]</t>
  </si>
  <si>
    <t>Framing – [Wood &amp; Metal) - Lumber Takeoffs]</t>
  </si>
  <si>
    <t>Wood and Plastic Composites – [Finish and Rough Carpentry, Woodwork.]</t>
  </si>
  <si>
    <t>Thermal &amp; Moisture Protection – [Exterior, Roof, Damp proofing and Waterproofing, Flashing and Sheet Metal.]</t>
  </si>
  <si>
    <t>Openings – [Doors, Windows, Storefronts, Louvers, Vents, Curtain Walls, Skylights]</t>
  </si>
  <si>
    <t>Finishes – [Drywall, Flooring, Paint, Tiles, Ceilings, Wall Panels]</t>
  </si>
  <si>
    <t>Specialties – [Interior and Exterior Specialties, Safety Specialties, Storage Specialties, Fireplaces.]</t>
  </si>
  <si>
    <t>Equipment and Furnishings </t>
  </si>
  <si>
    <t>MEP – [Mechanical, Electrical, Plumbing]</t>
  </si>
  <si>
    <t>So, if you can forward me the drawings, I can review and let you know my exact fee and turnaround time. Only after your approval I will proceed and There is no fee to review the plans.</t>
  </si>
  <si>
    <t>I am already working with companies like yours for:</t>
  </si>
  <si>
    <r>
      <t xml:space="preserve">Their estimating needs to bid more jobs </t>
    </r>
    <r>
      <rPr>
        <sz val="16"/>
        <color rgb="FF0000B3"/>
        <rFont val="Aptos"/>
      </rPr>
      <t xml:space="preserve">OR </t>
    </r>
  </si>
  <si>
    <t>They use us to Compare/Cross-Check their in-house Estimates.</t>
  </si>
  <si>
    <t>By Allowing us to work with you, you can utilize your time more effectively concentrating on the job in hand.</t>
  </si>
  <si>
    <t>You will Receive:</t>
  </si>
  <si>
    <t>• Editable Takeoff Sheet [with all the materials quantities].</t>
  </si>
  <si>
    <t>• Detailed Estimate [Material, Labor, Equipment etc.]</t>
  </si>
  <si>
    <t>• Color-Coded (Markups) Drawings so that you can see how and where we took the details.</t>
  </si>
  <si>
    <t>• Summary Sheets [if required]</t>
  </si>
  <si>
    <t>• Software File [Plan Swift].</t>
  </si>
  <si>
    <t>Why US: Muhammad@mfbzone.com</t>
  </si>
  <si>
    <t>Why us:</t>
  </si>
  <si>
    <r>
      <rPr>
        <sz val="16"/>
        <color rgb="FFFF0000"/>
        <rFont val="Aptos"/>
      </rPr>
      <t xml:space="preserve">1. Accuracy: </t>
    </r>
    <r>
      <rPr>
        <sz val="16"/>
        <color rgb="FF000000"/>
        <rFont val="Aptos"/>
      </rPr>
      <t>We will never send you the work without double-checking it.</t>
    </r>
  </si>
  <si>
    <r>
      <rPr>
        <sz val="16"/>
        <color rgb="FFFF0000"/>
        <rFont val="Aptos"/>
      </rPr>
      <t xml:space="preserve">2. Availability: </t>
    </r>
    <r>
      <rPr>
        <sz val="16"/>
        <color rgb="FF000000"/>
        <rFont val="Aptos"/>
      </rPr>
      <t>We are always available for any questions/clarifications via Email or Call/Zoom or Text – 24/7.</t>
    </r>
  </si>
  <si>
    <r>
      <rPr>
        <sz val="16"/>
        <color rgb="FFFF0000"/>
        <rFont val="Aptos"/>
      </rPr>
      <t xml:space="preserve">3. Attention: </t>
    </r>
    <r>
      <rPr>
        <sz val="16"/>
        <color rgb="FF000000"/>
        <rFont val="Aptos"/>
      </rPr>
      <t>You will have our undivided attention. You will have to explain just one time what you, when you need and how you need. We will make it happen.</t>
    </r>
  </si>
  <si>
    <r>
      <rPr>
        <sz val="16"/>
        <color rgb="FFFF0000"/>
        <rFont val="Aptos"/>
      </rPr>
      <t xml:space="preserve">4. Trust Development: </t>
    </r>
    <r>
      <rPr>
        <sz val="16"/>
        <color rgb="FF000000"/>
        <rFont val="Aptos"/>
      </rPr>
      <t>We are not after one time business, we want to become an extension to your Business for all of your estimating needs, scheduling needs and Materials Takeoffs (Details).</t>
    </r>
  </si>
  <si>
    <r>
      <rPr>
        <sz val="16"/>
        <color rgb="FFFF0000"/>
        <rFont val="Aptos"/>
      </rPr>
      <t>5. Multiple Payment Options:</t>
    </r>
    <r>
      <rPr>
        <sz val="16"/>
        <color rgb="FF000000"/>
        <rFont val="Aptos"/>
      </rPr>
      <t xml:space="preserve"> You can Pay with Debit/Credit Card, Check or ACH Transfer. Also, we have options for: Zelle or PayPal.</t>
    </r>
  </si>
  <si>
    <r>
      <rPr>
        <sz val="16"/>
        <color rgb="FFFF0000"/>
        <rFont val="Aptos"/>
      </rPr>
      <t>6. Focused Work:</t>
    </r>
    <r>
      <rPr>
        <sz val="16"/>
        <color rgb="FF000000"/>
        <rFont val="Aptos"/>
      </rPr>
      <t xml:space="preserve"> We will take on projects with the highest level of detail. I think what sets us apart from other companies is our customer service, honesty, dedication, and communication. </t>
    </r>
  </si>
  <si>
    <r>
      <rPr>
        <sz val="16"/>
        <color rgb="FFFF0000"/>
        <rFont val="Aptos"/>
      </rPr>
      <t>7. Meeting Deadlines:</t>
    </r>
    <r>
      <rPr>
        <sz val="16"/>
        <color rgb="FF000000"/>
        <rFont val="Aptos"/>
      </rPr>
      <t xml:space="preserve"> We always meet the schedules and finish projects at or ahead of the deadline.</t>
    </r>
  </si>
  <si>
    <r>
      <rPr>
        <sz val="16"/>
        <color rgb="FFFF0000"/>
        <rFont val="Aptos"/>
      </rPr>
      <t xml:space="preserve">8. Experienced: </t>
    </r>
    <r>
      <rPr>
        <sz val="16"/>
        <color rgb="FF000000"/>
        <rFont val="Aptos"/>
      </rPr>
      <t>We have been in estimating business for almost 10 years now and have 90 employees. We are looking to grow slowly while maintaining our quality and commitments to our clients.</t>
    </r>
  </si>
  <si>
    <r>
      <rPr>
        <sz val="16"/>
        <color rgb="FFFF0000"/>
        <rFont val="Aptos"/>
      </rPr>
      <t xml:space="preserve">9. Surety: </t>
    </r>
    <r>
      <rPr>
        <sz val="16"/>
        <color rgb="FF000000"/>
        <rFont val="Aptos"/>
      </rPr>
      <t>With us, you will never have any issue of quality or turnaround.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</si>
</sst>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quot;$&quot;#,##0"/>
    <numFmt numFmtId="166" formatCode="0.0%"/>
    <numFmt numFmtId="167" formatCode="&quot;$&quot;#,##0.0"/>
  </numFmts>
  <fonts count="28" x14ac:knownFonts="1">
    <font>
      <sz val="11"/>
      <color theme="1"/>
      <name val="Calibri"/>
      <family val="2"/>
      <scheme val="minor"/>
    </font>
    <font>
      <b/>
      <sz val="12"/>
      <color theme="1"/>
      <name val="Calibri"/>
      <family val="2"/>
      <scheme val="minor"/>
    </font>
    <font>
      <b/>
      <u/>
      <sz val="12"/>
      <color theme="1"/>
      <name val="Calibri"/>
      <family val="2"/>
      <scheme val="minor"/>
    </font>
    <font>
      <sz val="11"/>
      <color rgb="FF0000B3"/>
      <name val="Calibri"/>
      <family val="2"/>
      <scheme val="minor"/>
    </font>
    <font>
      <sz val="12"/>
      <color theme="1"/>
      <name val="Calibri"/>
      <family val="2"/>
      <scheme val="minor"/>
    </font>
    <font>
      <u/>
      <sz val="12"/>
      <color theme="1"/>
      <name val="Calibri"/>
      <family val="2"/>
      <scheme val="minor"/>
    </font>
    <font>
      <b/>
      <sz val="14"/>
      <color theme="0"/>
      <name val="Calibri"/>
      <family val="2"/>
    </font>
    <font>
      <b/>
      <sz val="14"/>
      <name val="Calibri"/>
      <family val="2"/>
      <scheme val="minor"/>
    </font>
    <font>
      <b/>
      <sz val="11"/>
      <color theme="1"/>
      <name val="Calibri"/>
      <family val="2"/>
      <scheme val="minor"/>
    </font>
    <font>
      <sz val="12"/>
      <name val="Arial"/>
      <family val="2"/>
    </font>
    <font>
      <b/>
      <sz val="12"/>
      <name val="Arial"/>
      <family val="2"/>
    </font>
    <font>
      <sz val="12"/>
      <name val="Calibri"/>
      <family val="2"/>
      <scheme val="minor"/>
    </font>
    <font>
      <b/>
      <sz val="12"/>
      <name val="Calibri"/>
      <family val="2"/>
      <scheme val="minor"/>
    </font>
    <font>
      <b/>
      <sz val="12"/>
      <color rgb="FF0000B3"/>
      <name val="Calibri"/>
      <family val="2"/>
      <scheme val="minor"/>
    </font>
    <font>
      <b/>
      <sz val="10"/>
      <color theme="0"/>
      <name val="Calibri"/>
      <family val="2"/>
      <scheme val="minor"/>
    </font>
    <font>
      <b/>
      <sz val="12"/>
      <color rgb="FF0000CC"/>
      <name val="Calibri"/>
      <family val="2"/>
      <scheme val="minor"/>
    </font>
    <font>
      <b/>
      <sz val="12"/>
      <color rgb="FFFF0000"/>
      <name val="Calibri"/>
      <family val="2"/>
      <scheme val="minor"/>
    </font>
    <font>
      <b/>
      <sz val="18"/>
      <color theme="0"/>
      <name val="Times New Roman"/>
      <family val="1"/>
    </font>
    <font>
      <b/>
      <sz val="16"/>
      <color rgb="FFC00000"/>
      <name val="Times New Roman"/>
      <family val="1"/>
    </font>
    <font>
      <b/>
      <sz val="16"/>
      <color rgb="FF0000B3"/>
      <name val="Times New Roman"/>
      <family val="1"/>
    </font>
    <font>
      <sz val="16"/>
      <color rgb="FF000000"/>
      <name val="Aptos"/>
    </font>
    <font>
      <sz val="12"/>
      <color theme="1"/>
      <name val="Times New Roman"/>
      <family val="1"/>
    </font>
    <font>
      <b/>
      <sz val="16"/>
      <color rgb="FFFF0000"/>
      <name val="Aptos"/>
    </font>
    <font>
      <sz val="16"/>
      <color rgb="FFFF0000"/>
      <name val="Aptos"/>
    </font>
    <font>
      <sz val="16"/>
      <color rgb="FF0000B3"/>
      <name val="Aptos"/>
    </font>
    <font>
      <sz val="18"/>
      <color rgb="FFFF0000"/>
      <name val="Aptos"/>
    </font>
    <font>
      <sz val="12"/>
      <color theme="0"/>
      <name val="Calibri"/>
      <family val="2"/>
      <scheme val="minor"/>
    </font>
    <font>
      <sz val="18"/>
      <color theme="0"/>
      <name val="Times New Roman"/>
      <family val="1"/>
    </font>
  </fonts>
  <fills count="10">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7F00"/>
        <bgColor indexed="64"/>
      </patternFill>
    </fill>
    <fill>
      <patternFill patternType="solid">
        <fgColor theme="0"/>
        <bgColor indexed="64"/>
      </patternFill>
    </fill>
    <fill>
      <patternFill patternType="solid">
        <fgColor rgb="FF0000B3"/>
        <bgColor indexed="64"/>
      </patternFill>
    </fill>
    <fill>
      <patternFill patternType="solid">
        <fgColor rgb="FFFC6C00"/>
        <bgColor indexed="64"/>
      </patternFill>
    </fill>
    <fill>
      <patternFill patternType="solid">
        <fgColor rgb="FFC000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22">
    <xf numFmtId="0" fontId="0" fillId="0" borderId="0" xfId="0"/>
    <xf numFmtId="0" fontId="0" fillId="0" borderId="0" xfId="0" applyAlignment="1">
      <alignment vertical="center"/>
    </xf>
    <xf numFmtId="0" fontId="4" fillId="0" borderId="7" xfId="0" applyFont="1" applyBorder="1" applyAlignment="1">
      <alignment vertical="center"/>
    </xf>
    <xf numFmtId="165" fontId="4" fillId="0" borderId="1" xfId="0" applyNumberFormat="1" applyFont="1" applyBorder="1" applyAlignment="1">
      <alignment horizontal="right" vertical="center"/>
    </xf>
    <xf numFmtId="0" fontId="5" fillId="0" borderId="1" xfId="0" applyFont="1" applyBorder="1" applyAlignment="1">
      <alignment horizontal="center" vertical="center"/>
    </xf>
    <xf numFmtId="0" fontId="0" fillId="0" borderId="0" xfId="0" applyAlignment="1">
      <alignment horizontal="center" vertical="center"/>
    </xf>
    <xf numFmtId="0" fontId="4" fillId="0" borderId="7" xfId="0" applyFont="1" applyBorder="1" applyAlignment="1">
      <alignment horizontal="center" vertical="center"/>
    </xf>
    <xf numFmtId="0" fontId="1" fillId="0" borderId="0" xfId="0" applyFont="1" applyAlignment="1">
      <alignment horizontal="right" vertical="center"/>
    </xf>
    <xf numFmtId="0" fontId="5" fillId="0" borderId="9" xfId="0" applyFont="1" applyBorder="1" applyAlignment="1">
      <alignment horizontal="center" vertical="center"/>
    </xf>
    <xf numFmtId="0" fontId="1" fillId="2" borderId="0" xfId="0" applyFont="1" applyFill="1" applyAlignment="1">
      <alignment horizontal="right" vertical="center"/>
    </xf>
    <xf numFmtId="166" fontId="4" fillId="2" borderId="0" xfId="0" applyNumberFormat="1" applyFont="1" applyFill="1" applyAlignment="1">
      <alignment vertical="center"/>
    </xf>
    <xf numFmtId="9" fontId="1" fillId="2" borderId="0" xfId="0" applyNumberFormat="1" applyFont="1" applyFill="1" applyAlignment="1">
      <alignment vertical="center"/>
    </xf>
    <xf numFmtId="0" fontId="4" fillId="2" borderId="0" xfId="0" applyFont="1" applyFill="1" applyAlignment="1">
      <alignment vertical="center"/>
    </xf>
    <xf numFmtId="9" fontId="4" fillId="2" borderId="0" xfId="0" applyNumberFormat="1" applyFont="1" applyFill="1" applyAlignment="1">
      <alignment vertical="center"/>
    </xf>
    <xf numFmtId="166" fontId="4" fillId="2" borderId="0" xfId="0" applyNumberFormat="1" applyFont="1" applyFill="1" applyAlignment="1">
      <alignment horizontal="center" vertical="center"/>
    </xf>
    <xf numFmtId="0" fontId="4" fillId="2" borderId="0" xfId="0" applyFont="1" applyFill="1" applyAlignment="1">
      <alignment horizontal="center" vertical="center"/>
    </xf>
    <xf numFmtId="9" fontId="4" fillId="2" borderId="0" xfId="0" applyNumberFormat="1" applyFont="1" applyFill="1" applyAlignment="1">
      <alignment horizontal="center" vertical="center"/>
    </xf>
    <xf numFmtId="164" fontId="1" fillId="2" borderId="3" xfId="0" applyNumberFormat="1" applyFont="1" applyFill="1" applyBorder="1" applyAlignment="1">
      <alignment vertical="center"/>
    </xf>
    <xf numFmtId="164" fontId="1" fillId="2" borderId="3" xfId="0" applyNumberFormat="1" applyFont="1" applyFill="1" applyBorder="1" applyAlignment="1">
      <alignment horizontal="center" vertical="center"/>
    </xf>
    <xf numFmtId="166" fontId="3" fillId="8" borderId="2" xfId="0" applyNumberFormat="1" applyFont="1" applyFill="1" applyBorder="1" applyAlignment="1">
      <alignment vertical="center"/>
    </xf>
    <xf numFmtId="166" fontId="3" fillId="8" borderId="2" xfId="0" applyNumberFormat="1" applyFont="1" applyFill="1" applyBorder="1" applyAlignment="1">
      <alignment horizontal="center" vertical="center"/>
    </xf>
    <xf numFmtId="0" fontId="5" fillId="0" borderId="0" xfId="0" applyFont="1" applyAlignment="1">
      <alignment horizontal="center" vertical="center"/>
    </xf>
    <xf numFmtId="165" fontId="4" fillId="0" borderId="0" xfId="0" applyNumberFormat="1" applyFont="1" applyAlignment="1">
      <alignment horizontal="right" vertical="center"/>
    </xf>
    <xf numFmtId="165" fontId="4" fillId="0" borderId="7" xfId="0" applyNumberFormat="1" applyFont="1" applyBorder="1" applyAlignment="1">
      <alignment horizontal="center" vertical="center"/>
    </xf>
    <xf numFmtId="0" fontId="4" fillId="0" borderId="6" xfId="0" applyFont="1" applyBorder="1" applyAlignment="1">
      <alignment vertical="center"/>
    </xf>
    <xf numFmtId="0" fontId="1" fillId="3" borderId="0" xfId="0" applyFont="1" applyFill="1" applyAlignment="1">
      <alignment horizontal="center" vertical="center"/>
    </xf>
    <xf numFmtId="165" fontId="4" fillId="0" borderId="1" xfId="0" applyNumberFormat="1"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0" xfId="0" applyFont="1" applyAlignment="1">
      <alignment vertical="center"/>
    </xf>
    <xf numFmtId="0" fontId="4" fillId="0" borderId="12" xfId="0" applyFont="1" applyBorder="1" applyAlignment="1">
      <alignment horizontal="center" vertical="center"/>
    </xf>
    <xf numFmtId="0" fontId="4" fillId="0" borderId="10" xfId="0" applyFont="1" applyBorder="1" applyAlignment="1">
      <alignment horizontal="center" vertical="center"/>
    </xf>
    <xf numFmtId="165" fontId="2" fillId="0" borderId="11" xfId="0" applyNumberFormat="1" applyFont="1" applyBorder="1" applyAlignment="1">
      <alignment vertical="center"/>
    </xf>
    <xf numFmtId="0" fontId="1" fillId="0" borderId="0" xfId="0" applyFont="1" applyAlignment="1">
      <alignment horizontal="center" vertical="center"/>
    </xf>
    <xf numFmtId="0" fontId="8" fillId="0" borderId="0" xfId="0" applyFont="1" applyAlignment="1">
      <alignment horizontal="center" vertical="center"/>
    </xf>
    <xf numFmtId="0" fontId="9" fillId="6" borderId="4" xfId="0" applyFont="1" applyFill="1" applyBorder="1" applyAlignment="1">
      <alignment horizontal="centerContinuous" vertical="center"/>
    </xf>
    <xf numFmtId="0" fontId="10" fillId="6" borderId="3" xfId="0" applyFont="1" applyFill="1" applyBorder="1" applyAlignment="1">
      <alignment horizontal="center" vertical="center"/>
    </xf>
    <xf numFmtId="0" fontId="9" fillId="6" borderId="3" xfId="0" applyFont="1" applyFill="1" applyBorder="1" applyAlignment="1">
      <alignment horizontal="center" vertical="center"/>
    </xf>
    <xf numFmtId="0" fontId="9" fillId="6" borderId="5" xfId="0" applyFont="1" applyFill="1" applyBorder="1" applyAlignment="1">
      <alignment horizontal="centerContinuous" vertical="center"/>
    </xf>
    <xf numFmtId="0" fontId="9" fillId="6" borderId="10" xfId="0" applyFont="1" applyFill="1" applyBorder="1" applyAlignment="1">
      <alignment horizontal="centerContinuous" vertical="center"/>
    </xf>
    <xf numFmtId="0" fontId="10" fillId="6" borderId="0" xfId="0" applyFont="1" applyFill="1" applyAlignment="1">
      <alignment horizontal="center" vertical="center"/>
    </xf>
    <xf numFmtId="0" fontId="4" fillId="6" borderId="0" xfId="0" applyFont="1" applyFill="1" applyAlignment="1">
      <alignment vertical="center"/>
    </xf>
    <xf numFmtId="0" fontId="9" fillId="6" borderId="0" xfId="0" applyFont="1" applyFill="1" applyAlignment="1">
      <alignment horizontal="center" vertical="center"/>
    </xf>
    <xf numFmtId="0" fontId="9" fillId="6" borderId="11" xfId="0" applyFont="1" applyFill="1" applyBorder="1" applyAlignment="1">
      <alignment horizontal="centerContinuous" vertical="center"/>
    </xf>
    <xf numFmtId="0" fontId="11" fillId="6" borderId="0" xfId="0" applyFont="1" applyFill="1" applyAlignment="1">
      <alignment horizontal="center" vertical="center"/>
    </xf>
    <xf numFmtId="0" fontId="9" fillId="6" borderId="0" xfId="0" applyFont="1" applyFill="1" applyAlignment="1">
      <alignment horizontal="center" vertical="center" wrapText="1"/>
    </xf>
    <xf numFmtId="0" fontId="9" fillId="6" borderId="11" xfId="0" applyFont="1" applyFill="1" applyBorder="1" applyAlignment="1">
      <alignment vertical="center"/>
    </xf>
    <xf numFmtId="0" fontId="11" fillId="6" borderId="3" xfId="0" applyFont="1" applyFill="1" applyBorder="1" applyAlignment="1">
      <alignment horizontal="center" vertical="center"/>
    </xf>
    <xf numFmtId="0" fontId="11" fillId="6" borderId="3" xfId="0" applyFont="1" applyFill="1" applyBorder="1" applyAlignment="1">
      <alignment horizontal="centerContinuous" vertical="center"/>
    </xf>
    <xf numFmtId="0" fontId="12" fillId="6" borderId="0" xfId="0" applyFont="1" applyFill="1" applyAlignment="1">
      <alignment horizontal="right" vertical="center"/>
    </xf>
    <xf numFmtId="0" fontId="11" fillId="6" borderId="0" xfId="0" applyFont="1" applyFill="1" applyAlignment="1">
      <alignment horizontal="centerContinuous" vertical="center"/>
    </xf>
    <xf numFmtId="0" fontId="9" fillId="0" borderId="0" xfId="0" applyFont="1" applyAlignment="1">
      <alignment horizontal="centerContinuous" vertical="center"/>
    </xf>
    <xf numFmtId="0" fontId="9" fillId="0" borderId="0" xfId="0" applyFont="1" applyAlignment="1">
      <alignment horizontal="center" vertical="center"/>
    </xf>
    <xf numFmtId="0" fontId="9" fillId="0" borderId="11" xfId="0" applyFont="1" applyBorder="1" applyAlignment="1">
      <alignment horizontal="centerContinuous" vertical="center"/>
    </xf>
    <xf numFmtId="0" fontId="4" fillId="0" borderId="10" xfId="0" applyFont="1" applyBorder="1" applyAlignment="1">
      <alignment horizontal="right" vertical="center"/>
    </xf>
    <xf numFmtId="0" fontId="4" fillId="0" borderId="14" xfId="0" applyFont="1" applyBorder="1" applyAlignment="1">
      <alignment vertical="center" wrapText="1"/>
    </xf>
    <xf numFmtId="0" fontId="1" fillId="0" borderId="2" xfId="0" applyFont="1" applyBorder="1" applyAlignment="1">
      <alignment horizontal="center" vertical="center" wrapText="1"/>
    </xf>
    <xf numFmtId="0" fontId="9" fillId="0" borderId="2" xfId="0" applyFont="1" applyBorder="1" applyAlignment="1">
      <alignment horizontal="centerContinuous" vertical="center"/>
    </xf>
    <xf numFmtId="0" fontId="9" fillId="0" borderId="2" xfId="0" applyFont="1" applyBorder="1" applyAlignment="1">
      <alignment horizontal="center" vertical="center"/>
    </xf>
    <xf numFmtId="0" fontId="9" fillId="0" borderId="8" xfId="0" applyFont="1" applyBorder="1" applyAlignment="1">
      <alignment horizontal="centerContinuous" vertical="center"/>
    </xf>
    <xf numFmtId="0" fontId="4" fillId="0" borderId="13" xfId="0" applyFont="1" applyBorder="1" applyAlignment="1">
      <alignment horizontal="center" vertical="center" wrapText="1"/>
    </xf>
    <xf numFmtId="0" fontId="0" fillId="0" borderId="3" xfId="0" applyBorder="1" applyAlignment="1">
      <alignment vertical="center"/>
    </xf>
    <xf numFmtId="0" fontId="13" fillId="6" borderId="3" xfId="0" applyFont="1" applyFill="1" applyBorder="1" applyAlignment="1">
      <alignment horizontal="right" vertical="center"/>
    </xf>
    <xf numFmtId="0" fontId="12" fillId="6" borderId="10" xfId="0" applyFont="1" applyFill="1" applyBorder="1" applyAlignment="1">
      <alignment horizontal="left" vertical="center"/>
    </xf>
    <xf numFmtId="0" fontId="1" fillId="0" borderId="17" xfId="0" applyFont="1" applyBorder="1" applyAlignment="1">
      <alignment horizontal="center" vertical="center"/>
    </xf>
    <xf numFmtId="165" fontId="2" fillId="4" borderId="11" xfId="0" applyNumberFormat="1" applyFont="1" applyFill="1" applyBorder="1" applyAlignment="1">
      <alignment vertical="center"/>
    </xf>
    <xf numFmtId="0" fontId="0" fillId="0" borderId="10" xfId="0" applyBorder="1" applyAlignment="1">
      <alignment vertical="center"/>
    </xf>
    <xf numFmtId="0" fontId="4" fillId="0" borderId="12" xfId="0" applyFont="1" applyBorder="1" applyAlignment="1">
      <alignment horizontal="center" vertical="center" wrapText="1"/>
    </xf>
    <xf numFmtId="0" fontId="1" fillId="6" borderId="10" xfId="0" applyFont="1" applyFill="1" applyBorder="1" applyAlignment="1">
      <alignment horizontal="left" vertical="center"/>
    </xf>
    <xf numFmtId="0" fontId="12" fillId="6" borderId="0" xfId="0" applyFont="1" applyFill="1" applyAlignment="1">
      <alignment horizontal="center" vertical="center"/>
    </xf>
    <xf numFmtId="0" fontId="14" fillId="5" borderId="0" xfId="0" applyFont="1" applyFill="1" applyAlignment="1">
      <alignment horizontal="center" vertical="center" wrapText="1"/>
    </xf>
    <xf numFmtId="0" fontId="14" fillId="5" borderId="11" xfId="0" applyFont="1" applyFill="1" applyBorder="1" applyAlignment="1">
      <alignment horizontal="center" vertical="center"/>
    </xf>
    <xf numFmtId="9" fontId="1" fillId="2" borderId="0" xfId="0" applyNumberFormat="1" applyFont="1" applyFill="1" applyAlignment="1">
      <alignment horizontal="center" vertical="center"/>
    </xf>
    <xf numFmtId="0" fontId="14" fillId="5" borderId="10" xfId="0" applyFont="1" applyFill="1" applyBorder="1" applyAlignment="1">
      <alignment horizontal="center" vertical="center"/>
    </xf>
    <xf numFmtId="0" fontId="12" fillId="6" borderId="0" xfId="0" applyFont="1" applyFill="1" applyAlignment="1">
      <alignment horizontal="left" vertical="center" wrapText="1"/>
    </xf>
    <xf numFmtId="0" fontId="12" fillId="6" borderId="0" xfId="0" applyFont="1" applyFill="1" applyAlignment="1">
      <alignment horizontal="left" vertical="center"/>
    </xf>
    <xf numFmtId="0" fontId="14" fillId="5" borderId="0" xfId="0" applyFont="1" applyFill="1" applyAlignment="1">
      <alignment horizontal="center" vertical="center"/>
    </xf>
    <xf numFmtId="0" fontId="1" fillId="2" borderId="10" xfId="0" applyFont="1" applyFill="1" applyBorder="1" applyAlignment="1">
      <alignment vertical="center"/>
    </xf>
    <xf numFmtId="0" fontId="1" fillId="2" borderId="0" xfId="0" applyFont="1" applyFill="1" applyAlignment="1">
      <alignment vertical="center"/>
    </xf>
    <xf numFmtId="0" fontId="1" fillId="2" borderId="4" xfId="0" applyFont="1" applyFill="1" applyBorder="1" applyAlignment="1">
      <alignment vertical="center"/>
    </xf>
    <xf numFmtId="0" fontId="1" fillId="2" borderId="3" xfId="0" applyFont="1" applyFill="1" applyBorder="1" applyAlignment="1">
      <alignment vertical="center"/>
    </xf>
    <xf numFmtId="14" fontId="1" fillId="6" borderId="0" xfId="0" applyNumberFormat="1" applyFont="1" applyFill="1" applyAlignment="1">
      <alignment horizontal="center" vertical="center"/>
    </xf>
    <xf numFmtId="0" fontId="0" fillId="0" borderId="7" xfId="0" applyBorder="1" applyAlignment="1">
      <alignment horizontal="center" vertical="center"/>
    </xf>
    <xf numFmtId="0" fontId="15" fillId="0" borderId="1" xfId="0" applyFont="1" applyBorder="1" applyAlignment="1">
      <alignment horizontal="center" vertical="center"/>
    </xf>
    <xf numFmtId="0" fontId="15" fillId="0" borderId="7" xfId="0" applyFont="1" applyBorder="1" applyAlignment="1">
      <alignment horizontal="center" vertical="center"/>
    </xf>
    <xf numFmtId="0" fontId="4" fillId="0" borderId="1" xfId="0" applyFont="1" applyBorder="1" applyAlignment="1">
      <alignment horizontal="left" vertical="center"/>
    </xf>
    <xf numFmtId="1" fontId="4" fillId="0" borderId="1" xfId="0" applyNumberFormat="1" applyFont="1" applyBorder="1" applyAlignment="1">
      <alignment horizontal="center" vertical="center"/>
    </xf>
    <xf numFmtId="165" fontId="1" fillId="2" borderId="5" xfId="0" applyNumberFormat="1" applyFont="1" applyFill="1" applyBorder="1" applyAlignment="1">
      <alignment horizontal="center" vertical="center"/>
    </xf>
    <xf numFmtId="165" fontId="1" fillId="2" borderId="11" xfId="0" applyNumberFormat="1" applyFont="1" applyFill="1" applyBorder="1" applyAlignment="1">
      <alignment horizontal="center" vertical="center"/>
    </xf>
    <xf numFmtId="165" fontId="7" fillId="8" borderId="8" xfId="0" applyNumberFormat="1" applyFont="1" applyFill="1" applyBorder="1" applyAlignment="1">
      <alignment horizontal="center" vertical="center"/>
    </xf>
    <xf numFmtId="167" fontId="4" fillId="0" borderId="7" xfId="0" applyNumberFormat="1" applyFont="1" applyBorder="1" applyAlignment="1">
      <alignment horizontal="center" vertical="center"/>
    </xf>
    <xf numFmtId="0" fontId="4" fillId="0" borderId="6" xfId="0" applyFont="1" applyBorder="1" applyAlignment="1">
      <alignment horizontal="left" vertical="center"/>
    </xf>
    <xf numFmtId="0" fontId="1" fillId="0" borderId="1" xfId="0" applyFont="1" applyBorder="1" applyAlignment="1">
      <alignment horizontal="left" vertical="center"/>
    </xf>
    <xf numFmtId="0" fontId="1" fillId="0" borderId="0" xfId="0" applyFont="1" applyAlignment="1">
      <alignment horizontal="left" vertical="center"/>
    </xf>
    <xf numFmtId="0" fontId="4" fillId="3" borderId="10" xfId="0" applyFont="1" applyFill="1" applyBorder="1" applyAlignment="1">
      <alignment horizontal="center" vertical="center"/>
    </xf>
    <xf numFmtId="0" fontId="4" fillId="3" borderId="0" xfId="0" applyFont="1" applyFill="1" applyAlignment="1">
      <alignment horizontal="center" vertical="center"/>
    </xf>
    <xf numFmtId="0" fontId="4" fillId="3" borderId="11" xfId="0" applyFont="1" applyFill="1" applyBorder="1" applyAlignment="1">
      <alignment horizontal="center" vertical="center"/>
    </xf>
    <xf numFmtId="0" fontId="1" fillId="0" borderId="16" xfId="0" applyFont="1" applyBorder="1" applyAlignment="1">
      <alignment horizontal="center" vertical="center"/>
    </xf>
    <xf numFmtId="165" fontId="4" fillId="0" borderId="15" xfId="0" applyNumberFormat="1" applyFont="1" applyBorder="1" applyAlignment="1">
      <alignment horizontal="center" vertical="center"/>
    </xf>
    <xf numFmtId="0" fontId="4" fillId="0" borderId="6" xfId="0" applyFont="1" applyBorder="1" applyAlignment="1">
      <alignment horizontal="center" vertical="center"/>
    </xf>
    <xf numFmtId="0" fontId="4" fillId="0" borderId="16" xfId="0" applyFont="1" applyBorder="1" applyAlignment="1">
      <alignment horizontal="center" vertical="center"/>
    </xf>
    <xf numFmtId="0" fontId="4" fillId="0" borderId="7" xfId="0" applyFont="1" applyBorder="1" applyAlignment="1">
      <alignment horizontal="center" vertical="center"/>
    </xf>
    <xf numFmtId="0" fontId="7" fillId="8" borderId="14" xfId="0" applyFont="1" applyFill="1" applyBorder="1" applyAlignment="1">
      <alignment horizontal="center" vertical="center"/>
    </xf>
    <xf numFmtId="0" fontId="7" fillId="8" borderId="2" xfId="0" applyFont="1" applyFill="1" applyBorder="1" applyAlignment="1">
      <alignment horizontal="center" vertical="center"/>
    </xf>
    <xf numFmtId="0" fontId="6" fillId="7" borderId="18" xfId="0" applyFont="1" applyFill="1" applyBorder="1" applyAlignment="1">
      <alignment horizontal="left" vertical="center"/>
    </xf>
    <xf numFmtId="0" fontId="6" fillId="7" borderId="19" xfId="0" applyFont="1" applyFill="1" applyBorder="1" applyAlignment="1">
      <alignment horizontal="left" vertical="center"/>
    </xf>
    <xf numFmtId="0" fontId="15" fillId="0" borderId="1" xfId="0" applyFont="1" applyBorder="1" applyAlignment="1">
      <alignment horizontal="center" vertical="center"/>
    </xf>
    <xf numFmtId="0" fontId="15" fillId="0" borderId="6" xfId="0" applyFont="1" applyBorder="1" applyAlignment="1">
      <alignment horizontal="center" vertical="center"/>
    </xf>
    <xf numFmtId="0" fontId="15" fillId="0" borderId="16" xfId="0" applyFont="1" applyBorder="1" applyAlignment="1">
      <alignment horizontal="center" vertical="center"/>
    </xf>
    <xf numFmtId="0" fontId="15" fillId="0" borderId="7" xfId="0" applyFont="1" applyBorder="1" applyAlignment="1">
      <alignment horizontal="center" vertical="center"/>
    </xf>
    <xf numFmtId="0" fontId="0" fillId="6" borderId="0" xfId="0" applyFill="1"/>
    <xf numFmtId="0" fontId="17" fillId="9" borderId="0" xfId="0" applyFont="1" applyFill="1" applyAlignment="1">
      <alignment horizontal="center" vertical="center"/>
    </xf>
    <xf numFmtId="0" fontId="18" fillId="6" borderId="0" xfId="0" applyFont="1" applyFill="1"/>
    <xf numFmtId="0" fontId="20" fillId="0" borderId="0" xfId="0" applyFont="1"/>
    <xf numFmtId="0" fontId="20" fillId="6" borderId="0" xfId="0" applyFont="1" applyFill="1"/>
    <xf numFmtId="0" fontId="21" fillId="6" borderId="0" xfId="0" applyFont="1" applyFill="1" applyAlignment="1">
      <alignment horizontal="center" vertical="center"/>
    </xf>
    <xf numFmtId="0" fontId="22" fillId="6" borderId="0" xfId="0" applyFont="1" applyFill="1"/>
    <xf numFmtId="0" fontId="23" fillId="6" borderId="0" xfId="0" applyFont="1" applyFill="1"/>
    <xf numFmtId="0" fontId="25" fillId="6" borderId="0" xfId="0" applyFont="1" applyFill="1"/>
    <xf numFmtId="0" fontId="26" fillId="6" borderId="0" xfId="0" applyFont="1" applyFill="1"/>
    <xf numFmtId="0" fontId="27" fillId="9" borderId="0" xfId="0" applyFont="1" applyFill="1" applyAlignment="1">
      <alignment vertical="center"/>
    </xf>
    <xf numFmtId="0" fontId="22" fillId="0" borderId="0" xfId="0" applyFont="1"/>
  </cellXfs>
  <cellStyles count="1">
    <cellStyle name="Normal" xfId="0" builtinId="0"/>
  </cellStyles>
  <dxfs count="0"/>
  <tableStyles count="0" defaultTableStyle="TableStyleMedium9" defaultPivotStyle="PivotStyleLight16"/>
  <colors>
    <mruColors>
      <color rgb="FF0000B3"/>
      <color rgb="FF007F00"/>
      <color rgb="FFFC6C00"/>
      <color rgb="FFFF6600"/>
      <color rgb="FFFE6500"/>
      <color rgb="FF757F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409575</xdr:colOff>
      <xdr:row>0</xdr:row>
      <xdr:rowOff>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4095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457200</xdr:colOff>
      <xdr:row>0</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7244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457200</xdr:colOff>
      <xdr:row>0</xdr:row>
      <xdr:rowOff>0</xdr:rowOff>
    </xdr:from>
    <xdr:ext cx="184731"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4572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457200</xdr:colOff>
      <xdr:row>0</xdr:row>
      <xdr:rowOff>0</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4572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457200</xdr:colOff>
      <xdr:row>0</xdr:row>
      <xdr:rowOff>0</xdr:rowOff>
    </xdr:from>
    <xdr:ext cx="184731" cy="264560"/>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4572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457200</xdr:colOff>
      <xdr:row>0</xdr:row>
      <xdr:rowOff>0</xdr:rowOff>
    </xdr:from>
    <xdr:ext cx="184731" cy="264560"/>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4572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457200</xdr:colOff>
      <xdr:row>0</xdr:row>
      <xdr:rowOff>0</xdr:rowOff>
    </xdr:from>
    <xdr:ext cx="184731" cy="264560"/>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4572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457200</xdr:colOff>
      <xdr:row>0</xdr:row>
      <xdr:rowOff>0</xdr:rowOff>
    </xdr:from>
    <xdr:ext cx="184731" cy="264560"/>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4572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457200</xdr:colOff>
      <xdr:row>0</xdr:row>
      <xdr:rowOff>0</xdr:rowOff>
    </xdr:from>
    <xdr:ext cx="184731" cy="264560"/>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4572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0</xdr:col>
      <xdr:colOff>457200</xdr:colOff>
      <xdr:row>0</xdr:row>
      <xdr:rowOff>0</xdr:rowOff>
    </xdr:from>
    <xdr:ext cx="184731" cy="264560"/>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4572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0</xdr:col>
      <xdr:colOff>457200</xdr:colOff>
      <xdr:row>0</xdr:row>
      <xdr:rowOff>0</xdr:rowOff>
    </xdr:from>
    <xdr:ext cx="184731" cy="264560"/>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4572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F00"/>
    <pageSetUpPr fitToPage="1"/>
  </sheetPr>
  <dimension ref="A1:H57"/>
  <sheetViews>
    <sheetView showGridLines="0" tabSelected="1" zoomScaleNormal="100" zoomScaleSheetLayoutView="100" workbookViewId="0">
      <selection activeCell="P10" sqref="P10"/>
    </sheetView>
  </sheetViews>
  <sheetFormatPr baseColWidth="10" defaultColWidth="9.1640625" defaultRowHeight="15" x14ac:dyDescent="0.2"/>
  <cols>
    <col min="1" max="1" width="7" style="1" customWidth="1"/>
    <col min="2" max="2" width="12.1640625" style="34" customWidth="1"/>
    <col min="3" max="3" width="62.6640625" style="1" customWidth="1"/>
    <col min="4" max="4" width="11.6640625" style="5" customWidth="1"/>
    <col min="5" max="5" width="8.5" style="5" customWidth="1"/>
    <col min="6" max="6" width="15.33203125" style="1" customWidth="1"/>
    <col min="7" max="7" width="14.83203125" style="1" customWidth="1"/>
    <col min="8" max="8" width="16.1640625" style="1" customWidth="1"/>
    <col min="9" max="16384" width="9.1640625" style="1"/>
  </cols>
  <sheetData>
    <row r="1" spans="1:8" ht="18" customHeight="1" x14ac:dyDescent="0.2">
      <c r="A1" s="35"/>
      <c r="B1" s="36"/>
      <c r="C1" s="61"/>
      <c r="D1" s="37"/>
      <c r="E1" s="47"/>
      <c r="F1" s="62" t="s">
        <v>25</v>
      </c>
      <c r="G1" s="48"/>
      <c r="H1" s="38"/>
    </row>
    <row r="2" spans="1:8" ht="18" customHeight="1" x14ac:dyDescent="0.2">
      <c r="A2" s="68" t="s">
        <v>27</v>
      </c>
      <c r="B2" s="69"/>
      <c r="C2" s="74"/>
      <c r="D2" s="42"/>
      <c r="E2" s="44"/>
      <c r="F2" s="49" t="s">
        <v>16</v>
      </c>
      <c r="G2" s="50"/>
      <c r="H2" s="43"/>
    </row>
    <row r="3" spans="1:8" ht="18" customHeight="1" x14ac:dyDescent="0.2">
      <c r="A3" s="39"/>
      <c r="B3" s="40"/>
      <c r="C3" s="41"/>
      <c r="D3" s="42"/>
      <c r="E3" s="44"/>
      <c r="F3" s="49" t="s">
        <v>22</v>
      </c>
      <c r="G3" s="50"/>
      <c r="H3" s="43"/>
    </row>
    <row r="4" spans="1:8" ht="18" customHeight="1" x14ac:dyDescent="0.2">
      <c r="A4" s="63" t="s">
        <v>26</v>
      </c>
      <c r="B4" s="49"/>
      <c r="C4" s="75" t="s">
        <v>31</v>
      </c>
      <c r="D4" s="42"/>
      <c r="E4" s="44"/>
      <c r="F4" s="49" t="s">
        <v>23</v>
      </c>
      <c r="G4" s="50"/>
      <c r="H4" s="43"/>
    </row>
    <row r="5" spans="1:8" ht="18" customHeight="1" x14ac:dyDescent="0.2">
      <c r="A5" s="66"/>
      <c r="D5" s="45"/>
      <c r="E5" s="44"/>
      <c r="F5" s="49" t="s">
        <v>56</v>
      </c>
      <c r="G5" s="81"/>
      <c r="H5" s="46"/>
    </row>
    <row r="6" spans="1:8" ht="21" customHeight="1" x14ac:dyDescent="0.2">
      <c r="A6" s="73" t="s">
        <v>0</v>
      </c>
      <c r="B6" s="76" t="s">
        <v>1</v>
      </c>
      <c r="C6" s="76" t="s">
        <v>2</v>
      </c>
      <c r="D6" s="76" t="s">
        <v>3</v>
      </c>
      <c r="E6" s="76" t="s">
        <v>4</v>
      </c>
      <c r="F6" s="70" t="s">
        <v>28</v>
      </c>
      <c r="G6" s="70" t="s">
        <v>29</v>
      </c>
      <c r="H6" s="71" t="s">
        <v>32</v>
      </c>
    </row>
    <row r="7" spans="1:8" s="29" customFormat="1" ht="18" customHeight="1" x14ac:dyDescent="0.2">
      <c r="A7" s="94"/>
      <c r="B7" s="95"/>
      <c r="C7" s="25" t="s">
        <v>5</v>
      </c>
      <c r="D7" s="95"/>
      <c r="E7" s="95"/>
      <c r="F7" s="95"/>
      <c r="G7" s="95"/>
      <c r="H7" s="96"/>
    </row>
    <row r="8" spans="1:8" s="29" customFormat="1" ht="18" customHeight="1" x14ac:dyDescent="0.2">
      <c r="A8" s="30">
        <v>1</v>
      </c>
      <c r="B8" s="97"/>
      <c r="C8" s="2" t="s">
        <v>6</v>
      </c>
      <c r="D8" s="6">
        <v>1</v>
      </c>
      <c r="E8" s="6" t="s">
        <v>14</v>
      </c>
      <c r="F8" s="23">
        <f t="shared" ref="F8:F14" si="0">IF(D8=0,"",0)</f>
        <v>0</v>
      </c>
      <c r="G8" s="23">
        <f>IF(F8="","",D8*F8)</f>
        <v>0</v>
      </c>
      <c r="H8" s="98"/>
    </row>
    <row r="9" spans="1:8" s="29" customFormat="1" ht="18" customHeight="1" x14ac:dyDescent="0.2">
      <c r="A9" s="60">
        <f>IF(D9=0,"",1+MAX(A$8:A8))</f>
        <v>2</v>
      </c>
      <c r="B9" s="97"/>
      <c r="C9" s="27" t="s">
        <v>13</v>
      </c>
      <c r="D9" s="28">
        <v>1</v>
      </c>
      <c r="E9" s="28" t="s">
        <v>14</v>
      </c>
      <c r="F9" s="26">
        <f t="shared" si="0"/>
        <v>0</v>
      </c>
      <c r="G9" s="23">
        <f t="shared" ref="G9:G15" si="1">IF(F9="","",D9*F9)</f>
        <v>0</v>
      </c>
      <c r="H9" s="98"/>
    </row>
    <row r="10" spans="1:8" s="29" customFormat="1" ht="18" customHeight="1" x14ac:dyDescent="0.2">
      <c r="A10" s="60">
        <f>IF(D10=0,"",1+MAX(A$8:A9))</f>
        <v>3</v>
      </c>
      <c r="B10" s="97"/>
      <c r="C10" s="27" t="s">
        <v>21</v>
      </c>
      <c r="D10" s="28">
        <v>1</v>
      </c>
      <c r="E10" s="28" t="s">
        <v>14</v>
      </c>
      <c r="F10" s="26">
        <f t="shared" si="0"/>
        <v>0</v>
      </c>
      <c r="G10" s="23">
        <f t="shared" si="1"/>
        <v>0</v>
      </c>
      <c r="H10" s="98"/>
    </row>
    <row r="11" spans="1:8" s="29" customFormat="1" ht="18" customHeight="1" x14ac:dyDescent="0.2">
      <c r="A11" s="60">
        <f>IF(D11=0,"",1+MAX(A$8:A10))</f>
        <v>4</v>
      </c>
      <c r="B11" s="97"/>
      <c r="C11" s="27" t="s">
        <v>7</v>
      </c>
      <c r="D11" s="28">
        <v>1</v>
      </c>
      <c r="E11" s="28" t="s">
        <v>14</v>
      </c>
      <c r="F11" s="26">
        <f t="shared" si="0"/>
        <v>0</v>
      </c>
      <c r="G11" s="23">
        <f t="shared" si="1"/>
        <v>0</v>
      </c>
      <c r="H11" s="98"/>
    </row>
    <row r="12" spans="1:8" s="29" customFormat="1" ht="18" customHeight="1" x14ac:dyDescent="0.2">
      <c r="A12" s="60">
        <f>IF(D12=0,"",1+MAX(A$8:A11))</f>
        <v>5</v>
      </c>
      <c r="B12" s="97"/>
      <c r="C12" s="27" t="s">
        <v>8</v>
      </c>
      <c r="D12" s="28">
        <v>1</v>
      </c>
      <c r="E12" s="28" t="s">
        <v>14</v>
      </c>
      <c r="F12" s="26">
        <f t="shared" si="0"/>
        <v>0</v>
      </c>
      <c r="G12" s="23">
        <f t="shared" si="1"/>
        <v>0</v>
      </c>
      <c r="H12" s="98"/>
    </row>
    <row r="13" spans="1:8" s="29" customFormat="1" ht="18" customHeight="1" x14ac:dyDescent="0.2">
      <c r="A13" s="60">
        <f>IF(D13=0,"",1+MAX(A$8:A12))</f>
        <v>6</v>
      </c>
      <c r="B13" s="97"/>
      <c r="C13" s="27" t="s">
        <v>9</v>
      </c>
      <c r="D13" s="28">
        <v>1</v>
      </c>
      <c r="E13" s="28" t="s">
        <v>14</v>
      </c>
      <c r="F13" s="26">
        <f t="shared" si="0"/>
        <v>0</v>
      </c>
      <c r="G13" s="23">
        <f t="shared" si="1"/>
        <v>0</v>
      </c>
      <c r="H13" s="98"/>
    </row>
    <row r="14" spans="1:8" s="29" customFormat="1" ht="18" customHeight="1" x14ac:dyDescent="0.2">
      <c r="A14" s="60">
        <f>IF(D14=0,"",1+MAX(A$8:A13))</f>
        <v>7</v>
      </c>
      <c r="B14" s="97"/>
      <c r="C14" s="24" t="s">
        <v>24</v>
      </c>
      <c r="D14" s="28">
        <v>1</v>
      </c>
      <c r="E14" s="6" t="s">
        <v>14</v>
      </c>
      <c r="F14" s="26">
        <f t="shared" si="0"/>
        <v>0</v>
      </c>
      <c r="G14" s="23">
        <f t="shared" si="1"/>
        <v>0</v>
      </c>
      <c r="H14" s="98"/>
    </row>
    <row r="15" spans="1:8" s="29" customFormat="1" ht="18" customHeight="1" x14ac:dyDescent="0.2">
      <c r="A15" s="60" t="str">
        <f>IF(D15=0,"",1+MAX(A5:A14))</f>
        <v/>
      </c>
      <c r="B15" s="64"/>
      <c r="C15" s="9" t="s">
        <v>17</v>
      </c>
      <c r="D15" s="8"/>
      <c r="E15" s="4"/>
      <c r="F15" s="3"/>
      <c r="G15" s="23" t="str">
        <f t="shared" si="1"/>
        <v/>
      </c>
      <c r="H15" s="65">
        <f>(SUM(G8:G15))</f>
        <v>0</v>
      </c>
    </row>
    <row r="16" spans="1:8" s="29" customFormat="1" ht="18" customHeight="1" x14ac:dyDescent="0.2">
      <c r="A16" s="31"/>
      <c r="B16" s="33"/>
      <c r="C16" s="7"/>
      <c r="D16" s="21"/>
      <c r="E16" s="21"/>
      <c r="F16" s="22"/>
      <c r="G16" s="22"/>
      <c r="H16" s="32"/>
    </row>
    <row r="17" spans="1:8" s="29" customFormat="1" ht="18" customHeight="1" x14ac:dyDescent="0.2">
      <c r="A17" s="94"/>
      <c r="B17" s="95"/>
      <c r="C17" s="25" t="s">
        <v>19</v>
      </c>
      <c r="D17" s="95"/>
      <c r="E17" s="95"/>
      <c r="F17" s="95"/>
      <c r="G17" s="95"/>
      <c r="H17" s="96"/>
    </row>
    <row r="18" spans="1:8" s="29" customFormat="1" ht="18" customHeight="1" x14ac:dyDescent="0.2">
      <c r="A18" s="67" t="str">
        <f>IF(D18=0,"",1+MAX(A$7:A17))</f>
        <v/>
      </c>
      <c r="B18" s="84" t="s">
        <v>33</v>
      </c>
      <c r="C18" s="84" t="s">
        <v>34</v>
      </c>
      <c r="D18" s="6"/>
      <c r="E18" s="6"/>
      <c r="F18" s="23" t="str">
        <f t="shared" ref="F18" si="2">IF(D18=0,"",0)</f>
        <v/>
      </c>
      <c r="G18" s="23" t="str">
        <f t="shared" ref="G18" si="3">IF(F18="","",D18*F18)</f>
        <v/>
      </c>
      <c r="H18" s="98"/>
    </row>
    <row r="19" spans="1:8" s="29" customFormat="1" ht="18" customHeight="1" x14ac:dyDescent="0.2">
      <c r="A19" s="67">
        <f>IF(D19=0,"",1+MAX(A$7:A18))</f>
        <v>8</v>
      </c>
      <c r="B19" s="99"/>
      <c r="C19" s="27" t="s">
        <v>57</v>
      </c>
      <c r="D19" s="86">
        <f>8*10.66</f>
        <v>85.28</v>
      </c>
      <c r="E19" s="28" t="s">
        <v>35</v>
      </c>
      <c r="F19" s="23">
        <v>6</v>
      </c>
      <c r="G19" s="23">
        <f t="shared" ref="G19:G48" si="4">IF(F19="","",D19*F19)</f>
        <v>511.68</v>
      </c>
      <c r="H19" s="98"/>
    </row>
    <row r="20" spans="1:8" s="29" customFormat="1" ht="18" customHeight="1" x14ac:dyDescent="0.2">
      <c r="A20" s="67">
        <f>IF(D20=0,"",1+MAX(A$7:A19))</f>
        <v>9</v>
      </c>
      <c r="B20" s="100"/>
      <c r="C20" s="27" t="s">
        <v>36</v>
      </c>
      <c r="D20" s="86">
        <v>39.92</v>
      </c>
      <c r="E20" s="28" t="s">
        <v>35</v>
      </c>
      <c r="F20" s="23">
        <v>7</v>
      </c>
      <c r="G20" s="23">
        <f t="shared" si="4"/>
        <v>279.44</v>
      </c>
      <c r="H20" s="98"/>
    </row>
    <row r="21" spans="1:8" s="29" customFormat="1" ht="18" customHeight="1" x14ac:dyDescent="0.2">
      <c r="A21" s="67">
        <f>IF(D21=0,"",1+MAX(A$7:A20))</f>
        <v>10</v>
      </c>
      <c r="B21" s="100"/>
      <c r="C21" s="27" t="s">
        <v>37</v>
      </c>
      <c r="D21" s="86">
        <v>39.92</v>
      </c>
      <c r="E21" s="28" t="s">
        <v>35</v>
      </c>
      <c r="F21" s="23">
        <v>3</v>
      </c>
      <c r="G21" s="23">
        <f t="shared" si="4"/>
        <v>119.76</v>
      </c>
      <c r="H21" s="98"/>
    </row>
    <row r="22" spans="1:8" s="29" customFormat="1" ht="18" customHeight="1" x14ac:dyDescent="0.2">
      <c r="A22" s="67">
        <f>IF(D22=0,"",1+MAX(A$7:A21))</f>
        <v>11</v>
      </c>
      <c r="B22" s="100"/>
      <c r="C22" s="27" t="s">
        <v>53</v>
      </c>
      <c r="D22" s="86">
        <v>105</v>
      </c>
      <c r="E22" s="28" t="s">
        <v>35</v>
      </c>
      <c r="F22" s="23">
        <v>2</v>
      </c>
      <c r="G22" s="23">
        <f t="shared" si="4"/>
        <v>210</v>
      </c>
      <c r="H22" s="98"/>
    </row>
    <row r="23" spans="1:8" s="29" customFormat="1" ht="18" customHeight="1" x14ac:dyDescent="0.2">
      <c r="A23" s="67">
        <f>IF(D23=0,"",1+MAX(A$7:A22))</f>
        <v>12</v>
      </c>
      <c r="B23" s="100"/>
      <c r="C23" s="27" t="s">
        <v>38</v>
      </c>
      <c r="D23" s="86">
        <v>105</v>
      </c>
      <c r="E23" s="28" t="s">
        <v>35</v>
      </c>
      <c r="F23" s="23">
        <v>5</v>
      </c>
      <c r="G23" s="23">
        <f t="shared" si="4"/>
        <v>525</v>
      </c>
      <c r="H23" s="98"/>
    </row>
    <row r="24" spans="1:8" s="29" customFormat="1" ht="18" customHeight="1" x14ac:dyDescent="0.2">
      <c r="A24" s="67">
        <f>IF(D24=0,"",1+MAX(A$7:A23))</f>
        <v>13</v>
      </c>
      <c r="B24" s="100"/>
      <c r="C24" s="27" t="s">
        <v>61</v>
      </c>
      <c r="D24" s="86">
        <f>36.91*2</f>
        <v>73.819999999999993</v>
      </c>
      <c r="E24" s="28" t="s">
        <v>35</v>
      </c>
      <c r="F24" s="23">
        <v>8</v>
      </c>
      <c r="G24" s="23">
        <f t="shared" si="4"/>
        <v>590.55999999999995</v>
      </c>
      <c r="H24" s="98"/>
    </row>
    <row r="25" spans="1:8" s="29" customFormat="1" ht="18" customHeight="1" x14ac:dyDescent="0.2">
      <c r="A25" s="67">
        <f>IF(D25=0,"",1+MAX(A$7:A24))</f>
        <v>14</v>
      </c>
      <c r="B25" s="100"/>
      <c r="C25" s="27" t="s">
        <v>60</v>
      </c>
      <c r="D25" s="86">
        <v>52</v>
      </c>
      <c r="E25" s="28" t="s">
        <v>35</v>
      </c>
      <c r="F25" s="23">
        <v>9</v>
      </c>
      <c r="G25" s="23">
        <f t="shared" si="4"/>
        <v>468</v>
      </c>
      <c r="H25" s="98"/>
    </row>
    <row r="26" spans="1:8" s="29" customFormat="1" ht="18" customHeight="1" x14ac:dyDescent="0.2">
      <c r="A26" s="67">
        <f>IF(D26=0,"",1+MAX(A$7:A25))</f>
        <v>15</v>
      </c>
      <c r="B26" s="100"/>
      <c r="C26" s="27" t="s">
        <v>39</v>
      </c>
      <c r="D26" s="86">
        <v>645.46</v>
      </c>
      <c r="E26" s="28" t="s">
        <v>40</v>
      </c>
      <c r="F26" s="23">
        <v>3</v>
      </c>
      <c r="G26" s="23">
        <f t="shared" si="4"/>
        <v>1936.38</v>
      </c>
      <c r="H26" s="98"/>
    </row>
    <row r="27" spans="1:8" s="29" customFormat="1" ht="18" customHeight="1" x14ac:dyDescent="0.2">
      <c r="A27" s="67">
        <f>IF(D27=0,"",1+MAX(A$7:A26))</f>
        <v>16</v>
      </c>
      <c r="B27" s="100"/>
      <c r="C27" s="27" t="s">
        <v>41</v>
      </c>
      <c r="D27" s="86">
        <v>645.46</v>
      </c>
      <c r="E27" s="28" t="s">
        <v>40</v>
      </c>
      <c r="F27" s="23">
        <v>6</v>
      </c>
      <c r="G27" s="23">
        <f t="shared" si="4"/>
        <v>3872.76</v>
      </c>
      <c r="H27" s="98"/>
    </row>
    <row r="28" spans="1:8" s="29" customFormat="1" ht="18" customHeight="1" x14ac:dyDescent="0.2">
      <c r="A28" s="67">
        <f>IF(D28=0,"",1+MAX(A$7:A27))</f>
        <v>17</v>
      </c>
      <c r="B28" s="100"/>
      <c r="C28" s="27" t="s">
        <v>42</v>
      </c>
      <c r="D28" s="86">
        <v>645.46</v>
      </c>
      <c r="E28" s="28" t="s">
        <v>40</v>
      </c>
      <c r="F28" s="90">
        <v>1.1000000000000001</v>
      </c>
      <c r="G28" s="23">
        <f t="shared" si="4"/>
        <v>710.00600000000009</v>
      </c>
      <c r="H28" s="98"/>
    </row>
    <row r="29" spans="1:8" s="29" customFormat="1" ht="18" customHeight="1" x14ac:dyDescent="0.2">
      <c r="A29" s="67">
        <f>IF(D29=0,"",1+MAX(A$7:A28))</f>
        <v>18</v>
      </c>
      <c r="B29" s="101"/>
      <c r="C29" s="27" t="s">
        <v>43</v>
      </c>
      <c r="D29" s="86">
        <v>645.46</v>
      </c>
      <c r="E29" s="28" t="s">
        <v>40</v>
      </c>
      <c r="F29" s="90">
        <v>1.5</v>
      </c>
      <c r="G29" s="23">
        <f t="shared" si="4"/>
        <v>968.19</v>
      </c>
      <c r="H29" s="98"/>
    </row>
    <row r="30" spans="1:8" s="29" customFormat="1" ht="18" customHeight="1" x14ac:dyDescent="0.2">
      <c r="A30" s="67" t="str">
        <f>IF(D30=0,"",1+MAX(A$7:A29))</f>
        <v/>
      </c>
      <c r="B30" s="83" t="s">
        <v>44</v>
      </c>
      <c r="C30" s="83" t="s">
        <v>45</v>
      </c>
      <c r="D30" s="86"/>
      <c r="E30" s="28"/>
      <c r="F30" s="23" t="str">
        <f t="shared" ref="F30:F48" si="5">IF(D30=0,"",0)</f>
        <v/>
      </c>
      <c r="G30" s="23" t="str">
        <f t="shared" si="4"/>
        <v/>
      </c>
      <c r="H30" s="98"/>
    </row>
    <row r="31" spans="1:8" s="29" customFormat="1" ht="18" customHeight="1" x14ac:dyDescent="0.2">
      <c r="A31" s="67">
        <f>IF(D31=0,"",1+MAX(A$7:A30))</f>
        <v>19</v>
      </c>
      <c r="B31" s="99"/>
      <c r="C31" s="27" t="s">
        <v>54</v>
      </c>
      <c r="D31" s="86">
        <f>22*30.33</f>
        <v>667.26</v>
      </c>
      <c r="E31" s="28" t="s">
        <v>35</v>
      </c>
      <c r="F31" s="23">
        <v>6</v>
      </c>
      <c r="G31" s="23">
        <f t="shared" si="4"/>
        <v>4003.56</v>
      </c>
      <c r="H31" s="98"/>
    </row>
    <row r="32" spans="1:8" s="29" customFormat="1" ht="18" customHeight="1" x14ac:dyDescent="0.2">
      <c r="A32" s="67">
        <f>IF(D32=0,"",1+MAX(A$7:A31))</f>
        <v>20</v>
      </c>
      <c r="B32" s="100"/>
      <c r="C32" s="27" t="s">
        <v>55</v>
      </c>
      <c r="D32" s="86">
        <v>16</v>
      </c>
      <c r="E32" s="28" t="s">
        <v>46</v>
      </c>
      <c r="F32" s="23">
        <v>300</v>
      </c>
      <c r="G32" s="23">
        <f t="shared" si="4"/>
        <v>4800</v>
      </c>
      <c r="H32" s="98"/>
    </row>
    <row r="33" spans="1:8" s="29" customFormat="1" ht="18" customHeight="1" x14ac:dyDescent="0.2">
      <c r="A33" s="67">
        <f>IF(D33=0,"",1+MAX(A$7:A32))</f>
        <v>21</v>
      </c>
      <c r="B33" s="100"/>
      <c r="C33" s="27" t="s">
        <v>47</v>
      </c>
      <c r="D33" s="86">
        <v>63.56</v>
      </c>
      <c r="E33" s="28" t="s">
        <v>35</v>
      </c>
      <c r="F33" s="23">
        <v>5</v>
      </c>
      <c r="G33" s="23">
        <f t="shared" si="4"/>
        <v>317.8</v>
      </c>
      <c r="H33" s="98"/>
    </row>
    <row r="34" spans="1:8" s="29" customFormat="1" ht="18" customHeight="1" x14ac:dyDescent="0.2">
      <c r="A34" s="67">
        <f>IF(D34=0,"",1+MAX(A$7:A33))</f>
        <v>22</v>
      </c>
      <c r="B34" s="100"/>
      <c r="C34" s="27" t="s">
        <v>36</v>
      </c>
      <c r="D34" s="86">
        <v>297.02</v>
      </c>
      <c r="E34" s="28" t="s">
        <v>35</v>
      </c>
      <c r="F34" s="23">
        <v>7</v>
      </c>
      <c r="G34" s="23">
        <f t="shared" si="4"/>
        <v>2079.14</v>
      </c>
      <c r="H34" s="98"/>
    </row>
    <row r="35" spans="1:8" s="29" customFormat="1" ht="18" customHeight="1" x14ac:dyDescent="0.2">
      <c r="A35" s="67">
        <f>IF(D35=0,"",1+MAX(A$7:A34))</f>
        <v>23</v>
      </c>
      <c r="B35" s="100"/>
      <c r="C35" s="27" t="s">
        <v>37</v>
      </c>
      <c r="D35" s="86">
        <v>297.02</v>
      </c>
      <c r="E35" s="28" t="s">
        <v>35</v>
      </c>
      <c r="F35" s="23">
        <v>3</v>
      </c>
      <c r="G35" s="23">
        <f t="shared" si="4"/>
        <v>891.06</v>
      </c>
      <c r="H35" s="98"/>
    </row>
    <row r="36" spans="1:8" s="29" customFormat="1" ht="18" customHeight="1" x14ac:dyDescent="0.2">
      <c r="A36" s="67">
        <f>IF(D36=0,"",1+MAX(A$7:A35))</f>
        <v>24</v>
      </c>
      <c r="B36" s="100"/>
      <c r="C36" s="27" t="s">
        <v>48</v>
      </c>
      <c r="D36" s="86">
        <f>297.02+157</f>
        <v>454.02</v>
      </c>
      <c r="E36" s="28" t="s">
        <v>35</v>
      </c>
      <c r="F36" s="23">
        <v>5</v>
      </c>
      <c r="G36" s="23">
        <f t="shared" si="4"/>
        <v>2270.1</v>
      </c>
      <c r="H36" s="98"/>
    </row>
    <row r="37" spans="1:8" s="29" customFormat="1" ht="18" customHeight="1" x14ac:dyDescent="0.2">
      <c r="A37" s="67">
        <f>IF(D37=0,"",1+MAX(A$7:A36))</f>
        <v>25</v>
      </c>
      <c r="B37" s="100"/>
      <c r="C37" s="27" t="s">
        <v>49</v>
      </c>
      <c r="D37" s="86">
        <v>297.02</v>
      </c>
      <c r="E37" s="28" t="s">
        <v>35</v>
      </c>
      <c r="F37" s="23">
        <v>4</v>
      </c>
      <c r="G37" s="23">
        <f t="shared" si="4"/>
        <v>1188.08</v>
      </c>
      <c r="H37" s="98"/>
    </row>
    <row r="38" spans="1:8" s="29" customFormat="1" ht="18" customHeight="1" x14ac:dyDescent="0.2">
      <c r="A38" s="67">
        <f>IF(D38=0,"",1+MAX(A$7:A37))</f>
        <v>26</v>
      </c>
      <c r="B38" s="100"/>
      <c r="C38" s="27" t="s">
        <v>53</v>
      </c>
      <c r="D38" s="86">
        <v>557</v>
      </c>
      <c r="E38" s="28" t="s">
        <v>35</v>
      </c>
      <c r="F38" s="23">
        <v>2</v>
      </c>
      <c r="G38" s="23">
        <f t="shared" si="4"/>
        <v>1114</v>
      </c>
      <c r="H38" s="98"/>
    </row>
    <row r="39" spans="1:8" s="29" customFormat="1" ht="18" customHeight="1" x14ac:dyDescent="0.2">
      <c r="A39" s="67">
        <f>IF(D39=0,"",1+MAX(A$7:A38))</f>
        <v>27</v>
      </c>
      <c r="B39" s="100"/>
      <c r="C39" s="27" t="s">
        <v>38</v>
      </c>
      <c r="D39" s="86">
        <v>157.78</v>
      </c>
      <c r="E39" s="28" t="s">
        <v>35</v>
      </c>
      <c r="F39" s="23">
        <v>5</v>
      </c>
      <c r="G39" s="23">
        <f t="shared" si="4"/>
        <v>788.9</v>
      </c>
      <c r="H39" s="98"/>
    </row>
    <row r="40" spans="1:8" s="29" customFormat="1" ht="18" customHeight="1" x14ac:dyDescent="0.2">
      <c r="A40" s="67">
        <f>IF(D40=0,"",1+MAX(A$7:A39))</f>
        <v>28</v>
      </c>
      <c r="B40" s="100"/>
      <c r="C40" s="27" t="s">
        <v>50</v>
      </c>
      <c r="D40" s="86">
        <v>102.87</v>
      </c>
      <c r="E40" s="28" t="s">
        <v>35</v>
      </c>
      <c r="F40" s="23">
        <v>6</v>
      </c>
      <c r="G40" s="23">
        <f t="shared" si="4"/>
        <v>617.22</v>
      </c>
      <c r="H40" s="98"/>
    </row>
    <row r="41" spans="1:8" s="29" customFormat="1" ht="18" customHeight="1" x14ac:dyDescent="0.2">
      <c r="A41" s="67">
        <f>IF(D41=0,"",1+MAX(A$7:A40))</f>
        <v>29</v>
      </c>
      <c r="B41" s="100"/>
      <c r="C41" s="27" t="s">
        <v>60</v>
      </c>
      <c r="D41" s="86">
        <v>307</v>
      </c>
      <c r="E41" s="28" t="s">
        <v>35</v>
      </c>
      <c r="F41" s="23">
        <v>9</v>
      </c>
      <c r="G41" s="23">
        <f t="shared" si="4"/>
        <v>2763</v>
      </c>
      <c r="H41" s="98"/>
    </row>
    <row r="42" spans="1:8" s="29" customFormat="1" ht="18" customHeight="1" x14ac:dyDescent="0.2">
      <c r="A42" s="67">
        <f>IF(D42=0,"",1+MAX(A$7:A41))</f>
        <v>30</v>
      </c>
      <c r="B42" s="100"/>
      <c r="C42" s="27" t="s">
        <v>51</v>
      </c>
      <c r="D42" s="86">
        <v>741.3</v>
      </c>
      <c r="E42" s="28" t="s">
        <v>40</v>
      </c>
      <c r="F42" s="23">
        <v>25</v>
      </c>
      <c r="G42" s="23">
        <f t="shared" si="4"/>
        <v>18532.5</v>
      </c>
      <c r="H42" s="98"/>
    </row>
    <row r="43" spans="1:8" s="29" customFormat="1" ht="18" customHeight="1" x14ac:dyDescent="0.2">
      <c r="A43" s="67">
        <f>IF(D43=0,"",1+MAX(A$7:A42))</f>
        <v>31</v>
      </c>
      <c r="B43" s="100"/>
      <c r="C43" s="27" t="s">
        <v>52</v>
      </c>
      <c r="D43" s="86">
        <v>508.3</v>
      </c>
      <c r="E43" s="28" t="s">
        <v>40</v>
      </c>
      <c r="F43" s="23">
        <v>20</v>
      </c>
      <c r="G43" s="23">
        <f t="shared" si="4"/>
        <v>10166</v>
      </c>
      <c r="H43" s="98"/>
    </row>
    <row r="44" spans="1:8" s="29" customFormat="1" ht="18" customHeight="1" x14ac:dyDescent="0.2">
      <c r="A44" s="67">
        <f>IF(D44=0,"",1+MAX(A$7:A43))</f>
        <v>32</v>
      </c>
      <c r="B44" s="100"/>
      <c r="C44" s="27" t="s">
        <v>39</v>
      </c>
      <c r="D44" s="86">
        <v>9944</v>
      </c>
      <c r="E44" s="28" t="s">
        <v>40</v>
      </c>
      <c r="F44" s="23">
        <v>3</v>
      </c>
      <c r="G44" s="23">
        <f t="shared" si="4"/>
        <v>29832</v>
      </c>
      <c r="H44" s="98"/>
    </row>
    <row r="45" spans="1:8" s="29" customFormat="1" ht="18" customHeight="1" x14ac:dyDescent="0.2">
      <c r="A45" s="67">
        <f>IF(D45=0,"",1+MAX(A$7:A44))</f>
        <v>33</v>
      </c>
      <c r="B45" s="100"/>
      <c r="C45" s="27" t="s">
        <v>41</v>
      </c>
      <c r="D45" s="86">
        <v>9944</v>
      </c>
      <c r="E45" s="28" t="s">
        <v>40</v>
      </c>
      <c r="F45" s="23">
        <v>6</v>
      </c>
      <c r="G45" s="23">
        <f t="shared" si="4"/>
        <v>59664</v>
      </c>
      <c r="H45" s="98"/>
    </row>
    <row r="46" spans="1:8" s="29" customFormat="1" ht="18" customHeight="1" x14ac:dyDescent="0.2">
      <c r="A46" s="67">
        <f>IF(D46=0,"",1+MAX(A$7:A45))</f>
        <v>34</v>
      </c>
      <c r="B46" s="100"/>
      <c r="C46" s="27" t="s">
        <v>42</v>
      </c>
      <c r="D46" s="86">
        <v>9944</v>
      </c>
      <c r="E46" s="28" t="s">
        <v>40</v>
      </c>
      <c r="F46" s="90">
        <v>1.1000000000000001</v>
      </c>
      <c r="G46" s="23">
        <f t="shared" si="4"/>
        <v>10938.400000000001</v>
      </c>
      <c r="H46" s="98"/>
    </row>
    <row r="47" spans="1:8" s="29" customFormat="1" ht="18" customHeight="1" x14ac:dyDescent="0.2">
      <c r="A47" s="67">
        <f>IF(D47=0,"",1+MAX(A$7:A46))</f>
        <v>35</v>
      </c>
      <c r="B47" s="101"/>
      <c r="C47" s="24" t="s">
        <v>43</v>
      </c>
      <c r="D47" s="86">
        <v>9944</v>
      </c>
      <c r="E47" s="28" t="s">
        <v>40</v>
      </c>
      <c r="F47" s="90">
        <v>1.5</v>
      </c>
      <c r="G47" s="23">
        <f t="shared" si="4"/>
        <v>14916</v>
      </c>
      <c r="H47" s="98"/>
    </row>
    <row r="48" spans="1:8" s="29" customFormat="1" ht="18" customHeight="1" x14ac:dyDescent="0.2">
      <c r="A48" s="67" t="str">
        <f>IF(D48=0,"",1+MAX(A$7:A47))</f>
        <v/>
      </c>
      <c r="B48" s="64"/>
      <c r="C48" s="9" t="s">
        <v>20</v>
      </c>
      <c r="D48" s="8"/>
      <c r="E48" s="4"/>
      <c r="F48" s="23" t="str">
        <f t="shared" si="5"/>
        <v/>
      </c>
      <c r="G48" s="23" t="str">
        <f t="shared" si="4"/>
        <v/>
      </c>
      <c r="H48" s="65">
        <f>(SUM(G18:G48))</f>
        <v>175073.53599999999</v>
      </c>
    </row>
    <row r="49" spans="1:8" s="29" customFormat="1" ht="18" customHeight="1" thickBot="1" x14ac:dyDescent="0.25">
      <c r="A49" s="31"/>
      <c r="B49" s="33"/>
      <c r="C49" s="7"/>
      <c r="D49" s="21"/>
      <c r="E49" s="21"/>
      <c r="F49" s="22"/>
      <c r="G49" s="22"/>
      <c r="H49" s="32"/>
    </row>
    <row r="50" spans="1:8" s="29" customFormat="1" ht="18" customHeight="1" x14ac:dyDescent="0.2">
      <c r="A50" s="79"/>
      <c r="B50" s="80" t="s">
        <v>18</v>
      </c>
      <c r="C50" s="17"/>
      <c r="D50" s="18"/>
      <c r="E50" s="18"/>
      <c r="F50" s="17"/>
      <c r="G50" s="17"/>
      <c r="H50" s="87">
        <f>SUM(H8:H49)</f>
        <v>175073.53599999999</v>
      </c>
    </row>
    <row r="51" spans="1:8" s="29" customFormat="1" ht="18" customHeight="1" x14ac:dyDescent="0.2">
      <c r="A51" s="77"/>
      <c r="B51" s="78" t="s">
        <v>30</v>
      </c>
      <c r="C51" s="11"/>
      <c r="D51" s="72">
        <v>0.2</v>
      </c>
      <c r="E51" s="14"/>
      <c r="F51" s="10"/>
      <c r="G51" s="10"/>
      <c r="H51" s="88">
        <f>(H50*D51)</f>
        <v>35014.707199999997</v>
      </c>
    </row>
    <row r="52" spans="1:8" s="29" customFormat="1" ht="18" customHeight="1" x14ac:dyDescent="0.2">
      <c r="A52" s="77"/>
      <c r="B52" s="78" t="s">
        <v>10</v>
      </c>
      <c r="C52" s="11"/>
      <c r="D52" s="72">
        <v>0.03</v>
      </c>
      <c r="E52" s="15"/>
      <c r="F52" s="12"/>
      <c r="G52" s="12"/>
      <c r="H52" s="88">
        <f>(H50*D52)</f>
        <v>5252.2060799999999</v>
      </c>
    </row>
    <row r="53" spans="1:8" s="29" customFormat="1" ht="18" customHeight="1" x14ac:dyDescent="0.2">
      <c r="A53" s="77"/>
      <c r="B53" s="78" t="s">
        <v>12</v>
      </c>
      <c r="C53" s="11"/>
      <c r="D53" s="72">
        <v>7.0000000000000007E-2</v>
      </c>
      <c r="E53" s="16"/>
      <c r="F53" s="13"/>
      <c r="G53" s="13"/>
      <c r="H53" s="88">
        <f>(H50*D53)</f>
        <v>12255.14752</v>
      </c>
    </row>
    <row r="54" spans="1:8" ht="24" customHeight="1" thickBot="1" x14ac:dyDescent="0.25">
      <c r="A54" s="102" t="s">
        <v>11</v>
      </c>
      <c r="B54" s="103"/>
      <c r="C54" s="19"/>
      <c r="D54" s="20"/>
      <c r="E54" s="20"/>
      <c r="F54" s="19"/>
      <c r="G54" s="19"/>
      <c r="H54" s="89">
        <f>SUM(H50:H53)</f>
        <v>227595.5968</v>
      </c>
    </row>
    <row r="55" spans="1:8" s="29" customFormat="1" ht="18" customHeight="1" thickBot="1" x14ac:dyDescent="0.25">
      <c r="A55" s="104" t="s">
        <v>15</v>
      </c>
      <c r="B55" s="105"/>
      <c r="C55" s="51"/>
      <c r="D55" s="52"/>
      <c r="E55" s="52"/>
      <c r="F55" s="51"/>
      <c r="G55" s="51"/>
      <c r="H55" s="53"/>
    </row>
    <row r="56" spans="1:8" s="29" customFormat="1" ht="18" customHeight="1" x14ac:dyDescent="0.2">
      <c r="A56" s="54" t="s">
        <v>115</v>
      </c>
      <c r="B56" s="93" t="s">
        <v>116</v>
      </c>
      <c r="C56" s="93"/>
      <c r="D56" s="52"/>
      <c r="E56" s="52"/>
      <c r="F56" s="51"/>
      <c r="G56" s="51"/>
      <c r="H56" s="53"/>
    </row>
    <row r="57" spans="1:8" s="29" customFormat="1" ht="18" customHeight="1" thickBot="1" x14ac:dyDescent="0.25">
      <c r="A57" s="55"/>
      <c r="B57" s="56"/>
      <c r="C57" s="57"/>
      <c r="D57" s="58"/>
      <c r="E57" s="58"/>
      <c r="F57" s="57"/>
      <c r="G57" s="57"/>
      <c r="H57" s="59"/>
    </row>
  </sheetData>
  <mergeCells count="12">
    <mergeCell ref="B56:C56"/>
    <mergeCell ref="A7:B7"/>
    <mergeCell ref="D7:H7"/>
    <mergeCell ref="B8:B14"/>
    <mergeCell ref="H8:H14"/>
    <mergeCell ref="A17:B17"/>
    <mergeCell ref="D17:H17"/>
    <mergeCell ref="H18:H47"/>
    <mergeCell ref="B19:B29"/>
    <mergeCell ref="B31:B47"/>
    <mergeCell ref="A54:B54"/>
    <mergeCell ref="A55:B55"/>
  </mergeCells>
  <printOptions horizontalCentered="1"/>
  <pageMargins left="0" right="0" top="0" bottom="0.17" header="0" footer="0"/>
  <pageSetup paperSize="9" scale="67" fitToHeight="0" orientation="portrait"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F00"/>
    <pageSetUpPr fitToPage="1"/>
  </sheetPr>
  <dimension ref="A1:H57"/>
  <sheetViews>
    <sheetView showGridLines="0" zoomScaleNormal="100" zoomScaleSheetLayoutView="100" workbookViewId="0">
      <selection activeCell="G5" sqref="G5"/>
    </sheetView>
  </sheetViews>
  <sheetFormatPr baseColWidth="10" defaultColWidth="9.1640625" defaultRowHeight="15" x14ac:dyDescent="0.2"/>
  <cols>
    <col min="1" max="1" width="7" style="1" customWidth="1"/>
    <col min="2" max="2" width="12.1640625" style="34" customWidth="1"/>
    <col min="3" max="3" width="62.6640625" style="1" customWidth="1"/>
    <col min="4" max="4" width="11.6640625" style="5" customWidth="1"/>
    <col min="5" max="5" width="8.5" style="5" customWidth="1"/>
    <col min="6" max="6" width="15.33203125" style="1" customWidth="1"/>
    <col min="7" max="7" width="14.83203125" style="1" customWidth="1"/>
    <col min="8" max="8" width="16.1640625" style="1" customWidth="1"/>
    <col min="9" max="16384" width="9.1640625" style="1"/>
  </cols>
  <sheetData>
    <row r="1" spans="1:8" ht="18" customHeight="1" x14ac:dyDescent="0.2">
      <c r="A1" s="35"/>
      <c r="B1" s="36"/>
      <c r="C1" s="61"/>
      <c r="D1" s="37"/>
      <c r="E1" s="47"/>
      <c r="F1" s="62" t="s">
        <v>25</v>
      </c>
      <c r="G1" s="48"/>
      <c r="H1" s="38"/>
    </row>
    <row r="2" spans="1:8" ht="18" customHeight="1" x14ac:dyDescent="0.2">
      <c r="A2" s="68" t="s">
        <v>27</v>
      </c>
      <c r="B2" s="69"/>
      <c r="C2" s="74"/>
      <c r="D2" s="42"/>
      <c r="E2" s="44"/>
      <c r="F2" s="49" t="s">
        <v>16</v>
      </c>
      <c r="G2" s="50"/>
      <c r="H2" s="43"/>
    </row>
    <row r="3" spans="1:8" ht="18" customHeight="1" x14ac:dyDescent="0.2">
      <c r="A3" s="39"/>
      <c r="B3" s="40"/>
      <c r="C3" s="41"/>
      <c r="D3" s="42"/>
      <c r="E3" s="44"/>
      <c r="F3" s="49" t="s">
        <v>22</v>
      </c>
      <c r="G3" s="50"/>
      <c r="H3" s="43"/>
    </row>
    <row r="4" spans="1:8" ht="18" customHeight="1" x14ac:dyDescent="0.2">
      <c r="A4" s="63" t="s">
        <v>26</v>
      </c>
      <c r="B4" s="49"/>
      <c r="C4" s="75" t="s">
        <v>31</v>
      </c>
      <c r="D4" s="42"/>
      <c r="E4" s="44"/>
      <c r="F4" s="49" t="s">
        <v>23</v>
      </c>
      <c r="G4" s="50"/>
      <c r="H4" s="43"/>
    </row>
    <row r="5" spans="1:8" ht="18" customHeight="1" x14ac:dyDescent="0.2">
      <c r="A5" s="66"/>
      <c r="D5" s="45"/>
      <c r="E5" s="44"/>
      <c r="F5" s="49" t="s">
        <v>56</v>
      </c>
      <c r="G5" s="81"/>
      <c r="H5" s="46"/>
    </row>
    <row r="6" spans="1:8" ht="21" customHeight="1" x14ac:dyDescent="0.2">
      <c r="A6" s="73" t="s">
        <v>0</v>
      </c>
      <c r="B6" s="76" t="s">
        <v>1</v>
      </c>
      <c r="C6" s="76" t="s">
        <v>2</v>
      </c>
      <c r="D6" s="76" t="s">
        <v>3</v>
      </c>
      <c r="E6" s="76" t="s">
        <v>4</v>
      </c>
      <c r="F6" s="70" t="s">
        <v>28</v>
      </c>
      <c r="G6" s="70" t="s">
        <v>29</v>
      </c>
      <c r="H6" s="71" t="s">
        <v>32</v>
      </c>
    </row>
    <row r="7" spans="1:8" s="29" customFormat="1" ht="18" customHeight="1" x14ac:dyDescent="0.2">
      <c r="A7" s="94"/>
      <c r="B7" s="95"/>
      <c r="C7" s="25" t="s">
        <v>5</v>
      </c>
      <c r="D7" s="95"/>
      <c r="E7" s="95"/>
      <c r="F7" s="95"/>
      <c r="G7" s="95"/>
      <c r="H7" s="96"/>
    </row>
    <row r="8" spans="1:8" s="29" customFormat="1" ht="18" customHeight="1" x14ac:dyDescent="0.2">
      <c r="A8" s="30">
        <v>1</v>
      </c>
      <c r="B8" s="97"/>
      <c r="C8" s="2" t="s">
        <v>6</v>
      </c>
      <c r="D8" s="6">
        <v>1</v>
      </c>
      <c r="E8" s="6" t="s">
        <v>14</v>
      </c>
      <c r="F8" s="23">
        <f t="shared" ref="F8:F13" si="0">IF(D8=0,"",0)</f>
        <v>0</v>
      </c>
      <c r="G8" s="23">
        <f>IF(F8="","",D8*F8)</f>
        <v>0</v>
      </c>
      <c r="H8" s="98"/>
    </row>
    <row r="9" spans="1:8" s="29" customFormat="1" ht="18" customHeight="1" x14ac:dyDescent="0.2">
      <c r="A9" s="60">
        <f>IF(D9=0,"",1+MAX(A$8:A8))</f>
        <v>2</v>
      </c>
      <c r="B9" s="97"/>
      <c r="C9" s="27" t="s">
        <v>13</v>
      </c>
      <c r="D9" s="28">
        <v>1</v>
      </c>
      <c r="E9" s="28" t="s">
        <v>14</v>
      </c>
      <c r="F9" s="26">
        <f t="shared" si="0"/>
        <v>0</v>
      </c>
      <c r="G9" s="23">
        <f t="shared" ref="G9:G15" si="1">IF(F9="","",D9*F9)</f>
        <v>0</v>
      </c>
      <c r="H9" s="98"/>
    </row>
    <row r="10" spans="1:8" s="29" customFormat="1" ht="18" customHeight="1" x14ac:dyDescent="0.2">
      <c r="A10" s="60">
        <f>IF(D10=0,"",1+MAX(A$8:A9))</f>
        <v>3</v>
      </c>
      <c r="B10" s="97"/>
      <c r="C10" s="27" t="s">
        <v>21</v>
      </c>
      <c r="D10" s="28">
        <v>1</v>
      </c>
      <c r="E10" s="28" t="s">
        <v>14</v>
      </c>
      <c r="F10" s="26">
        <f t="shared" si="0"/>
        <v>0</v>
      </c>
      <c r="G10" s="23">
        <f t="shared" si="1"/>
        <v>0</v>
      </c>
      <c r="H10" s="98"/>
    </row>
    <row r="11" spans="1:8" s="29" customFormat="1" ht="18" customHeight="1" x14ac:dyDescent="0.2">
      <c r="A11" s="60">
        <f>IF(D11=0,"",1+MAX(A$8:A10))</f>
        <v>4</v>
      </c>
      <c r="B11" s="97"/>
      <c r="C11" s="27" t="s">
        <v>7</v>
      </c>
      <c r="D11" s="28">
        <v>1</v>
      </c>
      <c r="E11" s="28" t="s">
        <v>14</v>
      </c>
      <c r="F11" s="26">
        <f t="shared" si="0"/>
        <v>0</v>
      </c>
      <c r="G11" s="23">
        <f t="shared" si="1"/>
        <v>0</v>
      </c>
      <c r="H11" s="98"/>
    </row>
    <row r="12" spans="1:8" s="29" customFormat="1" ht="18" customHeight="1" x14ac:dyDescent="0.2">
      <c r="A12" s="60">
        <f>IF(D12=0,"",1+MAX(A$8:A11))</f>
        <v>5</v>
      </c>
      <c r="B12" s="97"/>
      <c r="C12" s="27" t="s">
        <v>8</v>
      </c>
      <c r="D12" s="28">
        <v>1</v>
      </c>
      <c r="E12" s="28" t="s">
        <v>14</v>
      </c>
      <c r="F12" s="26">
        <f t="shared" si="0"/>
        <v>0</v>
      </c>
      <c r="G12" s="23">
        <f t="shared" si="1"/>
        <v>0</v>
      </c>
      <c r="H12" s="98"/>
    </row>
    <row r="13" spans="1:8" s="29" customFormat="1" ht="18" customHeight="1" x14ac:dyDescent="0.2">
      <c r="A13" s="60">
        <f>IF(D13=0,"",1+MAX(A$8:A12))</f>
        <v>6</v>
      </c>
      <c r="B13" s="97"/>
      <c r="C13" s="27" t="s">
        <v>9</v>
      </c>
      <c r="D13" s="28">
        <v>1</v>
      </c>
      <c r="E13" s="28" t="s">
        <v>14</v>
      </c>
      <c r="F13" s="26">
        <f t="shared" si="0"/>
        <v>0</v>
      </c>
      <c r="G13" s="23">
        <f t="shared" si="1"/>
        <v>0</v>
      </c>
      <c r="H13" s="98"/>
    </row>
    <row r="14" spans="1:8" s="29" customFormat="1" ht="18" customHeight="1" x14ac:dyDescent="0.2">
      <c r="A14" s="60">
        <f>IF(D14=0,"",1+MAX(A$8:A13))</f>
        <v>7</v>
      </c>
      <c r="B14" s="97"/>
      <c r="C14" s="24" t="s">
        <v>24</v>
      </c>
      <c r="D14" s="28">
        <v>1</v>
      </c>
      <c r="E14" s="6" t="s">
        <v>14</v>
      </c>
      <c r="F14" s="26">
        <f t="shared" ref="F14" si="2">IF(D14=0,"",0)</f>
        <v>0</v>
      </c>
      <c r="G14" s="23">
        <f t="shared" si="1"/>
        <v>0</v>
      </c>
      <c r="H14" s="98"/>
    </row>
    <row r="15" spans="1:8" s="29" customFormat="1" ht="18" customHeight="1" x14ac:dyDescent="0.2">
      <c r="A15" s="60" t="str">
        <f>IF(D15=0,"",1+MAX(A5:A14))</f>
        <v/>
      </c>
      <c r="B15" s="64"/>
      <c r="C15" s="9" t="s">
        <v>17</v>
      </c>
      <c r="D15" s="8"/>
      <c r="E15" s="4"/>
      <c r="F15" s="3"/>
      <c r="G15" s="23" t="str">
        <f t="shared" si="1"/>
        <v/>
      </c>
      <c r="H15" s="65">
        <f>(SUM(G8:G15))</f>
        <v>0</v>
      </c>
    </row>
    <row r="16" spans="1:8" s="29" customFormat="1" ht="18" customHeight="1" x14ac:dyDescent="0.2">
      <c r="A16" s="31"/>
      <c r="B16" s="33"/>
      <c r="C16" s="7"/>
      <c r="D16" s="21"/>
      <c r="E16" s="21"/>
      <c r="F16" s="22"/>
      <c r="G16" s="22"/>
      <c r="H16" s="32"/>
    </row>
    <row r="17" spans="1:8" s="29" customFormat="1" ht="18" customHeight="1" x14ac:dyDescent="0.2">
      <c r="A17" s="94"/>
      <c r="B17" s="95"/>
      <c r="C17" s="25" t="s">
        <v>19</v>
      </c>
      <c r="D17" s="95"/>
      <c r="E17" s="95"/>
      <c r="F17" s="95"/>
      <c r="G17" s="95"/>
      <c r="H17" s="96"/>
    </row>
    <row r="18" spans="1:8" s="29" customFormat="1" ht="18" customHeight="1" x14ac:dyDescent="0.2">
      <c r="A18" s="67" t="str">
        <f>IF(D18=0,"",1+MAX(A$7:A17))</f>
        <v/>
      </c>
      <c r="B18" s="84" t="s">
        <v>33</v>
      </c>
      <c r="C18" s="84" t="s">
        <v>34</v>
      </c>
      <c r="D18" s="6"/>
      <c r="E18" s="6"/>
      <c r="F18" s="23" t="str">
        <f t="shared" ref="F18" si="3">IF(D18=0,"",0)</f>
        <v/>
      </c>
      <c r="G18" s="23" t="str">
        <f t="shared" ref="G18:G47" si="4">IF(F18="","",D18*F18)</f>
        <v/>
      </c>
      <c r="H18" s="98"/>
    </row>
    <row r="19" spans="1:8" s="29" customFormat="1" ht="18" customHeight="1" x14ac:dyDescent="0.2">
      <c r="A19" s="67">
        <f>IF(D19=0,"",1+MAX(A$7:A18))</f>
        <v>8</v>
      </c>
      <c r="B19" s="99"/>
      <c r="C19" s="27" t="s">
        <v>57</v>
      </c>
      <c r="D19" s="86">
        <f>8*10.66</f>
        <v>85.28</v>
      </c>
      <c r="E19" s="28" t="s">
        <v>35</v>
      </c>
      <c r="F19" s="23">
        <v>6</v>
      </c>
      <c r="G19" s="23">
        <f t="shared" si="4"/>
        <v>511.68</v>
      </c>
      <c r="H19" s="98"/>
    </row>
    <row r="20" spans="1:8" s="29" customFormat="1" ht="18" customHeight="1" x14ac:dyDescent="0.2">
      <c r="A20" s="67">
        <f>IF(D20=0,"",1+MAX(A$7:A19))</f>
        <v>9</v>
      </c>
      <c r="B20" s="100"/>
      <c r="C20" s="27" t="s">
        <v>36</v>
      </c>
      <c r="D20" s="86">
        <v>39.92</v>
      </c>
      <c r="E20" s="28" t="s">
        <v>35</v>
      </c>
      <c r="F20" s="23">
        <v>7</v>
      </c>
      <c r="G20" s="23">
        <f t="shared" si="4"/>
        <v>279.44</v>
      </c>
      <c r="H20" s="98"/>
    </row>
    <row r="21" spans="1:8" s="29" customFormat="1" ht="18" customHeight="1" x14ac:dyDescent="0.2">
      <c r="A21" s="67">
        <f>IF(D21=0,"",1+MAX(A$7:A20))</f>
        <v>10</v>
      </c>
      <c r="B21" s="100"/>
      <c r="C21" s="27" t="s">
        <v>37</v>
      </c>
      <c r="D21" s="86">
        <v>39.92</v>
      </c>
      <c r="E21" s="28" t="s">
        <v>35</v>
      </c>
      <c r="F21" s="23">
        <v>3</v>
      </c>
      <c r="G21" s="23">
        <f t="shared" si="4"/>
        <v>119.76</v>
      </c>
      <c r="H21" s="98"/>
    </row>
    <row r="22" spans="1:8" s="29" customFormat="1" ht="18" customHeight="1" x14ac:dyDescent="0.2">
      <c r="A22" s="67">
        <f>IF(D22=0,"",1+MAX(A$7:A21))</f>
        <v>11</v>
      </c>
      <c r="B22" s="100"/>
      <c r="C22" s="27" t="s">
        <v>53</v>
      </c>
      <c r="D22" s="86">
        <v>105</v>
      </c>
      <c r="E22" s="28" t="s">
        <v>35</v>
      </c>
      <c r="F22" s="23">
        <v>2</v>
      </c>
      <c r="G22" s="23">
        <f t="shared" si="4"/>
        <v>210</v>
      </c>
      <c r="H22" s="98"/>
    </row>
    <row r="23" spans="1:8" s="29" customFormat="1" ht="18" customHeight="1" x14ac:dyDescent="0.2">
      <c r="A23" s="67">
        <f>IF(D23=0,"",1+MAX(A$7:A22))</f>
        <v>12</v>
      </c>
      <c r="B23" s="100"/>
      <c r="C23" s="27" t="s">
        <v>38</v>
      </c>
      <c r="D23" s="86">
        <v>105</v>
      </c>
      <c r="E23" s="28" t="s">
        <v>35</v>
      </c>
      <c r="F23" s="23">
        <v>5</v>
      </c>
      <c r="G23" s="23">
        <f t="shared" si="4"/>
        <v>525</v>
      </c>
      <c r="H23" s="98"/>
    </row>
    <row r="24" spans="1:8" s="29" customFormat="1" ht="18" customHeight="1" x14ac:dyDescent="0.2">
      <c r="A24" s="67">
        <f>IF(D24=0,"",1+MAX(A$7:A23))</f>
        <v>13</v>
      </c>
      <c r="B24" s="100"/>
      <c r="C24" s="27" t="s">
        <v>61</v>
      </c>
      <c r="D24" s="86">
        <f>36.91*2</f>
        <v>73.819999999999993</v>
      </c>
      <c r="E24" s="28" t="s">
        <v>35</v>
      </c>
      <c r="F24" s="23">
        <v>8</v>
      </c>
      <c r="G24" s="23">
        <f t="shared" si="4"/>
        <v>590.55999999999995</v>
      </c>
      <c r="H24" s="98"/>
    </row>
    <row r="25" spans="1:8" s="29" customFormat="1" ht="18" customHeight="1" x14ac:dyDescent="0.2">
      <c r="A25" s="67">
        <f>IF(D25=0,"",1+MAX(A$7:A24))</f>
        <v>14</v>
      </c>
      <c r="B25" s="100"/>
      <c r="C25" s="27" t="s">
        <v>60</v>
      </c>
      <c r="D25" s="86">
        <v>52</v>
      </c>
      <c r="E25" s="28" t="s">
        <v>35</v>
      </c>
      <c r="F25" s="23">
        <v>9</v>
      </c>
      <c r="G25" s="23">
        <f t="shared" si="4"/>
        <v>468</v>
      </c>
      <c r="H25" s="98"/>
    </row>
    <row r="26" spans="1:8" s="29" customFormat="1" ht="18" customHeight="1" x14ac:dyDescent="0.2">
      <c r="A26" s="67">
        <f>IF(D26=0,"",1+MAX(A$7:A25))</f>
        <v>15</v>
      </c>
      <c r="B26" s="100"/>
      <c r="C26" s="27" t="s">
        <v>39</v>
      </c>
      <c r="D26" s="86">
        <v>645.46</v>
      </c>
      <c r="E26" s="28" t="s">
        <v>40</v>
      </c>
      <c r="F26" s="23">
        <v>3</v>
      </c>
      <c r="G26" s="23">
        <f t="shared" si="4"/>
        <v>1936.38</v>
      </c>
      <c r="H26" s="98"/>
    </row>
    <row r="27" spans="1:8" s="29" customFormat="1" ht="18" customHeight="1" x14ac:dyDescent="0.2">
      <c r="A27" s="67">
        <f>IF(D27=0,"",1+MAX(A$7:A26))</f>
        <v>16</v>
      </c>
      <c r="B27" s="100"/>
      <c r="C27" s="27" t="s">
        <v>41</v>
      </c>
      <c r="D27" s="86">
        <v>645.46</v>
      </c>
      <c r="E27" s="28" t="s">
        <v>40</v>
      </c>
      <c r="F27" s="23">
        <v>6</v>
      </c>
      <c r="G27" s="23">
        <f t="shared" si="4"/>
        <v>3872.76</v>
      </c>
      <c r="H27" s="98"/>
    </row>
    <row r="28" spans="1:8" s="29" customFormat="1" ht="18" customHeight="1" x14ac:dyDescent="0.2">
      <c r="A28" s="67">
        <f>IF(D28=0,"",1+MAX(A$7:A27))</f>
        <v>17</v>
      </c>
      <c r="B28" s="100"/>
      <c r="C28" s="27" t="s">
        <v>42</v>
      </c>
      <c r="D28" s="86">
        <v>645.46</v>
      </c>
      <c r="E28" s="28" t="s">
        <v>40</v>
      </c>
      <c r="F28" s="90">
        <v>1.1000000000000001</v>
      </c>
      <c r="G28" s="23">
        <f t="shared" si="4"/>
        <v>710.00600000000009</v>
      </c>
      <c r="H28" s="98"/>
    </row>
    <row r="29" spans="1:8" s="29" customFormat="1" ht="18" customHeight="1" x14ac:dyDescent="0.2">
      <c r="A29" s="67">
        <f>IF(D29=0,"",1+MAX(A$7:A28))</f>
        <v>18</v>
      </c>
      <c r="B29" s="101"/>
      <c r="C29" s="27" t="s">
        <v>43</v>
      </c>
      <c r="D29" s="86">
        <v>645.46</v>
      </c>
      <c r="E29" s="28" t="s">
        <v>40</v>
      </c>
      <c r="F29" s="90">
        <v>1.5</v>
      </c>
      <c r="G29" s="23">
        <f t="shared" si="4"/>
        <v>968.19</v>
      </c>
      <c r="H29" s="98"/>
    </row>
    <row r="30" spans="1:8" s="29" customFormat="1" ht="18" customHeight="1" x14ac:dyDescent="0.2">
      <c r="A30" s="67" t="str">
        <f>IF(D30=0,"",1+MAX(A$7:A29))</f>
        <v/>
      </c>
      <c r="B30" s="83" t="s">
        <v>44</v>
      </c>
      <c r="C30" s="83" t="s">
        <v>45</v>
      </c>
      <c r="D30" s="86"/>
      <c r="E30" s="28"/>
      <c r="F30" s="23" t="str">
        <f t="shared" ref="F30" si="5">IF(D30=0,"",0)</f>
        <v/>
      </c>
      <c r="G30" s="23" t="str">
        <f t="shared" si="4"/>
        <v/>
      </c>
      <c r="H30" s="98"/>
    </row>
    <row r="31" spans="1:8" s="29" customFormat="1" ht="18" customHeight="1" x14ac:dyDescent="0.2">
      <c r="A31" s="67">
        <f>IF(D31=0,"",1+MAX(A$7:A30))</f>
        <v>19</v>
      </c>
      <c r="B31" s="99"/>
      <c r="C31" s="27" t="s">
        <v>54</v>
      </c>
      <c r="D31" s="86">
        <f>22*30.33</f>
        <v>667.26</v>
      </c>
      <c r="E31" s="28" t="s">
        <v>35</v>
      </c>
      <c r="F31" s="23">
        <v>6</v>
      </c>
      <c r="G31" s="23">
        <f t="shared" si="4"/>
        <v>4003.56</v>
      </c>
      <c r="H31" s="98"/>
    </row>
    <row r="32" spans="1:8" s="29" customFormat="1" ht="18" customHeight="1" x14ac:dyDescent="0.2">
      <c r="A32" s="67">
        <f>IF(D32=0,"",1+MAX(A$7:A31))</f>
        <v>20</v>
      </c>
      <c r="B32" s="100"/>
      <c r="C32" s="27" t="s">
        <v>55</v>
      </c>
      <c r="D32" s="86">
        <v>16</v>
      </c>
      <c r="E32" s="28" t="s">
        <v>46</v>
      </c>
      <c r="F32" s="23">
        <v>300</v>
      </c>
      <c r="G32" s="23">
        <f t="shared" si="4"/>
        <v>4800</v>
      </c>
      <c r="H32" s="98"/>
    </row>
    <row r="33" spans="1:8" s="29" customFormat="1" ht="18" customHeight="1" x14ac:dyDescent="0.2">
      <c r="A33" s="67">
        <f>IF(D33=0,"",1+MAX(A$7:A32))</f>
        <v>21</v>
      </c>
      <c r="B33" s="100"/>
      <c r="C33" s="27" t="s">
        <v>47</v>
      </c>
      <c r="D33" s="86">
        <v>63.56</v>
      </c>
      <c r="E33" s="28" t="s">
        <v>35</v>
      </c>
      <c r="F33" s="23">
        <v>5</v>
      </c>
      <c r="G33" s="23">
        <f t="shared" si="4"/>
        <v>317.8</v>
      </c>
      <c r="H33" s="98"/>
    </row>
    <row r="34" spans="1:8" s="29" customFormat="1" ht="18" customHeight="1" x14ac:dyDescent="0.2">
      <c r="A34" s="67">
        <f>IF(D34=0,"",1+MAX(A$7:A33))</f>
        <v>22</v>
      </c>
      <c r="B34" s="100"/>
      <c r="C34" s="27" t="s">
        <v>36</v>
      </c>
      <c r="D34" s="86">
        <v>297.02</v>
      </c>
      <c r="E34" s="28" t="s">
        <v>35</v>
      </c>
      <c r="F34" s="23">
        <v>7</v>
      </c>
      <c r="G34" s="23">
        <f t="shared" si="4"/>
        <v>2079.14</v>
      </c>
      <c r="H34" s="98"/>
    </row>
    <row r="35" spans="1:8" s="29" customFormat="1" ht="18" customHeight="1" x14ac:dyDescent="0.2">
      <c r="A35" s="67">
        <f>IF(D35=0,"",1+MAX(A$7:A34))</f>
        <v>23</v>
      </c>
      <c r="B35" s="100"/>
      <c r="C35" s="27" t="s">
        <v>37</v>
      </c>
      <c r="D35" s="86">
        <v>297.02</v>
      </c>
      <c r="E35" s="28" t="s">
        <v>35</v>
      </c>
      <c r="F35" s="23">
        <v>3</v>
      </c>
      <c r="G35" s="23">
        <f t="shared" si="4"/>
        <v>891.06</v>
      </c>
      <c r="H35" s="98"/>
    </row>
    <row r="36" spans="1:8" s="29" customFormat="1" ht="18" customHeight="1" x14ac:dyDescent="0.2">
      <c r="A36" s="67">
        <f>IF(D36=0,"",1+MAX(A$7:A35))</f>
        <v>24</v>
      </c>
      <c r="B36" s="100"/>
      <c r="C36" s="27" t="s">
        <v>48</v>
      </c>
      <c r="D36" s="86">
        <f>297.02+157</f>
        <v>454.02</v>
      </c>
      <c r="E36" s="28" t="s">
        <v>35</v>
      </c>
      <c r="F36" s="23">
        <v>5</v>
      </c>
      <c r="G36" s="23">
        <f t="shared" si="4"/>
        <v>2270.1</v>
      </c>
      <c r="H36" s="98"/>
    </row>
    <row r="37" spans="1:8" s="29" customFormat="1" ht="18" customHeight="1" x14ac:dyDescent="0.2">
      <c r="A37" s="67">
        <f>IF(D37=0,"",1+MAX(A$7:A36))</f>
        <v>25</v>
      </c>
      <c r="B37" s="100"/>
      <c r="C37" s="27" t="s">
        <v>49</v>
      </c>
      <c r="D37" s="86">
        <v>297.02</v>
      </c>
      <c r="E37" s="28" t="s">
        <v>35</v>
      </c>
      <c r="F37" s="23">
        <v>4</v>
      </c>
      <c r="G37" s="23">
        <f t="shared" si="4"/>
        <v>1188.08</v>
      </c>
      <c r="H37" s="98"/>
    </row>
    <row r="38" spans="1:8" s="29" customFormat="1" ht="18" customHeight="1" x14ac:dyDescent="0.2">
      <c r="A38" s="67">
        <f>IF(D38=0,"",1+MAX(A$7:A37))</f>
        <v>26</v>
      </c>
      <c r="B38" s="100"/>
      <c r="C38" s="27" t="s">
        <v>53</v>
      </c>
      <c r="D38" s="86">
        <v>557</v>
      </c>
      <c r="E38" s="28" t="s">
        <v>35</v>
      </c>
      <c r="F38" s="23">
        <v>2</v>
      </c>
      <c r="G38" s="23">
        <f t="shared" si="4"/>
        <v>1114</v>
      </c>
      <c r="H38" s="98"/>
    </row>
    <row r="39" spans="1:8" s="29" customFormat="1" ht="18" customHeight="1" x14ac:dyDescent="0.2">
      <c r="A39" s="67">
        <f>IF(D39=0,"",1+MAX(A$7:A38))</f>
        <v>27</v>
      </c>
      <c r="B39" s="100"/>
      <c r="C39" s="27" t="s">
        <v>38</v>
      </c>
      <c r="D39" s="86">
        <v>157.78</v>
      </c>
      <c r="E39" s="28" t="s">
        <v>35</v>
      </c>
      <c r="F39" s="23">
        <v>5</v>
      </c>
      <c r="G39" s="23">
        <f t="shared" si="4"/>
        <v>788.9</v>
      </c>
      <c r="H39" s="98"/>
    </row>
    <row r="40" spans="1:8" s="29" customFormat="1" ht="18" customHeight="1" x14ac:dyDescent="0.2">
      <c r="A40" s="67">
        <f>IF(D40=0,"",1+MAX(A$7:A39))</f>
        <v>28</v>
      </c>
      <c r="B40" s="100"/>
      <c r="C40" s="27" t="s">
        <v>50</v>
      </c>
      <c r="D40" s="86">
        <v>102.87</v>
      </c>
      <c r="E40" s="28" t="s">
        <v>35</v>
      </c>
      <c r="F40" s="23">
        <v>6</v>
      </c>
      <c r="G40" s="23">
        <f t="shared" si="4"/>
        <v>617.22</v>
      </c>
      <c r="H40" s="98"/>
    </row>
    <row r="41" spans="1:8" s="29" customFormat="1" ht="18" customHeight="1" x14ac:dyDescent="0.2">
      <c r="A41" s="67">
        <f>IF(D41=0,"",1+MAX(A$7:A40))</f>
        <v>29</v>
      </c>
      <c r="B41" s="100"/>
      <c r="C41" s="27" t="s">
        <v>60</v>
      </c>
      <c r="D41" s="86">
        <v>307</v>
      </c>
      <c r="E41" s="28" t="s">
        <v>35</v>
      </c>
      <c r="F41" s="23">
        <v>9</v>
      </c>
      <c r="G41" s="23">
        <f t="shared" si="4"/>
        <v>2763</v>
      </c>
      <c r="H41" s="98"/>
    </row>
    <row r="42" spans="1:8" s="29" customFormat="1" ht="18" customHeight="1" x14ac:dyDescent="0.2">
      <c r="A42" s="67">
        <f>IF(D42=0,"",1+MAX(A$7:A41))</f>
        <v>30</v>
      </c>
      <c r="B42" s="100"/>
      <c r="C42" s="27" t="s">
        <v>51</v>
      </c>
      <c r="D42" s="86">
        <v>741.3</v>
      </c>
      <c r="E42" s="28" t="s">
        <v>40</v>
      </c>
      <c r="F42" s="23">
        <v>25</v>
      </c>
      <c r="G42" s="23">
        <f t="shared" si="4"/>
        <v>18532.5</v>
      </c>
      <c r="H42" s="98"/>
    </row>
    <row r="43" spans="1:8" s="29" customFormat="1" ht="18" customHeight="1" x14ac:dyDescent="0.2">
      <c r="A43" s="67">
        <f>IF(D43=0,"",1+MAX(A$7:A42))</f>
        <v>31</v>
      </c>
      <c r="B43" s="100"/>
      <c r="C43" s="27" t="s">
        <v>52</v>
      </c>
      <c r="D43" s="86">
        <v>508.3</v>
      </c>
      <c r="E43" s="28" t="s">
        <v>40</v>
      </c>
      <c r="F43" s="23">
        <v>20</v>
      </c>
      <c r="G43" s="23">
        <f t="shared" si="4"/>
        <v>10166</v>
      </c>
      <c r="H43" s="98"/>
    </row>
    <row r="44" spans="1:8" s="29" customFormat="1" ht="18" customHeight="1" x14ac:dyDescent="0.2">
      <c r="A44" s="67">
        <f>IF(D44=0,"",1+MAX(A$7:A43))</f>
        <v>32</v>
      </c>
      <c r="B44" s="100"/>
      <c r="C44" s="27" t="s">
        <v>39</v>
      </c>
      <c r="D44" s="86">
        <v>9944</v>
      </c>
      <c r="E44" s="28" t="s">
        <v>40</v>
      </c>
      <c r="F44" s="23">
        <v>3</v>
      </c>
      <c r="G44" s="23">
        <f t="shared" si="4"/>
        <v>29832</v>
      </c>
      <c r="H44" s="98"/>
    </row>
    <row r="45" spans="1:8" s="29" customFormat="1" ht="18" customHeight="1" x14ac:dyDescent="0.2">
      <c r="A45" s="67">
        <f>IF(D45=0,"",1+MAX(A$7:A44))</f>
        <v>33</v>
      </c>
      <c r="B45" s="100"/>
      <c r="C45" s="27" t="s">
        <v>41</v>
      </c>
      <c r="D45" s="86">
        <v>9944</v>
      </c>
      <c r="E45" s="28" t="s">
        <v>40</v>
      </c>
      <c r="F45" s="23">
        <v>6</v>
      </c>
      <c r="G45" s="23">
        <f t="shared" si="4"/>
        <v>59664</v>
      </c>
      <c r="H45" s="98"/>
    </row>
    <row r="46" spans="1:8" s="29" customFormat="1" ht="18" customHeight="1" x14ac:dyDescent="0.2">
      <c r="A46" s="67">
        <f>IF(D46=0,"",1+MAX(A$7:A45))</f>
        <v>34</v>
      </c>
      <c r="B46" s="100"/>
      <c r="C46" s="27" t="s">
        <v>42</v>
      </c>
      <c r="D46" s="86">
        <v>9944</v>
      </c>
      <c r="E46" s="28" t="s">
        <v>40</v>
      </c>
      <c r="F46" s="90">
        <v>1.1000000000000001</v>
      </c>
      <c r="G46" s="23">
        <f t="shared" si="4"/>
        <v>10938.400000000001</v>
      </c>
      <c r="H46" s="98"/>
    </row>
    <row r="47" spans="1:8" s="29" customFormat="1" ht="18" customHeight="1" x14ac:dyDescent="0.2">
      <c r="A47" s="67">
        <f>IF(D47=0,"",1+MAX(A$7:A46))</f>
        <v>35</v>
      </c>
      <c r="B47" s="101"/>
      <c r="C47" s="24" t="s">
        <v>43</v>
      </c>
      <c r="D47" s="86">
        <v>9944</v>
      </c>
      <c r="E47" s="28" t="s">
        <v>40</v>
      </c>
      <c r="F47" s="90">
        <v>1.5</v>
      </c>
      <c r="G47" s="23">
        <f t="shared" si="4"/>
        <v>14916</v>
      </c>
      <c r="H47" s="98"/>
    </row>
    <row r="48" spans="1:8" s="29" customFormat="1" ht="18" customHeight="1" x14ac:dyDescent="0.2">
      <c r="A48" s="67" t="str">
        <f>IF(D48=0,"",1+MAX(A$7:A47))</f>
        <v/>
      </c>
      <c r="B48" s="64"/>
      <c r="C48" s="9" t="s">
        <v>20</v>
      </c>
      <c r="D48" s="8"/>
      <c r="E48" s="4"/>
      <c r="F48" s="23" t="str">
        <f t="shared" ref="F48" si="6">IF(D48=0,"",0)</f>
        <v/>
      </c>
      <c r="G48" s="23" t="str">
        <f t="shared" ref="G48" si="7">IF(F48="","",D48*F48)</f>
        <v/>
      </c>
      <c r="H48" s="65">
        <f>(SUM(G18:G48))</f>
        <v>175073.53599999999</v>
      </c>
    </row>
    <row r="49" spans="1:8" s="29" customFormat="1" ht="18" customHeight="1" thickBot="1" x14ac:dyDescent="0.25">
      <c r="A49" s="31"/>
      <c r="B49" s="33"/>
      <c r="C49" s="7"/>
      <c r="D49" s="21"/>
      <c r="E49" s="21"/>
      <c r="F49" s="22"/>
      <c r="G49" s="22"/>
      <c r="H49" s="32"/>
    </row>
    <row r="50" spans="1:8" s="29" customFormat="1" ht="18" customHeight="1" x14ac:dyDescent="0.2">
      <c r="A50" s="79"/>
      <c r="B50" s="80" t="s">
        <v>18</v>
      </c>
      <c r="C50" s="17"/>
      <c r="D50" s="18"/>
      <c r="E50" s="18"/>
      <c r="F50" s="17"/>
      <c r="G50" s="17"/>
      <c r="H50" s="87">
        <f>SUM(H8:H49)</f>
        <v>175073.53599999999</v>
      </c>
    </row>
    <row r="51" spans="1:8" s="29" customFormat="1" ht="18" customHeight="1" x14ac:dyDescent="0.2">
      <c r="A51" s="77"/>
      <c r="B51" s="78" t="s">
        <v>30</v>
      </c>
      <c r="C51" s="11"/>
      <c r="D51" s="72">
        <v>0.2</v>
      </c>
      <c r="E51" s="14"/>
      <c r="F51" s="10"/>
      <c r="G51" s="10"/>
      <c r="H51" s="88">
        <f>(H50*D51)</f>
        <v>35014.707199999997</v>
      </c>
    </row>
    <row r="52" spans="1:8" s="29" customFormat="1" ht="18" customHeight="1" x14ac:dyDescent="0.2">
      <c r="A52" s="77"/>
      <c r="B52" s="78" t="s">
        <v>10</v>
      </c>
      <c r="C52" s="11"/>
      <c r="D52" s="72">
        <v>0.03</v>
      </c>
      <c r="E52" s="15"/>
      <c r="F52" s="12"/>
      <c r="G52" s="12"/>
      <c r="H52" s="88">
        <f>(H50*D52)</f>
        <v>5252.2060799999999</v>
      </c>
    </row>
    <row r="53" spans="1:8" s="29" customFormat="1" ht="18" customHeight="1" x14ac:dyDescent="0.2">
      <c r="A53" s="77"/>
      <c r="B53" s="78" t="s">
        <v>12</v>
      </c>
      <c r="C53" s="11"/>
      <c r="D53" s="72">
        <v>7.0000000000000007E-2</v>
      </c>
      <c r="E53" s="16"/>
      <c r="F53" s="13"/>
      <c r="G53" s="13"/>
      <c r="H53" s="88">
        <f>(H50*D53)</f>
        <v>12255.14752</v>
      </c>
    </row>
    <row r="54" spans="1:8" ht="24" customHeight="1" thickBot="1" x14ac:dyDescent="0.25">
      <c r="A54" s="102" t="s">
        <v>11</v>
      </c>
      <c r="B54" s="103"/>
      <c r="C54" s="19"/>
      <c r="D54" s="20"/>
      <c r="E54" s="20"/>
      <c r="F54" s="19"/>
      <c r="G54" s="19"/>
      <c r="H54" s="89">
        <f>SUM(H50:H53)</f>
        <v>227595.5968</v>
      </c>
    </row>
    <row r="55" spans="1:8" s="29" customFormat="1" ht="18" customHeight="1" thickBot="1" x14ac:dyDescent="0.25">
      <c r="A55" s="104" t="s">
        <v>15</v>
      </c>
      <c r="B55" s="105"/>
      <c r="C55" s="51"/>
      <c r="D55" s="52"/>
      <c r="E55" s="52"/>
      <c r="F55" s="51"/>
      <c r="G55" s="51"/>
      <c r="H55" s="53"/>
    </row>
    <row r="56" spans="1:8" s="29" customFormat="1" ht="18" customHeight="1" x14ac:dyDescent="0.2">
      <c r="A56" s="54" t="s">
        <v>115</v>
      </c>
      <c r="B56" s="93" t="s">
        <v>116</v>
      </c>
      <c r="C56" s="93"/>
      <c r="D56" s="52"/>
      <c r="E56" s="52"/>
      <c r="F56" s="51"/>
      <c r="G56" s="51"/>
      <c r="H56" s="53"/>
    </row>
    <row r="57" spans="1:8" s="29" customFormat="1" ht="18" customHeight="1" thickBot="1" x14ac:dyDescent="0.25">
      <c r="A57" s="55"/>
      <c r="B57" s="56"/>
      <c r="C57" s="57"/>
      <c r="D57" s="58"/>
      <c r="E57" s="58"/>
      <c r="F57" s="57"/>
      <c r="G57" s="57"/>
      <c r="H57" s="59"/>
    </row>
  </sheetData>
  <sortState xmlns:xlrd2="http://schemas.microsoft.com/office/spreadsheetml/2017/richdata2" ref="C79:E89">
    <sortCondition ref="C79"/>
  </sortState>
  <mergeCells count="12">
    <mergeCell ref="B56:C56"/>
    <mergeCell ref="A55:B55"/>
    <mergeCell ref="A54:B54"/>
    <mergeCell ref="D7:H7"/>
    <mergeCell ref="A7:B7"/>
    <mergeCell ref="B31:B47"/>
    <mergeCell ref="B19:B29"/>
    <mergeCell ref="H8:H14"/>
    <mergeCell ref="H18:H47"/>
    <mergeCell ref="B8:B14"/>
    <mergeCell ref="A17:B17"/>
    <mergeCell ref="D17:H17"/>
  </mergeCells>
  <printOptions horizontalCentered="1"/>
  <pageMargins left="0" right="0" top="0" bottom="0.17" header="0" footer="0"/>
  <pageSetup paperSize="9" scale="67" fitToHeight="0" orientation="portrait"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F00"/>
    <pageSetUpPr fitToPage="1"/>
  </sheetPr>
  <dimension ref="A1:H57"/>
  <sheetViews>
    <sheetView showGridLines="0" zoomScaleNormal="100" zoomScaleSheetLayoutView="100" workbookViewId="0">
      <selection activeCell="G5" sqref="G5"/>
    </sheetView>
  </sheetViews>
  <sheetFormatPr baseColWidth="10" defaultColWidth="9.1640625" defaultRowHeight="15" x14ac:dyDescent="0.2"/>
  <cols>
    <col min="1" max="1" width="7" style="1" customWidth="1"/>
    <col min="2" max="2" width="12.1640625" style="34" customWidth="1"/>
    <col min="3" max="3" width="62.6640625" style="1" customWidth="1"/>
    <col min="4" max="4" width="11.6640625" style="5" customWidth="1"/>
    <col min="5" max="5" width="8.5" style="5" customWidth="1"/>
    <col min="6" max="6" width="15.33203125" style="1" customWidth="1"/>
    <col min="7" max="7" width="14.83203125" style="1" customWidth="1"/>
    <col min="8" max="8" width="16.1640625" style="1" customWidth="1"/>
    <col min="9" max="16384" width="9.1640625" style="1"/>
  </cols>
  <sheetData>
    <row r="1" spans="1:8" ht="18" customHeight="1" x14ac:dyDescent="0.2">
      <c r="A1" s="35"/>
      <c r="B1" s="36"/>
      <c r="C1" s="61"/>
      <c r="D1" s="37"/>
      <c r="E1" s="47"/>
      <c r="F1" s="62" t="s">
        <v>25</v>
      </c>
      <c r="G1" s="48"/>
      <c r="H1" s="38"/>
    </row>
    <row r="2" spans="1:8" ht="18" customHeight="1" x14ac:dyDescent="0.2">
      <c r="A2" s="68" t="s">
        <v>27</v>
      </c>
      <c r="B2" s="69"/>
      <c r="C2" s="74"/>
      <c r="D2" s="42"/>
      <c r="E2" s="44"/>
      <c r="F2" s="49" t="s">
        <v>16</v>
      </c>
      <c r="G2" s="50"/>
      <c r="H2" s="43"/>
    </row>
    <row r="3" spans="1:8" ht="18" customHeight="1" x14ac:dyDescent="0.2">
      <c r="A3" s="39"/>
      <c r="B3" s="40"/>
      <c r="C3" s="41"/>
      <c r="D3" s="42"/>
      <c r="E3" s="44"/>
      <c r="F3" s="49" t="s">
        <v>22</v>
      </c>
      <c r="G3" s="50"/>
      <c r="H3" s="43"/>
    </row>
    <row r="4" spans="1:8" ht="18" customHeight="1" x14ac:dyDescent="0.2">
      <c r="A4" s="63" t="s">
        <v>26</v>
      </c>
      <c r="B4" s="49"/>
      <c r="C4" s="75" t="s">
        <v>31</v>
      </c>
      <c r="D4" s="42"/>
      <c r="E4" s="44"/>
      <c r="F4" s="49" t="s">
        <v>23</v>
      </c>
      <c r="G4" s="50"/>
      <c r="H4" s="43"/>
    </row>
    <row r="5" spans="1:8" ht="18" customHeight="1" x14ac:dyDescent="0.2">
      <c r="A5" s="66"/>
      <c r="D5" s="45"/>
      <c r="E5" s="44"/>
      <c r="F5" s="49" t="s">
        <v>56</v>
      </c>
      <c r="G5" s="81"/>
      <c r="H5" s="46"/>
    </row>
    <row r="6" spans="1:8" ht="21" customHeight="1" x14ac:dyDescent="0.2">
      <c r="A6" s="73" t="s">
        <v>0</v>
      </c>
      <c r="B6" s="76" t="s">
        <v>1</v>
      </c>
      <c r="C6" s="76" t="s">
        <v>2</v>
      </c>
      <c r="D6" s="76" t="s">
        <v>3</v>
      </c>
      <c r="E6" s="76" t="s">
        <v>4</v>
      </c>
      <c r="F6" s="70" t="s">
        <v>28</v>
      </c>
      <c r="G6" s="70" t="s">
        <v>29</v>
      </c>
      <c r="H6" s="71" t="s">
        <v>32</v>
      </c>
    </row>
    <row r="7" spans="1:8" s="29" customFormat="1" ht="18" customHeight="1" x14ac:dyDescent="0.2">
      <c r="A7" s="94"/>
      <c r="B7" s="95"/>
      <c r="C7" s="25" t="s">
        <v>5</v>
      </c>
      <c r="D7" s="95"/>
      <c r="E7" s="95"/>
      <c r="F7" s="95"/>
      <c r="G7" s="95"/>
      <c r="H7" s="96"/>
    </row>
    <row r="8" spans="1:8" s="29" customFormat="1" ht="18" customHeight="1" x14ac:dyDescent="0.2">
      <c r="A8" s="30">
        <v>1</v>
      </c>
      <c r="B8" s="97"/>
      <c r="C8" s="2" t="s">
        <v>6</v>
      </c>
      <c r="D8" s="6">
        <v>1</v>
      </c>
      <c r="E8" s="6" t="s">
        <v>14</v>
      </c>
      <c r="F8" s="23">
        <f t="shared" ref="F8:F14" si="0">IF(D8=0,"",0)</f>
        <v>0</v>
      </c>
      <c r="G8" s="23">
        <f>IF(F8="","",D8*F8)</f>
        <v>0</v>
      </c>
      <c r="H8" s="98"/>
    </row>
    <row r="9" spans="1:8" s="29" customFormat="1" ht="18" customHeight="1" x14ac:dyDescent="0.2">
      <c r="A9" s="60">
        <f>IF(D9=0,"",1+MAX(A$8:A8))</f>
        <v>2</v>
      </c>
      <c r="B9" s="97"/>
      <c r="C9" s="27" t="s">
        <v>13</v>
      </c>
      <c r="D9" s="28">
        <v>1</v>
      </c>
      <c r="E9" s="28" t="s">
        <v>14</v>
      </c>
      <c r="F9" s="26">
        <f t="shared" si="0"/>
        <v>0</v>
      </c>
      <c r="G9" s="23">
        <f t="shared" ref="G9:G15" si="1">IF(F9="","",D9*F9)</f>
        <v>0</v>
      </c>
      <c r="H9" s="98"/>
    </row>
    <row r="10" spans="1:8" s="29" customFormat="1" ht="18" customHeight="1" x14ac:dyDescent="0.2">
      <c r="A10" s="60">
        <f>IF(D10=0,"",1+MAX(A$8:A9))</f>
        <v>3</v>
      </c>
      <c r="B10" s="97"/>
      <c r="C10" s="27" t="s">
        <v>21</v>
      </c>
      <c r="D10" s="28">
        <v>1</v>
      </c>
      <c r="E10" s="28" t="s">
        <v>14</v>
      </c>
      <c r="F10" s="26">
        <f t="shared" si="0"/>
        <v>0</v>
      </c>
      <c r="G10" s="23">
        <f t="shared" si="1"/>
        <v>0</v>
      </c>
      <c r="H10" s="98"/>
    </row>
    <row r="11" spans="1:8" s="29" customFormat="1" ht="18" customHeight="1" x14ac:dyDescent="0.2">
      <c r="A11" s="60">
        <f>IF(D11=0,"",1+MAX(A$8:A10))</f>
        <v>4</v>
      </c>
      <c r="B11" s="97"/>
      <c r="C11" s="27" t="s">
        <v>7</v>
      </c>
      <c r="D11" s="28">
        <v>1</v>
      </c>
      <c r="E11" s="28" t="s">
        <v>14</v>
      </c>
      <c r="F11" s="26">
        <f t="shared" si="0"/>
        <v>0</v>
      </c>
      <c r="G11" s="23">
        <f t="shared" si="1"/>
        <v>0</v>
      </c>
      <c r="H11" s="98"/>
    </row>
    <row r="12" spans="1:8" s="29" customFormat="1" ht="18" customHeight="1" x14ac:dyDescent="0.2">
      <c r="A12" s="60">
        <f>IF(D12=0,"",1+MAX(A$8:A11))</f>
        <v>5</v>
      </c>
      <c r="B12" s="97"/>
      <c r="C12" s="27" t="s">
        <v>8</v>
      </c>
      <c r="D12" s="28">
        <v>1</v>
      </c>
      <c r="E12" s="28" t="s">
        <v>14</v>
      </c>
      <c r="F12" s="26">
        <f t="shared" si="0"/>
        <v>0</v>
      </c>
      <c r="G12" s="23">
        <f t="shared" si="1"/>
        <v>0</v>
      </c>
      <c r="H12" s="98"/>
    </row>
    <row r="13" spans="1:8" s="29" customFormat="1" ht="18" customHeight="1" x14ac:dyDescent="0.2">
      <c r="A13" s="60">
        <f>IF(D13=0,"",1+MAX(A$8:A12))</f>
        <v>6</v>
      </c>
      <c r="B13" s="97"/>
      <c r="C13" s="27" t="s">
        <v>9</v>
      </c>
      <c r="D13" s="28">
        <v>1</v>
      </c>
      <c r="E13" s="28" t="s">
        <v>14</v>
      </c>
      <c r="F13" s="26">
        <f t="shared" si="0"/>
        <v>0</v>
      </c>
      <c r="G13" s="23">
        <f t="shared" si="1"/>
        <v>0</v>
      </c>
      <c r="H13" s="98"/>
    </row>
    <row r="14" spans="1:8" s="29" customFormat="1" ht="18" customHeight="1" x14ac:dyDescent="0.2">
      <c r="A14" s="60">
        <f>IF(D14=0,"",1+MAX(A$8:A13))</f>
        <v>7</v>
      </c>
      <c r="B14" s="97"/>
      <c r="C14" s="24" t="s">
        <v>24</v>
      </c>
      <c r="D14" s="28">
        <v>1</v>
      </c>
      <c r="E14" s="6" t="s">
        <v>14</v>
      </c>
      <c r="F14" s="26">
        <f t="shared" si="0"/>
        <v>0</v>
      </c>
      <c r="G14" s="23">
        <f t="shared" si="1"/>
        <v>0</v>
      </c>
      <c r="H14" s="98"/>
    </row>
    <row r="15" spans="1:8" s="29" customFormat="1" ht="18" customHeight="1" x14ac:dyDescent="0.2">
      <c r="A15" s="60" t="str">
        <f>IF(D15=0,"",1+MAX(A5:A14))</f>
        <v/>
      </c>
      <c r="B15" s="64"/>
      <c r="C15" s="9" t="s">
        <v>17</v>
      </c>
      <c r="D15" s="8"/>
      <c r="E15" s="4"/>
      <c r="F15" s="3"/>
      <c r="G15" s="23" t="str">
        <f t="shared" si="1"/>
        <v/>
      </c>
      <c r="H15" s="65">
        <f>(SUM(G8:G15))</f>
        <v>0</v>
      </c>
    </row>
    <row r="16" spans="1:8" s="29" customFormat="1" ht="18" customHeight="1" x14ac:dyDescent="0.2">
      <c r="A16" s="31"/>
      <c r="B16" s="33"/>
      <c r="C16" s="7"/>
      <c r="D16" s="21"/>
      <c r="E16" s="21"/>
      <c r="F16" s="22"/>
      <c r="G16" s="22"/>
      <c r="H16" s="32"/>
    </row>
    <row r="17" spans="1:8" s="29" customFormat="1" ht="18" customHeight="1" x14ac:dyDescent="0.2">
      <c r="A17" s="94"/>
      <c r="B17" s="95"/>
      <c r="C17" s="25" t="s">
        <v>19</v>
      </c>
      <c r="D17" s="95"/>
      <c r="E17" s="95"/>
      <c r="F17" s="95"/>
      <c r="G17" s="95"/>
      <c r="H17" s="96"/>
    </row>
    <row r="18" spans="1:8" s="29" customFormat="1" ht="18" customHeight="1" x14ac:dyDescent="0.2">
      <c r="A18" s="67" t="str">
        <f>IF(D18=0,"",1+MAX(A$7:A17))</f>
        <v/>
      </c>
      <c r="B18" s="84" t="s">
        <v>63</v>
      </c>
      <c r="C18" s="84" t="s">
        <v>34</v>
      </c>
      <c r="D18" s="6"/>
      <c r="E18" s="6"/>
      <c r="F18" s="23" t="str">
        <f t="shared" ref="F18:F48" si="2">IF(D18=0,"",0)</f>
        <v/>
      </c>
      <c r="G18" s="23" t="str">
        <f t="shared" ref="G18:G48" si="3">IF(F18="","",D18*F18)</f>
        <v/>
      </c>
      <c r="H18" s="98"/>
    </row>
    <row r="19" spans="1:8" s="29" customFormat="1" ht="18" customHeight="1" x14ac:dyDescent="0.2">
      <c r="A19" s="67">
        <f>IF(D19=0,"",1+MAX(A$7:A18))</f>
        <v>8</v>
      </c>
      <c r="B19" s="99"/>
      <c r="C19" s="27" t="s">
        <v>57</v>
      </c>
      <c r="D19" s="86">
        <f>8*10.66</f>
        <v>85.28</v>
      </c>
      <c r="E19" s="28" t="s">
        <v>35</v>
      </c>
      <c r="F19" s="23">
        <v>6</v>
      </c>
      <c r="G19" s="23">
        <f t="shared" si="3"/>
        <v>511.68</v>
      </c>
      <c r="H19" s="98"/>
    </row>
    <row r="20" spans="1:8" s="29" customFormat="1" ht="18" customHeight="1" x14ac:dyDescent="0.2">
      <c r="A20" s="67">
        <f>IF(D20=0,"",1+MAX(A$7:A19))</f>
        <v>9</v>
      </c>
      <c r="B20" s="100"/>
      <c r="C20" s="27" t="s">
        <v>36</v>
      </c>
      <c r="D20" s="86">
        <v>37</v>
      </c>
      <c r="E20" s="28" t="s">
        <v>35</v>
      </c>
      <c r="F20" s="23">
        <v>7</v>
      </c>
      <c r="G20" s="23">
        <f t="shared" si="3"/>
        <v>259</v>
      </c>
      <c r="H20" s="98"/>
    </row>
    <row r="21" spans="1:8" s="29" customFormat="1" ht="18" customHeight="1" x14ac:dyDescent="0.2">
      <c r="A21" s="67">
        <f>IF(D21=0,"",1+MAX(A$7:A20))</f>
        <v>10</v>
      </c>
      <c r="B21" s="100"/>
      <c r="C21" s="27" t="s">
        <v>37</v>
      </c>
      <c r="D21" s="86">
        <v>37</v>
      </c>
      <c r="E21" s="28" t="s">
        <v>35</v>
      </c>
      <c r="F21" s="23">
        <v>3</v>
      </c>
      <c r="G21" s="23">
        <f t="shared" si="3"/>
        <v>111</v>
      </c>
      <c r="H21" s="98"/>
    </row>
    <row r="22" spans="1:8" s="29" customFormat="1" ht="18" customHeight="1" x14ac:dyDescent="0.2">
      <c r="A22" s="67">
        <f>IF(D22=0,"",1+MAX(A$7:A21))</f>
        <v>11</v>
      </c>
      <c r="B22" s="100"/>
      <c r="C22" s="27" t="s">
        <v>53</v>
      </c>
      <c r="D22" s="86">
        <v>102</v>
      </c>
      <c r="E22" s="28" t="s">
        <v>35</v>
      </c>
      <c r="F22" s="23">
        <v>2</v>
      </c>
      <c r="G22" s="23">
        <f t="shared" si="3"/>
        <v>204</v>
      </c>
      <c r="H22" s="98"/>
    </row>
    <row r="23" spans="1:8" s="29" customFormat="1" ht="18" customHeight="1" x14ac:dyDescent="0.2">
      <c r="A23" s="67">
        <f>IF(D23=0,"",1+MAX(A$7:A22))</f>
        <v>12</v>
      </c>
      <c r="B23" s="100"/>
      <c r="C23" s="27" t="s">
        <v>38</v>
      </c>
      <c r="D23" s="86">
        <v>102</v>
      </c>
      <c r="E23" s="28" t="s">
        <v>35</v>
      </c>
      <c r="F23" s="23">
        <v>5</v>
      </c>
      <c r="G23" s="23">
        <f t="shared" si="3"/>
        <v>510</v>
      </c>
      <c r="H23" s="98"/>
    </row>
    <row r="24" spans="1:8" s="29" customFormat="1" ht="18" customHeight="1" x14ac:dyDescent="0.2">
      <c r="A24" s="67">
        <f>IF(D24=0,"",1+MAX(A$7:A23))</f>
        <v>13</v>
      </c>
      <c r="B24" s="100"/>
      <c r="C24" s="27" t="s">
        <v>61</v>
      </c>
      <c r="D24" s="86">
        <f>37*2</f>
        <v>74</v>
      </c>
      <c r="E24" s="28" t="s">
        <v>35</v>
      </c>
      <c r="F24" s="23">
        <v>8</v>
      </c>
      <c r="G24" s="23">
        <f t="shared" si="3"/>
        <v>592</v>
      </c>
      <c r="H24" s="98"/>
    </row>
    <row r="25" spans="1:8" s="29" customFormat="1" ht="18" customHeight="1" x14ac:dyDescent="0.2">
      <c r="A25" s="67">
        <f>IF(D25=0,"",1+MAX(A$7:A24))</f>
        <v>14</v>
      </c>
      <c r="B25" s="100"/>
      <c r="C25" s="27" t="s">
        <v>60</v>
      </c>
      <c r="D25" s="86">
        <v>52</v>
      </c>
      <c r="E25" s="28" t="s">
        <v>35</v>
      </c>
      <c r="F25" s="23">
        <v>9</v>
      </c>
      <c r="G25" s="23">
        <f t="shared" si="3"/>
        <v>468</v>
      </c>
      <c r="H25" s="98"/>
    </row>
    <row r="26" spans="1:8" s="29" customFormat="1" ht="18" customHeight="1" x14ac:dyDescent="0.2">
      <c r="A26" s="67">
        <f>IF(D26=0,"",1+MAX(A$7:A25))</f>
        <v>15</v>
      </c>
      <c r="B26" s="100"/>
      <c r="C26" s="27" t="s">
        <v>39</v>
      </c>
      <c r="D26" s="86">
        <v>628</v>
      </c>
      <c r="E26" s="28" t="s">
        <v>40</v>
      </c>
      <c r="F26" s="23">
        <v>3</v>
      </c>
      <c r="G26" s="23">
        <f t="shared" si="3"/>
        <v>1884</v>
      </c>
      <c r="H26" s="98"/>
    </row>
    <row r="27" spans="1:8" s="29" customFormat="1" ht="18" customHeight="1" x14ac:dyDescent="0.2">
      <c r="A27" s="67">
        <f>IF(D27=0,"",1+MAX(A$7:A26))</f>
        <v>16</v>
      </c>
      <c r="B27" s="100"/>
      <c r="C27" s="27" t="s">
        <v>41</v>
      </c>
      <c r="D27" s="86">
        <v>628</v>
      </c>
      <c r="E27" s="28" t="s">
        <v>40</v>
      </c>
      <c r="F27" s="23">
        <v>6</v>
      </c>
      <c r="G27" s="23">
        <f t="shared" si="3"/>
        <v>3768</v>
      </c>
      <c r="H27" s="98"/>
    </row>
    <row r="28" spans="1:8" s="29" customFormat="1" ht="18" customHeight="1" x14ac:dyDescent="0.2">
      <c r="A28" s="67">
        <f>IF(D28=0,"",1+MAX(A$7:A27))</f>
        <v>17</v>
      </c>
      <c r="B28" s="100"/>
      <c r="C28" s="27" t="s">
        <v>42</v>
      </c>
      <c r="D28" s="86">
        <v>628</v>
      </c>
      <c r="E28" s="28" t="s">
        <v>40</v>
      </c>
      <c r="F28" s="90">
        <v>1.1000000000000001</v>
      </c>
      <c r="G28" s="23">
        <f t="shared" si="3"/>
        <v>690.80000000000007</v>
      </c>
      <c r="H28" s="98"/>
    </row>
    <row r="29" spans="1:8" s="29" customFormat="1" ht="18" customHeight="1" x14ac:dyDescent="0.2">
      <c r="A29" s="67">
        <f>IF(D29=0,"",1+MAX(A$7:A28))</f>
        <v>18</v>
      </c>
      <c r="B29" s="101"/>
      <c r="C29" s="27" t="s">
        <v>43</v>
      </c>
      <c r="D29" s="86">
        <v>628</v>
      </c>
      <c r="E29" s="28" t="s">
        <v>40</v>
      </c>
      <c r="F29" s="90">
        <v>1.5</v>
      </c>
      <c r="G29" s="23">
        <f t="shared" si="3"/>
        <v>942</v>
      </c>
      <c r="H29" s="98"/>
    </row>
    <row r="30" spans="1:8" s="29" customFormat="1" ht="18" customHeight="1" x14ac:dyDescent="0.2">
      <c r="A30" s="67" t="str">
        <f>IF(D30=0,"",1+MAX(A$7:A29))</f>
        <v/>
      </c>
      <c r="B30" s="83" t="s">
        <v>64</v>
      </c>
      <c r="C30" s="83" t="s">
        <v>45</v>
      </c>
      <c r="D30" s="86"/>
      <c r="E30" s="28"/>
      <c r="F30" s="23" t="str">
        <f t="shared" ref="F30" si="4">IF(D30=0,"",0)</f>
        <v/>
      </c>
      <c r="G30" s="23" t="str">
        <f t="shared" si="3"/>
        <v/>
      </c>
      <c r="H30" s="98"/>
    </row>
    <row r="31" spans="1:8" s="29" customFormat="1" ht="18" customHeight="1" x14ac:dyDescent="0.2">
      <c r="A31" s="67">
        <f>IF(D31=0,"",1+MAX(A$7:A30))</f>
        <v>19</v>
      </c>
      <c r="B31" s="99"/>
      <c r="C31" s="27" t="s">
        <v>54</v>
      </c>
      <c r="D31" s="86">
        <f>22*30.33</f>
        <v>667.26</v>
      </c>
      <c r="E31" s="28" t="s">
        <v>35</v>
      </c>
      <c r="F31" s="23">
        <v>6</v>
      </c>
      <c r="G31" s="23">
        <f t="shared" si="3"/>
        <v>4003.56</v>
      </c>
      <c r="H31" s="98"/>
    </row>
    <row r="32" spans="1:8" s="29" customFormat="1" ht="18" customHeight="1" x14ac:dyDescent="0.2">
      <c r="A32" s="67">
        <f>IF(D32=0,"",1+MAX(A$7:A31))</f>
        <v>20</v>
      </c>
      <c r="B32" s="100"/>
      <c r="C32" s="27" t="s">
        <v>55</v>
      </c>
      <c r="D32" s="86">
        <v>16</v>
      </c>
      <c r="E32" s="28" t="s">
        <v>46</v>
      </c>
      <c r="F32" s="23">
        <v>300</v>
      </c>
      <c r="G32" s="23">
        <f t="shared" si="3"/>
        <v>4800</v>
      </c>
      <c r="H32" s="98"/>
    </row>
    <row r="33" spans="1:8" s="29" customFormat="1" ht="18" customHeight="1" x14ac:dyDescent="0.2">
      <c r="A33" s="67">
        <f>IF(D33=0,"",1+MAX(A$7:A32))</f>
        <v>21</v>
      </c>
      <c r="B33" s="100"/>
      <c r="C33" s="27" t="s">
        <v>47</v>
      </c>
      <c r="D33" s="86">
        <v>63.56</v>
      </c>
      <c r="E33" s="28" t="s">
        <v>35</v>
      </c>
      <c r="F33" s="23">
        <v>5</v>
      </c>
      <c r="G33" s="23">
        <f t="shared" si="3"/>
        <v>317.8</v>
      </c>
      <c r="H33" s="98"/>
    </row>
    <row r="34" spans="1:8" s="29" customFormat="1" ht="18" customHeight="1" x14ac:dyDescent="0.2">
      <c r="A34" s="67">
        <f>IF(D34=0,"",1+MAX(A$7:A33))</f>
        <v>22</v>
      </c>
      <c r="B34" s="100"/>
      <c r="C34" s="27" t="s">
        <v>36</v>
      </c>
      <c r="D34" s="86">
        <v>297</v>
      </c>
      <c r="E34" s="28" t="s">
        <v>35</v>
      </c>
      <c r="F34" s="23">
        <v>7</v>
      </c>
      <c r="G34" s="23">
        <f t="shared" si="3"/>
        <v>2079</v>
      </c>
      <c r="H34" s="98"/>
    </row>
    <row r="35" spans="1:8" s="29" customFormat="1" ht="18" customHeight="1" x14ac:dyDescent="0.2">
      <c r="A35" s="67">
        <f>IF(D35=0,"",1+MAX(A$7:A34))</f>
        <v>23</v>
      </c>
      <c r="B35" s="100"/>
      <c r="C35" s="27" t="s">
        <v>37</v>
      </c>
      <c r="D35" s="86">
        <v>297</v>
      </c>
      <c r="E35" s="28" t="s">
        <v>35</v>
      </c>
      <c r="F35" s="23">
        <v>3</v>
      </c>
      <c r="G35" s="23">
        <f t="shared" si="3"/>
        <v>891</v>
      </c>
      <c r="H35" s="98"/>
    </row>
    <row r="36" spans="1:8" s="29" customFormat="1" ht="18" customHeight="1" x14ac:dyDescent="0.2">
      <c r="A36" s="67">
        <f>IF(D36=0,"",1+MAX(A$7:A35))</f>
        <v>24</v>
      </c>
      <c r="B36" s="100"/>
      <c r="C36" s="27" t="s">
        <v>48</v>
      </c>
      <c r="D36" s="86">
        <f>297+158</f>
        <v>455</v>
      </c>
      <c r="E36" s="28" t="s">
        <v>35</v>
      </c>
      <c r="F36" s="23">
        <v>5</v>
      </c>
      <c r="G36" s="23">
        <f t="shared" si="3"/>
        <v>2275</v>
      </c>
      <c r="H36" s="98"/>
    </row>
    <row r="37" spans="1:8" s="29" customFormat="1" ht="18" customHeight="1" x14ac:dyDescent="0.2">
      <c r="A37" s="67">
        <f>IF(D37=0,"",1+MAX(A$7:A36))</f>
        <v>25</v>
      </c>
      <c r="B37" s="100"/>
      <c r="C37" s="27" t="s">
        <v>49</v>
      </c>
      <c r="D37" s="86">
        <v>297</v>
      </c>
      <c r="E37" s="28" t="s">
        <v>35</v>
      </c>
      <c r="F37" s="23">
        <v>4</v>
      </c>
      <c r="G37" s="23">
        <f t="shared" si="3"/>
        <v>1188</v>
      </c>
      <c r="H37" s="98"/>
    </row>
    <row r="38" spans="1:8" s="29" customFormat="1" ht="18" customHeight="1" x14ac:dyDescent="0.2">
      <c r="A38" s="67">
        <f>IF(D38=0,"",1+MAX(A$7:A37))</f>
        <v>26</v>
      </c>
      <c r="B38" s="100"/>
      <c r="C38" s="27" t="s">
        <v>53</v>
      </c>
      <c r="D38" s="86">
        <f>157.78+305+194</f>
        <v>656.78</v>
      </c>
      <c r="E38" s="28" t="s">
        <v>35</v>
      </c>
      <c r="F38" s="23">
        <v>2</v>
      </c>
      <c r="G38" s="23">
        <f t="shared" si="3"/>
        <v>1313.56</v>
      </c>
      <c r="H38" s="98"/>
    </row>
    <row r="39" spans="1:8" s="29" customFormat="1" ht="18" customHeight="1" x14ac:dyDescent="0.2">
      <c r="A39" s="67">
        <f>IF(D39=0,"",1+MAX(A$7:A38))</f>
        <v>27</v>
      </c>
      <c r="B39" s="100"/>
      <c r="C39" s="27" t="s">
        <v>38</v>
      </c>
      <c r="D39" s="86">
        <f>157.78+305</f>
        <v>462.78</v>
      </c>
      <c r="E39" s="28" t="s">
        <v>35</v>
      </c>
      <c r="F39" s="23">
        <v>5</v>
      </c>
      <c r="G39" s="23">
        <f t="shared" si="3"/>
        <v>2313.8999999999996</v>
      </c>
      <c r="H39" s="98"/>
    </row>
    <row r="40" spans="1:8" s="29" customFormat="1" ht="18" customHeight="1" x14ac:dyDescent="0.2">
      <c r="A40" s="67">
        <f>IF(D40=0,"",1+MAX(A$7:A39))</f>
        <v>28</v>
      </c>
      <c r="B40" s="100"/>
      <c r="C40" s="27" t="s">
        <v>50</v>
      </c>
      <c r="D40" s="86">
        <v>103</v>
      </c>
      <c r="E40" s="28" t="s">
        <v>35</v>
      </c>
      <c r="F40" s="23">
        <v>6</v>
      </c>
      <c r="G40" s="23">
        <f t="shared" si="3"/>
        <v>618</v>
      </c>
      <c r="H40" s="98"/>
    </row>
    <row r="41" spans="1:8" s="29" customFormat="1" ht="18" customHeight="1" x14ac:dyDescent="0.2">
      <c r="A41" s="67">
        <f>IF(D41=0,"",1+MAX(A$7:A40))</f>
        <v>29</v>
      </c>
      <c r="B41" s="100"/>
      <c r="C41" s="27" t="s">
        <v>60</v>
      </c>
      <c r="D41" s="86">
        <v>307</v>
      </c>
      <c r="E41" s="28" t="s">
        <v>35</v>
      </c>
      <c r="F41" s="23">
        <v>9</v>
      </c>
      <c r="G41" s="23">
        <f t="shared" si="3"/>
        <v>2763</v>
      </c>
      <c r="H41" s="98"/>
    </row>
    <row r="42" spans="1:8" s="29" customFormat="1" ht="18" customHeight="1" x14ac:dyDescent="0.2">
      <c r="A42" s="67">
        <f>IF(D42=0,"",1+MAX(A$7:A41))</f>
        <v>30</v>
      </c>
      <c r="B42" s="100"/>
      <c r="C42" s="27" t="s">
        <v>51</v>
      </c>
      <c r="D42" s="86">
        <v>754</v>
      </c>
      <c r="E42" s="28" t="s">
        <v>40</v>
      </c>
      <c r="F42" s="23">
        <v>25</v>
      </c>
      <c r="G42" s="23">
        <f t="shared" si="3"/>
        <v>18850</v>
      </c>
      <c r="H42" s="98"/>
    </row>
    <row r="43" spans="1:8" s="29" customFormat="1" ht="18" customHeight="1" x14ac:dyDescent="0.2">
      <c r="A43" s="67">
        <f>IF(D43=0,"",1+MAX(A$7:A42))</f>
        <v>31</v>
      </c>
      <c r="B43" s="100"/>
      <c r="C43" s="27" t="s">
        <v>52</v>
      </c>
      <c r="D43" s="86">
        <v>508</v>
      </c>
      <c r="E43" s="28" t="s">
        <v>40</v>
      </c>
      <c r="F43" s="23">
        <v>20</v>
      </c>
      <c r="G43" s="23">
        <f t="shared" si="3"/>
        <v>10160</v>
      </c>
      <c r="H43" s="98"/>
    </row>
    <row r="44" spans="1:8" s="29" customFormat="1" ht="18" customHeight="1" x14ac:dyDescent="0.2">
      <c r="A44" s="67">
        <f>IF(D44=0,"",1+MAX(A$7:A43))</f>
        <v>32</v>
      </c>
      <c r="B44" s="100"/>
      <c r="C44" s="27" t="s">
        <v>39</v>
      </c>
      <c r="D44" s="86">
        <v>9941</v>
      </c>
      <c r="E44" s="28" t="s">
        <v>40</v>
      </c>
      <c r="F44" s="23">
        <v>3</v>
      </c>
      <c r="G44" s="23">
        <f t="shared" si="3"/>
        <v>29823</v>
      </c>
      <c r="H44" s="98"/>
    </row>
    <row r="45" spans="1:8" s="29" customFormat="1" ht="18" customHeight="1" x14ac:dyDescent="0.2">
      <c r="A45" s="67">
        <f>IF(D45=0,"",1+MAX(A$7:A44))</f>
        <v>33</v>
      </c>
      <c r="B45" s="100"/>
      <c r="C45" s="27" t="s">
        <v>41</v>
      </c>
      <c r="D45" s="86">
        <v>9941</v>
      </c>
      <c r="E45" s="28" t="s">
        <v>40</v>
      </c>
      <c r="F45" s="23">
        <v>6</v>
      </c>
      <c r="G45" s="23">
        <f t="shared" si="3"/>
        <v>59646</v>
      </c>
      <c r="H45" s="98"/>
    </row>
    <row r="46" spans="1:8" s="29" customFormat="1" ht="18" customHeight="1" x14ac:dyDescent="0.2">
      <c r="A46" s="67">
        <f>IF(D46=0,"",1+MAX(A$7:A45))</f>
        <v>34</v>
      </c>
      <c r="B46" s="100"/>
      <c r="C46" s="27" t="s">
        <v>42</v>
      </c>
      <c r="D46" s="86">
        <v>9941</v>
      </c>
      <c r="E46" s="28" t="s">
        <v>40</v>
      </c>
      <c r="F46" s="90">
        <v>1.1000000000000001</v>
      </c>
      <c r="G46" s="23">
        <f t="shared" si="3"/>
        <v>10935.1</v>
      </c>
      <c r="H46" s="98"/>
    </row>
    <row r="47" spans="1:8" s="29" customFormat="1" ht="18" customHeight="1" x14ac:dyDescent="0.2">
      <c r="A47" s="67">
        <f>IF(D47=0,"",1+MAX(A$7:A46))</f>
        <v>35</v>
      </c>
      <c r="B47" s="101"/>
      <c r="C47" s="24" t="s">
        <v>43</v>
      </c>
      <c r="D47" s="86">
        <v>9941</v>
      </c>
      <c r="E47" s="28" t="s">
        <v>40</v>
      </c>
      <c r="F47" s="90">
        <v>1.5</v>
      </c>
      <c r="G47" s="23">
        <f t="shared" si="3"/>
        <v>14911.5</v>
      </c>
      <c r="H47" s="98"/>
    </row>
    <row r="48" spans="1:8" s="29" customFormat="1" ht="18" customHeight="1" x14ac:dyDescent="0.2">
      <c r="A48" s="67" t="str">
        <f>IF(D48=0,"",1+MAX(A$7:A47))</f>
        <v/>
      </c>
      <c r="B48" s="64"/>
      <c r="C48" s="9" t="s">
        <v>20</v>
      </c>
      <c r="D48" s="8"/>
      <c r="E48" s="4"/>
      <c r="F48" s="23" t="str">
        <f t="shared" si="2"/>
        <v/>
      </c>
      <c r="G48" s="23" t="str">
        <f t="shared" si="3"/>
        <v/>
      </c>
      <c r="H48" s="65">
        <f>(SUM(G18:G48))</f>
        <v>176828.9</v>
      </c>
    </row>
    <row r="49" spans="1:8" s="29" customFormat="1" ht="18" customHeight="1" thickBot="1" x14ac:dyDescent="0.25">
      <c r="A49" s="31"/>
      <c r="B49" s="33"/>
      <c r="C49" s="7"/>
      <c r="D49" s="21"/>
      <c r="E49" s="21"/>
      <c r="F49" s="22"/>
      <c r="G49" s="22"/>
      <c r="H49" s="32"/>
    </row>
    <row r="50" spans="1:8" s="29" customFormat="1" ht="18" customHeight="1" x14ac:dyDescent="0.2">
      <c r="A50" s="79"/>
      <c r="B50" s="80" t="s">
        <v>18</v>
      </c>
      <c r="C50" s="17"/>
      <c r="D50" s="18"/>
      <c r="E50" s="18"/>
      <c r="F50" s="17"/>
      <c r="G50" s="17"/>
      <c r="H50" s="87">
        <f>SUM(H8:H49)</f>
        <v>176828.9</v>
      </c>
    </row>
    <row r="51" spans="1:8" s="29" customFormat="1" ht="18" customHeight="1" x14ac:dyDescent="0.2">
      <c r="A51" s="77"/>
      <c r="B51" s="78" t="s">
        <v>30</v>
      </c>
      <c r="C51" s="11"/>
      <c r="D51" s="72">
        <v>0.2</v>
      </c>
      <c r="E51" s="14"/>
      <c r="F51" s="10"/>
      <c r="G51" s="10"/>
      <c r="H51" s="88">
        <f>(H50*D51)</f>
        <v>35365.78</v>
      </c>
    </row>
    <row r="52" spans="1:8" s="29" customFormat="1" ht="18" customHeight="1" x14ac:dyDescent="0.2">
      <c r="A52" s="77"/>
      <c r="B52" s="78" t="s">
        <v>10</v>
      </c>
      <c r="C52" s="11"/>
      <c r="D52" s="72">
        <v>0.03</v>
      </c>
      <c r="E52" s="15"/>
      <c r="F52" s="12"/>
      <c r="G52" s="12"/>
      <c r="H52" s="88">
        <f>(H50*D52)</f>
        <v>5304.8669999999993</v>
      </c>
    </row>
    <row r="53" spans="1:8" s="29" customFormat="1" ht="18" customHeight="1" x14ac:dyDescent="0.2">
      <c r="A53" s="77"/>
      <c r="B53" s="78" t="s">
        <v>12</v>
      </c>
      <c r="C53" s="11"/>
      <c r="D53" s="72">
        <v>7.0000000000000007E-2</v>
      </c>
      <c r="E53" s="16"/>
      <c r="F53" s="13"/>
      <c r="G53" s="13"/>
      <c r="H53" s="88">
        <f>(H50*D53)</f>
        <v>12378.023000000001</v>
      </c>
    </row>
    <row r="54" spans="1:8" ht="24" customHeight="1" thickBot="1" x14ac:dyDescent="0.25">
      <c r="A54" s="102" t="s">
        <v>11</v>
      </c>
      <c r="B54" s="103"/>
      <c r="C54" s="19"/>
      <c r="D54" s="20"/>
      <c r="E54" s="20"/>
      <c r="F54" s="19"/>
      <c r="G54" s="19"/>
      <c r="H54" s="89">
        <f>SUM(H50:H53)</f>
        <v>229877.57</v>
      </c>
    </row>
    <row r="55" spans="1:8" s="29" customFormat="1" ht="18" customHeight="1" thickBot="1" x14ac:dyDescent="0.25">
      <c r="A55" s="104" t="s">
        <v>15</v>
      </c>
      <c r="B55" s="105"/>
      <c r="C55" s="51"/>
      <c r="D55" s="52"/>
      <c r="E55" s="52"/>
      <c r="F55" s="51"/>
      <c r="G55" s="51"/>
      <c r="H55" s="53"/>
    </row>
    <row r="56" spans="1:8" s="29" customFormat="1" ht="18" customHeight="1" x14ac:dyDescent="0.2">
      <c r="A56" s="54" t="s">
        <v>115</v>
      </c>
      <c r="B56" s="93" t="s">
        <v>116</v>
      </c>
      <c r="C56" s="93"/>
      <c r="D56" s="52"/>
      <c r="E56" s="52"/>
      <c r="F56" s="51"/>
      <c r="G56" s="51"/>
      <c r="H56" s="53"/>
    </row>
    <row r="57" spans="1:8" s="29" customFormat="1" ht="18" customHeight="1" thickBot="1" x14ac:dyDescent="0.25">
      <c r="A57" s="55"/>
      <c r="B57" s="56"/>
      <c r="C57" s="57"/>
      <c r="D57" s="58"/>
      <c r="E57" s="58"/>
      <c r="F57" s="57"/>
      <c r="G57" s="57"/>
      <c r="H57" s="59"/>
    </row>
  </sheetData>
  <mergeCells count="12">
    <mergeCell ref="B56:C56"/>
    <mergeCell ref="A7:B7"/>
    <mergeCell ref="D7:H7"/>
    <mergeCell ref="B8:B14"/>
    <mergeCell ref="H8:H14"/>
    <mergeCell ref="A17:B17"/>
    <mergeCell ref="D17:H17"/>
    <mergeCell ref="H18:H47"/>
    <mergeCell ref="B19:B29"/>
    <mergeCell ref="B31:B47"/>
    <mergeCell ref="A54:B54"/>
    <mergeCell ref="A55:B55"/>
  </mergeCells>
  <printOptions horizontalCentered="1"/>
  <pageMargins left="0" right="0" top="0" bottom="0.17" header="0" footer="0"/>
  <pageSetup paperSize="9" scale="67" fitToHeight="0" orientation="portrait" r:id="rId1"/>
  <headerFooter scaleWithDoc="0"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F00"/>
    <pageSetUpPr fitToPage="1"/>
  </sheetPr>
  <dimension ref="A1:H57"/>
  <sheetViews>
    <sheetView showGridLines="0" zoomScaleNormal="100" zoomScaleSheetLayoutView="100" workbookViewId="0">
      <selection activeCell="G5" sqref="G5"/>
    </sheetView>
  </sheetViews>
  <sheetFormatPr baseColWidth="10" defaultColWidth="9.1640625" defaultRowHeight="15" x14ac:dyDescent="0.2"/>
  <cols>
    <col min="1" max="1" width="7" style="1" customWidth="1"/>
    <col min="2" max="2" width="12.1640625" style="34" customWidth="1"/>
    <col min="3" max="3" width="62.6640625" style="1" customWidth="1"/>
    <col min="4" max="4" width="11.6640625" style="5" customWidth="1"/>
    <col min="5" max="5" width="8.5" style="5" customWidth="1"/>
    <col min="6" max="6" width="15.33203125" style="1" customWidth="1"/>
    <col min="7" max="7" width="14.83203125" style="1" customWidth="1"/>
    <col min="8" max="8" width="16.1640625" style="1" customWidth="1"/>
    <col min="9" max="16384" width="9.1640625" style="1"/>
  </cols>
  <sheetData>
    <row r="1" spans="1:8" ht="18" customHeight="1" x14ac:dyDescent="0.2">
      <c r="A1" s="35"/>
      <c r="B1" s="36"/>
      <c r="C1" s="61"/>
      <c r="D1" s="37"/>
      <c r="E1" s="47"/>
      <c r="F1" s="62" t="s">
        <v>25</v>
      </c>
      <c r="G1" s="48"/>
      <c r="H1" s="38"/>
    </row>
    <row r="2" spans="1:8" ht="18" customHeight="1" x14ac:dyDescent="0.2">
      <c r="A2" s="68" t="s">
        <v>27</v>
      </c>
      <c r="B2" s="69"/>
      <c r="C2" s="74"/>
      <c r="D2" s="42"/>
      <c r="E2" s="44"/>
      <c r="F2" s="49" t="s">
        <v>16</v>
      </c>
      <c r="G2" s="50"/>
      <c r="H2" s="43"/>
    </row>
    <row r="3" spans="1:8" ht="18" customHeight="1" x14ac:dyDescent="0.2">
      <c r="A3" s="39"/>
      <c r="B3" s="40"/>
      <c r="C3" s="41"/>
      <c r="D3" s="42"/>
      <c r="E3" s="44"/>
      <c r="F3" s="49" t="s">
        <v>22</v>
      </c>
      <c r="G3" s="50"/>
      <c r="H3" s="43"/>
    </row>
    <row r="4" spans="1:8" ht="18" customHeight="1" x14ac:dyDescent="0.2">
      <c r="A4" s="63" t="s">
        <v>26</v>
      </c>
      <c r="B4" s="49"/>
      <c r="C4" s="75" t="s">
        <v>31</v>
      </c>
      <c r="D4" s="42"/>
      <c r="E4" s="44"/>
      <c r="F4" s="49" t="s">
        <v>23</v>
      </c>
      <c r="G4" s="50"/>
      <c r="H4" s="43"/>
    </row>
    <row r="5" spans="1:8" ht="18" customHeight="1" x14ac:dyDescent="0.2">
      <c r="A5" s="66"/>
      <c r="D5" s="45"/>
      <c r="E5" s="44"/>
      <c r="F5" s="49" t="s">
        <v>56</v>
      </c>
      <c r="G5" s="81"/>
      <c r="H5" s="46"/>
    </row>
    <row r="6" spans="1:8" ht="21" customHeight="1" x14ac:dyDescent="0.2">
      <c r="A6" s="73" t="s">
        <v>0</v>
      </c>
      <c r="B6" s="76" t="s">
        <v>1</v>
      </c>
      <c r="C6" s="76" t="s">
        <v>2</v>
      </c>
      <c r="D6" s="76" t="s">
        <v>3</v>
      </c>
      <c r="E6" s="76" t="s">
        <v>4</v>
      </c>
      <c r="F6" s="70" t="s">
        <v>28</v>
      </c>
      <c r="G6" s="70" t="s">
        <v>29</v>
      </c>
      <c r="H6" s="71" t="s">
        <v>32</v>
      </c>
    </row>
    <row r="7" spans="1:8" s="29" customFormat="1" ht="18" customHeight="1" x14ac:dyDescent="0.2">
      <c r="A7" s="94"/>
      <c r="B7" s="95"/>
      <c r="C7" s="25" t="s">
        <v>5</v>
      </c>
      <c r="D7" s="95"/>
      <c r="E7" s="95"/>
      <c r="F7" s="95"/>
      <c r="G7" s="95"/>
      <c r="H7" s="96"/>
    </row>
    <row r="8" spans="1:8" s="29" customFormat="1" ht="18" customHeight="1" x14ac:dyDescent="0.2">
      <c r="A8" s="30">
        <v>1</v>
      </c>
      <c r="B8" s="97"/>
      <c r="C8" s="2" t="s">
        <v>6</v>
      </c>
      <c r="D8" s="6">
        <v>1</v>
      </c>
      <c r="E8" s="6" t="s">
        <v>14</v>
      </c>
      <c r="F8" s="23">
        <f t="shared" ref="F8:F14" si="0">IF(D8=0,"",0)</f>
        <v>0</v>
      </c>
      <c r="G8" s="23">
        <f>IF(F8="","",D8*F8)</f>
        <v>0</v>
      </c>
      <c r="H8" s="98"/>
    </row>
    <row r="9" spans="1:8" s="29" customFormat="1" ht="18" customHeight="1" x14ac:dyDescent="0.2">
      <c r="A9" s="60">
        <f>IF(D9=0,"",1+MAX(A$8:A8))</f>
        <v>2</v>
      </c>
      <c r="B9" s="97"/>
      <c r="C9" s="27" t="s">
        <v>13</v>
      </c>
      <c r="D9" s="28">
        <v>1</v>
      </c>
      <c r="E9" s="28" t="s">
        <v>14</v>
      </c>
      <c r="F9" s="26">
        <f t="shared" si="0"/>
        <v>0</v>
      </c>
      <c r="G9" s="26">
        <f t="shared" ref="G9:G14" si="1">IF(F9="","",D9*F9)</f>
        <v>0</v>
      </c>
      <c r="H9" s="98"/>
    </row>
    <row r="10" spans="1:8" s="29" customFormat="1" ht="18" customHeight="1" x14ac:dyDescent="0.2">
      <c r="A10" s="60">
        <f>IF(D10=0,"",1+MAX(A$8:A9))</f>
        <v>3</v>
      </c>
      <c r="B10" s="97"/>
      <c r="C10" s="27" t="s">
        <v>21</v>
      </c>
      <c r="D10" s="28">
        <v>1</v>
      </c>
      <c r="E10" s="28" t="s">
        <v>14</v>
      </c>
      <c r="F10" s="26">
        <f t="shared" si="0"/>
        <v>0</v>
      </c>
      <c r="G10" s="26">
        <f t="shared" si="1"/>
        <v>0</v>
      </c>
      <c r="H10" s="98"/>
    </row>
    <row r="11" spans="1:8" s="29" customFormat="1" ht="18" customHeight="1" x14ac:dyDescent="0.2">
      <c r="A11" s="60">
        <f>IF(D11=0,"",1+MAX(A$8:A10))</f>
        <v>4</v>
      </c>
      <c r="B11" s="97"/>
      <c r="C11" s="27" t="s">
        <v>7</v>
      </c>
      <c r="D11" s="28">
        <v>1</v>
      </c>
      <c r="E11" s="28" t="s">
        <v>14</v>
      </c>
      <c r="F11" s="26">
        <f t="shared" si="0"/>
        <v>0</v>
      </c>
      <c r="G11" s="26">
        <f t="shared" si="1"/>
        <v>0</v>
      </c>
      <c r="H11" s="98"/>
    </row>
    <row r="12" spans="1:8" s="29" customFormat="1" ht="18" customHeight="1" x14ac:dyDescent="0.2">
      <c r="A12" s="60">
        <f>IF(D12=0,"",1+MAX(A$8:A11))</f>
        <v>5</v>
      </c>
      <c r="B12" s="97"/>
      <c r="C12" s="27" t="s">
        <v>8</v>
      </c>
      <c r="D12" s="28">
        <v>1</v>
      </c>
      <c r="E12" s="28" t="s">
        <v>14</v>
      </c>
      <c r="F12" s="26">
        <f t="shared" si="0"/>
        <v>0</v>
      </c>
      <c r="G12" s="26">
        <f t="shared" si="1"/>
        <v>0</v>
      </c>
      <c r="H12" s="98"/>
    </row>
    <row r="13" spans="1:8" s="29" customFormat="1" ht="18" customHeight="1" x14ac:dyDescent="0.2">
      <c r="A13" s="60">
        <f>IF(D13=0,"",1+MAX(A$8:A12))</f>
        <v>6</v>
      </c>
      <c r="B13" s="97"/>
      <c r="C13" s="27" t="s">
        <v>9</v>
      </c>
      <c r="D13" s="28">
        <v>1</v>
      </c>
      <c r="E13" s="28" t="s">
        <v>14</v>
      </c>
      <c r="F13" s="26">
        <f t="shared" si="0"/>
        <v>0</v>
      </c>
      <c r="G13" s="26">
        <f t="shared" si="1"/>
        <v>0</v>
      </c>
      <c r="H13" s="98"/>
    </row>
    <row r="14" spans="1:8" s="29" customFormat="1" ht="18" customHeight="1" x14ac:dyDescent="0.2">
      <c r="A14" s="60">
        <f>IF(D14=0,"",1+MAX(A$8:A13))</f>
        <v>7</v>
      </c>
      <c r="B14" s="97"/>
      <c r="C14" s="24" t="s">
        <v>24</v>
      </c>
      <c r="D14" s="28">
        <v>1</v>
      </c>
      <c r="E14" s="6" t="s">
        <v>14</v>
      </c>
      <c r="F14" s="26">
        <f t="shared" si="0"/>
        <v>0</v>
      </c>
      <c r="G14" s="26">
        <f t="shared" si="1"/>
        <v>0</v>
      </c>
      <c r="H14" s="98"/>
    </row>
    <row r="15" spans="1:8" s="29" customFormat="1" ht="18" customHeight="1" x14ac:dyDescent="0.2">
      <c r="A15" s="60" t="str">
        <f>IF(D15=0,"",1+MAX(A5:A14))</f>
        <v/>
      </c>
      <c r="B15" s="64"/>
      <c r="C15" s="9" t="s">
        <v>17</v>
      </c>
      <c r="D15" s="8"/>
      <c r="E15" s="4"/>
      <c r="F15" s="3"/>
      <c r="G15" s="23"/>
      <c r="H15" s="65">
        <f>(SUM(G8:G15))</f>
        <v>0</v>
      </c>
    </row>
    <row r="16" spans="1:8" s="29" customFormat="1" ht="18" customHeight="1" x14ac:dyDescent="0.2">
      <c r="A16" s="31"/>
      <c r="B16" s="33"/>
      <c r="C16" s="7"/>
      <c r="D16" s="21"/>
      <c r="E16" s="21"/>
      <c r="F16" s="22"/>
      <c r="G16" s="22"/>
      <c r="H16" s="32"/>
    </row>
    <row r="17" spans="1:8" s="29" customFormat="1" ht="18" customHeight="1" x14ac:dyDescent="0.2">
      <c r="A17" s="94"/>
      <c r="B17" s="95"/>
      <c r="C17" s="25" t="s">
        <v>19</v>
      </c>
      <c r="D17" s="95"/>
      <c r="E17" s="95"/>
      <c r="F17" s="95"/>
      <c r="G17" s="95"/>
      <c r="H17" s="96"/>
    </row>
    <row r="18" spans="1:8" s="29" customFormat="1" ht="18" customHeight="1" x14ac:dyDescent="0.2">
      <c r="A18" s="67" t="str">
        <f>IF(D18=0,"",1+MAX(A$7:A17))</f>
        <v/>
      </c>
      <c r="B18" s="84" t="s">
        <v>58</v>
      </c>
      <c r="C18" s="84" t="s">
        <v>34</v>
      </c>
      <c r="D18" s="82"/>
      <c r="E18" s="82"/>
      <c r="F18" s="23" t="str">
        <f t="shared" ref="F18" si="2">IF(D18=0,"",0)</f>
        <v/>
      </c>
      <c r="G18" s="23" t="str">
        <f t="shared" ref="G18:G47" si="3">IF(F18="","",D18*F18)</f>
        <v/>
      </c>
      <c r="H18" s="98"/>
    </row>
    <row r="19" spans="1:8" s="29" customFormat="1" ht="18" customHeight="1" x14ac:dyDescent="0.2">
      <c r="A19" s="67">
        <f>IF(D19=0,"",1+MAX(A$7:A18))</f>
        <v>8</v>
      </c>
      <c r="B19" s="99"/>
      <c r="C19" s="27" t="s">
        <v>57</v>
      </c>
      <c r="D19" s="86">
        <f>8*10.66</f>
        <v>85.28</v>
      </c>
      <c r="E19" s="28" t="s">
        <v>35</v>
      </c>
      <c r="F19" s="23">
        <v>6</v>
      </c>
      <c r="G19" s="23">
        <f t="shared" si="3"/>
        <v>511.68</v>
      </c>
      <c r="H19" s="98"/>
    </row>
    <row r="20" spans="1:8" s="29" customFormat="1" ht="18" customHeight="1" x14ac:dyDescent="0.2">
      <c r="A20" s="67">
        <f>IF(D20=0,"",1+MAX(A$7:A19))</f>
        <v>9</v>
      </c>
      <c r="B20" s="100"/>
      <c r="C20" s="27" t="s">
        <v>36</v>
      </c>
      <c r="D20" s="86">
        <v>37</v>
      </c>
      <c r="E20" s="28" t="s">
        <v>35</v>
      </c>
      <c r="F20" s="23">
        <v>7</v>
      </c>
      <c r="G20" s="23">
        <f t="shared" si="3"/>
        <v>259</v>
      </c>
      <c r="H20" s="98"/>
    </row>
    <row r="21" spans="1:8" s="29" customFormat="1" ht="18" customHeight="1" x14ac:dyDescent="0.2">
      <c r="A21" s="67">
        <f>IF(D21=0,"",1+MAX(A$7:A20))</f>
        <v>10</v>
      </c>
      <c r="B21" s="100"/>
      <c r="C21" s="27" t="s">
        <v>37</v>
      </c>
      <c r="D21" s="86">
        <v>37</v>
      </c>
      <c r="E21" s="28" t="s">
        <v>35</v>
      </c>
      <c r="F21" s="23">
        <v>3</v>
      </c>
      <c r="G21" s="23">
        <f t="shared" si="3"/>
        <v>111</v>
      </c>
      <c r="H21" s="98"/>
    </row>
    <row r="22" spans="1:8" s="29" customFormat="1" ht="18" customHeight="1" x14ac:dyDescent="0.2">
      <c r="A22" s="67">
        <f>IF(D22=0,"",1+MAX(A$7:A21))</f>
        <v>11</v>
      </c>
      <c r="B22" s="100"/>
      <c r="C22" s="27" t="s">
        <v>53</v>
      </c>
      <c r="D22" s="86">
        <v>102</v>
      </c>
      <c r="E22" s="28" t="s">
        <v>35</v>
      </c>
      <c r="F22" s="23">
        <v>2</v>
      </c>
      <c r="G22" s="23">
        <f t="shared" si="3"/>
        <v>204</v>
      </c>
      <c r="H22" s="98"/>
    </row>
    <row r="23" spans="1:8" s="29" customFormat="1" ht="18" customHeight="1" x14ac:dyDescent="0.2">
      <c r="A23" s="67">
        <f>IF(D23=0,"",1+MAX(A$7:A22))</f>
        <v>12</v>
      </c>
      <c r="B23" s="100"/>
      <c r="C23" s="27" t="s">
        <v>38</v>
      </c>
      <c r="D23" s="86">
        <v>102</v>
      </c>
      <c r="E23" s="28" t="s">
        <v>35</v>
      </c>
      <c r="F23" s="23">
        <v>5</v>
      </c>
      <c r="G23" s="23">
        <f t="shared" si="3"/>
        <v>510</v>
      </c>
      <c r="H23" s="98"/>
    </row>
    <row r="24" spans="1:8" s="29" customFormat="1" ht="18" customHeight="1" x14ac:dyDescent="0.2">
      <c r="A24" s="67">
        <f>IF(D24=0,"",1+MAX(A$7:A23))</f>
        <v>13</v>
      </c>
      <c r="B24" s="100"/>
      <c r="C24" s="27" t="s">
        <v>61</v>
      </c>
      <c r="D24" s="86">
        <f>37*2</f>
        <v>74</v>
      </c>
      <c r="E24" s="28" t="s">
        <v>35</v>
      </c>
      <c r="F24" s="23">
        <v>8</v>
      </c>
      <c r="G24" s="23">
        <f t="shared" si="3"/>
        <v>592</v>
      </c>
      <c r="H24" s="98"/>
    </row>
    <row r="25" spans="1:8" s="29" customFormat="1" ht="18" customHeight="1" x14ac:dyDescent="0.2">
      <c r="A25" s="67">
        <f>IF(D25=0,"",1+MAX(A$7:A24))</f>
        <v>14</v>
      </c>
      <c r="B25" s="100"/>
      <c r="C25" s="27" t="s">
        <v>60</v>
      </c>
      <c r="D25" s="86">
        <v>52</v>
      </c>
      <c r="E25" s="28" t="s">
        <v>35</v>
      </c>
      <c r="F25" s="23">
        <v>9</v>
      </c>
      <c r="G25" s="23">
        <f t="shared" si="3"/>
        <v>468</v>
      </c>
      <c r="H25" s="98"/>
    </row>
    <row r="26" spans="1:8" s="29" customFormat="1" ht="18" customHeight="1" x14ac:dyDescent="0.2">
      <c r="A26" s="67">
        <f>IF(D26=0,"",1+MAX(A$7:A25))</f>
        <v>15</v>
      </c>
      <c r="B26" s="100"/>
      <c r="C26" s="27" t="s">
        <v>39</v>
      </c>
      <c r="D26" s="86">
        <v>628</v>
      </c>
      <c r="E26" s="28" t="s">
        <v>40</v>
      </c>
      <c r="F26" s="23">
        <v>3</v>
      </c>
      <c r="G26" s="23">
        <f t="shared" si="3"/>
        <v>1884</v>
      </c>
      <c r="H26" s="98"/>
    </row>
    <row r="27" spans="1:8" s="29" customFormat="1" ht="18" customHeight="1" x14ac:dyDescent="0.2">
      <c r="A27" s="67">
        <f>IF(D27=0,"",1+MAX(A$7:A26))</f>
        <v>16</v>
      </c>
      <c r="B27" s="100"/>
      <c r="C27" s="27" t="s">
        <v>41</v>
      </c>
      <c r="D27" s="86">
        <v>628</v>
      </c>
      <c r="E27" s="28" t="s">
        <v>40</v>
      </c>
      <c r="F27" s="23">
        <v>6</v>
      </c>
      <c r="G27" s="23">
        <f t="shared" si="3"/>
        <v>3768</v>
      </c>
      <c r="H27" s="98"/>
    </row>
    <row r="28" spans="1:8" s="29" customFormat="1" ht="18" customHeight="1" x14ac:dyDescent="0.2">
      <c r="A28" s="67">
        <f>IF(D28=0,"",1+MAX(A$7:A27))</f>
        <v>17</v>
      </c>
      <c r="B28" s="100"/>
      <c r="C28" s="27" t="s">
        <v>42</v>
      </c>
      <c r="D28" s="86">
        <v>628</v>
      </c>
      <c r="E28" s="28" t="s">
        <v>40</v>
      </c>
      <c r="F28" s="90">
        <v>1.1000000000000001</v>
      </c>
      <c r="G28" s="23">
        <f t="shared" si="3"/>
        <v>690.80000000000007</v>
      </c>
      <c r="H28" s="98"/>
    </row>
    <row r="29" spans="1:8" s="29" customFormat="1" ht="18" customHeight="1" x14ac:dyDescent="0.2">
      <c r="A29" s="67">
        <f>IF(D29=0,"",1+MAX(A$7:A28))</f>
        <v>18</v>
      </c>
      <c r="B29" s="101"/>
      <c r="C29" s="27" t="s">
        <v>43</v>
      </c>
      <c r="D29" s="86">
        <v>628</v>
      </c>
      <c r="E29" s="28" t="s">
        <v>40</v>
      </c>
      <c r="F29" s="90">
        <v>1.5</v>
      </c>
      <c r="G29" s="23">
        <f t="shared" si="3"/>
        <v>942</v>
      </c>
      <c r="H29" s="98"/>
    </row>
    <row r="30" spans="1:8" s="29" customFormat="1" ht="18" customHeight="1" x14ac:dyDescent="0.2">
      <c r="A30" s="67" t="str">
        <f>IF(D30=0,"",1+MAX(A$7:A29))</f>
        <v/>
      </c>
      <c r="B30" s="83" t="s">
        <v>62</v>
      </c>
      <c r="C30" s="83" t="s">
        <v>45</v>
      </c>
      <c r="D30" s="86"/>
      <c r="E30" s="28"/>
      <c r="F30" s="23" t="str">
        <f t="shared" ref="F30" si="4">IF(D30=0,"",0)</f>
        <v/>
      </c>
      <c r="G30" s="23" t="str">
        <f t="shared" si="3"/>
        <v/>
      </c>
      <c r="H30" s="98"/>
    </row>
    <row r="31" spans="1:8" s="29" customFormat="1" ht="18" customHeight="1" x14ac:dyDescent="0.2">
      <c r="A31" s="67">
        <f>IF(D31=0,"",1+MAX(A$7:A30))</f>
        <v>19</v>
      </c>
      <c r="B31" s="99"/>
      <c r="C31" s="27" t="s">
        <v>59</v>
      </c>
      <c r="D31" s="86">
        <f>26*30.33</f>
        <v>788.57999999999993</v>
      </c>
      <c r="E31" s="28" t="s">
        <v>35</v>
      </c>
      <c r="F31" s="23">
        <v>6</v>
      </c>
      <c r="G31" s="23">
        <f t="shared" si="3"/>
        <v>4731.4799999999996</v>
      </c>
      <c r="H31" s="98"/>
    </row>
    <row r="32" spans="1:8" s="29" customFormat="1" ht="18" customHeight="1" x14ac:dyDescent="0.2">
      <c r="A32" s="67">
        <f>IF(D32=0,"",1+MAX(A$7:A31))</f>
        <v>20</v>
      </c>
      <c r="B32" s="100"/>
      <c r="C32" s="27" t="s">
        <v>55</v>
      </c>
      <c r="D32" s="86">
        <v>16</v>
      </c>
      <c r="E32" s="28" t="s">
        <v>46</v>
      </c>
      <c r="F32" s="23">
        <v>300</v>
      </c>
      <c r="G32" s="23">
        <f t="shared" si="3"/>
        <v>4800</v>
      </c>
      <c r="H32" s="98"/>
    </row>
    <row r="33" spans="1:8" s="29" customFormat="1" ht="18" customHeight="1" x14ac:dyDescent="0.2">
      <c r="A33" s="67">
        <f>IF(D33=0,"",1+MAX(A$7:A32))</f>
        <v>21</v>
      </c>
      <c r="B33" s="100"/>
      <c r="C33" s="27" t="s">
        <v>47</v>
      </c>
      <c r="D33" s="86">
        <v>63.56</v>
      </c>
      <c r="E33" s="28" t="s">
        <v>35</v>
      </c>
      <c r="F33" s="23">
        <v>5</v>
      </c>
      <c r="G33" s="23">
        <f t="shared" si="3"/>
        <v>317.8</v>
      </c>
      <c r="H33" s="98"/>
    </row>
    <row r="34" spans="1:8" s="29" customFormat="1" ht="18" customHeight="1" x14ac:dyDescent="0.2">
      <c r="A34" s="67">
        <f>IF(D34=0,"",1+MAX(A$7:A33))</f>
        <v>22</v>
      </c>
      <c r="B34" s="100"/>
      <c r="C34" s="27" t="s">
        <v>36</v>
      </c>
      <c r="D34" s="86">
        <v>305</v>
      </c>
      <c r="E34" s="28" t="s">
        <v>35</v>
      </c>
      <c r="F34" s="23">
        <v>7</v>
      </c>
      <c r="G34" s="23">
        <f t="shared" si="3"/>
        <v>2135</v>
      </c>
      <c r="H34" s="98"/>
    </row>
    <row r="35" spans="1:8" s="29" customFormat="1" ht="18" customHeight="1" x14ac:dyDescent="0.2">
      <c r="A35" s="67">
        <f>IF(D35=0,"",1+MAX(A$7:A34))</f>
        <v>23</v>
      </c>
      <c r="B35" s="100"/>
      <c r="C35" s="27" t="s">
        <v>37</v>
      </c>
      <c r="D35" s="86">
        <v>305</v>
      </c>
      <c r="E35" s="28" t="s">
        <v>35</v>
      </c>
      <c r="F35" s="23">
        <v>3</v>
      </c>
      <c r="G35" s="23">
        <f t="shared" si="3"/>
        <v>915</v>
      </c>
      <c r="H35" s="98"/>
    </row>
    <row r="36" spans="1:8" s="29" customFormat="1" ht="18" customHeight="1" x14ac:dyDescent="0.2">
      <c r="A36" s="67">
        <f>IF(D36=0,"",1+MAX(A$7:A35))</f>
        <v>24</v>
      </c>
      <c r="B36" s="100"/>
      <c r="C36" s="27" t="s">
        <v>48</v>
      </c>
      <c r="D36" s="86">
        <f>157.78+305</f>
        <v>462.78</v>
      </c>
      <c r="E36" s="28" t="s">
        <v>35</v>
      </c>
      <c r="F36" s="23">
        <v>5</v>
      </c>
      <c r="G36" s="23">
        <f t="shared" si="3"/>
        <v>2313.8999999999996</v>
      </c>
      <c r="H36" s="98"/>
    </row>
    <row r="37" spans="1:8" s="29" customFormat="1" ht="18" customHeight="1" x14ac:dyDescent="0.2">
      <c r="A37" s="67">
        <f>IF(D37=0,"",1+MAX(A$7:A36))</f>
        <v>25</v>
      </c>
      <c r="B37" s="100"/>
      <c r="C37" s="27" t="s">
        <v>49</v>
      </c>
      <c r="D37" s="86">
        <v>305</v>
      </c>
      <c r="E37" s="28" t="s">
        <v>35</v>
      </c>
      <c r="F37" s="23">
        <v>4</v>
      </c>
      <c r="G37" s="23">
        <f t="shared" si="3"/>
        <v>1220</v>
      </c>
      <c r="H37" s="98"/>
    </row>
    <row r="38" spans="1:8" s="29" customFormat="1" ht="18" customHeight="1" x14ac:dyDescent="0.2">
      <c r="A38" s="67">
        <f>IF(D38=0,"",1+MAX(A$7:A37))</f>
        <v>26</v>
      </c>
      <c r="B38" s="100"/>
      <c r="C38" s="27" t="s">
        <v>53</v>
      </c>
      <c r="D38" s="86">
        <f>157.78+305+194</f>
        <v>656.78</v>
      </c>
      <c r="E38" s="28" t="s">
        <v>35</v>
      </c>
      <c r="F38" s="23">
        <v>2</v>
      </c>
      <c r="G38" s="23">
        <f t="shared" si="3"/>
        <v>1313.56</v>
      </c>
      <c r="H38" s="98"/>
    </row>
    <row r="39" spans="1:8" s="29" customFormat="1" ht="18" customHeight="1" x14ac:dyDescent="0.2">
      <c r="A39" s="67">
        <f>IF(D39=0,"",1+MAX(A$7:A38))</f>
        <v>27</v>
      </c>
      <c r="B39" s="100"/>
      <c r="C39" s="27" t="s">
        <v>38</v>
      </c>
      <c r="D39" s="86">
        <f>157.78+305</f>
        <v>462.78</v>
      </c>
      <c r="E39" s="28" t="s">
        <v>35</v>
      </c>
      <c r="F39" s="23">
        <v>5</v>
      </c>
      <c r="G39" s="23">
        <f t="shared" si="3"/>
        <v>2313.8999999999996</v>
      </c>
      <c r="H39" s="98"/>
    </row>
    <row r="40" spans="1:8" s="29" customFormat="1" ht="18" customHeight="1" x14ac:dyDescent="0.2">
      <c r="A40" s="67">
        <f>IF(D40=0,"",1+MAX(A$7:A39))</f>
        <v>28</v>
      </c>
      <c r="B40" s="100"/>
      <c r="C40" s="27" t="s">
        <v>50</v>
      </c>
      <c r="D40" s="86">
        <v>194</v>
      </c>
      <c r="E40" s="28" t="s">
        <v>35</v>
      </c>
      <c r="F40" s="23">
        <v>6</v>
      </c>
      <c r="G40" s="23">
        <f t="shared" si="3"/>
        <v>1164</v>
      </c>
      <c r="H40" s="98"/>
    </row>
    <row r="41" spans="1:8" s="29" customFormat="1" ht="18" customHeight="1" x14ac:dyDescent="0.2">
      <c r="A41" s="67">
        <f>IF(D41=0,"",1+MAX(A$7:A40))</f>
        <v>29</v>
      </c>
      <c r="B41" s="100"/>
      <c r="C41" s="27" t="s">
        <v>60</v>
      </c>
      <c r="D41" s="86">
        <v>310</v>
      </c>
      <c r="E41" s="28" t="s">
        <v>35</v>
      </c>
      <c r="F41" s="23">
        <v>9</v>
      </c>
      <c r="G41" s="23">
        <f t="shared" si="3"/>
        <v>2790</v>
      </c>
      <c r="H41" s="98"/>
    </row>
    <row r="42" spans="1:8" s="29" customFormat="1" ht="18" customHeight="1" x14ac:dyDescent="0.2">
      <c r="A42" s="67">
        <f>IF(D42=0,"",1+MAX(A$7:A41))</f>
        <v>30</v>
      </c>
      <c r="B42" s="100"/>
      <c r="C42" s="27" t="s">
        <v>51</v>
      </c>
      <c r="D42" s="86">
        <v>826</v>
      </c>
      <c r="E42" s="28" t="s">
        <v>40</v>
      </c>
      <c r="F42" s="23">
        <v>25</v>
      </c>
      <c r="G42" s="23">
        <f t="shared" si="3"/>
        <v>20650</v>
      </c>
      <c r="H42" s="98"/>
    </row>
    <row r="43" spans="1:8" s="29" customFormat="1" ht="18" customHeight="1" x14ac:dyDescent="0.2">
      <c r="A43" s="67">
        <f>IF(D43=0,"",1+MAX(A$7:A42))</f>
        <v>31</v>
      </c>
      <c r="B43" s="100"/>
      <c r="C43" s="27" t="s">
        <v>52</v>
      </c>
      <c r="D43" s="86">
        <v>498</v>
      </c>
      <c r="E43" s="28" t="s">
        <v>40</v>
      </c>
      <c r="F43" s="23">
        <v>20</v>
      </c>
      <c r="G43" s="23">
        <f t="shared" si="3"/>
        <v>9960</v>
      </c>
      <c r="H43" s="98"/>
    </row>
    <row r="44" spans="1:8" s="29" customFormat="1" ht="18" customHeight="1" x14ac:dyDescent="0.2">
      <c r="A44" s="67">
        <f>IF(D44=0,"",1+MAX(A$7:A43))</f>
        <v>32</v>
      </c>
      <c r="B44" s="100"/>
      <c r="C44" s="27" t="s">
        <v>39</v>
      </c>
      <c r="D44" s="86">
        <v>9710</v>
      </c>
      <c r="E44" s="28" t="s">
        <v>40</v>
      </c>
      <c r="F44" s="23">
        <v>3</v>
      </c>
      <c r="G44" s="23">
        <f t="shared" si="3"/>
        <v>29130</v>
      </c>
      <c r="H44" s="98"/>
    </row>
    <row r="45" spans="1:8" s="29" customFormat="1" ht="18" customHeight="1" x14ac:dyDescent="0.2">
      <c r="A45" s="67">
        <f>IF(D45=0,"",1+MAX(A$7:A44))</f>
        <v>33</v>
      </c>
      <c r="B45" s="100"/>
      <c r="C45" s="27" t="s">
        <v>41</v>
      </c>
      <c r="D45" s="86">
        <v>9710</v>
      </c>
      <c r="E45" s="28" t="s">
        <v>40</v>
      </c>
      <c r="F45" s="23">
        <v>6</v>
      </c>
      <c r="G45" s="23">
        <f t="shared" si="3"/>
        <v>58260</v>
      </c>
      <c r="H45" s="98"/>
    </row>
    <row r="46" spans="1:8" s="29" customFormat="1" ht="18" customHeight="1" x14ac:dyDescent="0.2">
      <c r="A46" s="67">
        <f>IF(D46=0,"",1+MAX(A$7:A45))</f>
        <v>34</v>
      </c>
      <c r="B46" s="100"/>
      <c r="C46" s="27" t="s">
        <v>42</v>
      </c>
      <c r="D46" s="86">
        <v>9710</v>
      </c>
      <c r="E46" s="28" t="s">
        <v>40</v>
      </c>
      <c r="F46" s="90">
        <v>1.1000000000000001</v>
      </c>
      <c r="G46" s="23">
        <f t="shared" si="3"/>
        <v>10681</v>
      </c>
      <c r="H46" s="98"/>
    </row>
    <row r="47" spans="1:8" s="29" customFormat="1" ht="18" customHeight="1" x14ac:dyDescent="0.2">
      <c r="A47" s="67">
        <f>IF(D47=0,"",1+MAX(A$7:A46))</f>
        <v>35</v>
      </c>
      <c r="B47" s="101"/>
      <c r="C47" s="24" t="s">
        <v>43</v>
      </c>
      <c r="D47" s="86">
        <v>9710</v>
      </c>
      <c r="E47" s="28" t="s">
        <v>40</v>
      </c>
      <c r="F47" s="90">
        <v>1.5</v>
      </c>
      <c r="G47" s="23">
        <f t="shared" si="3"/>
        <v>14565</v>
      </c>
      <c r="H47" s="98"/>
    </row>
    <row r="48" spans="1:8" s="29" customFormat="1" ht="18" customHeight="1" x14ac:dyDescent="0.2">
      <c r="A48" s="67" t="str">
        <f>IF(D48=0,"",1+MAX(A$7:A47))</f>
        <v/>
      </c>
      <c r="B48" s="64"/>
      <c r="C48" s="9" t="s">
        <v>20</v>
      </c>
      <c r="D48" s="8"/>
      <c r="E48" s="4"/>
      <c r="F48" s="23" t="str">
        <f t="shared" ref="F48" si="5">IF(D48=0,"",0)</f>
        <v/>
      </c>
      <c r="G48" s="23" t="str">
        <f t="shared" ref="G48" si="6">IF(F48="","",D48*F48)</f>
        <v/>
      </c>
      <c r="H48" s="65">
        <f>(SUM(G18:G48))</f>
        <v>177201.12</v>
      </c>
    </row>
    <row r="49" spans="1:8" s="29" customFormat="1" ht="18" customHeight="1" thickBot="1" x14ac:dyDescent="0.25">
      <c r="A49" s="31"/>
      <c r="B49" s="33"/>
      <c r="C49" s="7"/>
      <c r="D49" s="21"/>
      <c r="E49" s="21"/>
      <c r="F49" s="22"/>
      <c r="G49" s="22"/>
      <c r="H49" s="32"/>
    </row>
    <row r="50" spans="1:8" s="29" customFormat="1" ht="18" customHeight="1" x14ac:dyDescent="0.2">
      <c r="A50" s="79"/>
      <c r="B50" s="80" t="s">
        <v>18</v>
      </c>
      <c r="C50" s="17"/>
      <c r="D50" s="18"/>
      <c r="E50" s="18"/>
      <c r="F50" s="17"/>
      <c r="G50" s="17"/>
      <c r="H50" s="87">
        <f>SUM(H8:H49)</f>
        <v>177201.12</v>
      </c>
    </row>
    <row r="51" spans="1:8" s="29" customFormat="1" ht="18" customHeight="1" x14ac:dyDescent="0.2">
      <c r="A51" s="77"/>
      <c r="B51" s="78" t="s">
        <v>30</v>
      </c>
      <c r="C51" s="11"/>
      <c r="D51" s="72">
        <v>0.2</v>
      </c>
      <c r="E51" s="14"/>
      <c r="F51" s="10"/>
      <c r="G51" s="10"/>
      <c r="H51" s="88">
        <f>(H50*D51)</f>
        <v>35440.224000000002</v>
      </c>
    </row>
    <row r="52" spans="1:8" s="29" customFormat="1" ht="18" customHeight="1" x14ac:dyDescent="0.2">
      <c r="A52" s="77"/>
      <c r="B52" s="78" t="s">
        <v>10</v>
      </c>
      <c r="C52" s="11"/>
      <c r="D52" s="72">
        <v>0.03</v>
      </c>
      <c r="E52" s="15"/>
      <c r="F52" s="12"/>
      <c r="G52" s="12"/>
      <c r="H52" s="88">
        <f>(H50*D52)</f>
        <v>5316.0335999999998</v>
      </c>
    </row>
    <row r="53" spans="1:8" s="29" customFormat="1" ht="18" customHeight="1" x14ac:dyDescent="0.2">
      <c r="A53" s="77"/>
      <c r="B53" s="78" t="s">
        <v>12</v>
      </c>
      <c r="C53" s="11"/>
      <c r="D53" s="72">
        <v>7.0000000000000007E-2</v>
      </c>
      <c r="E53" s="16"/>
      <c r="F53" s="13"/>
      <c r="G53" s="13"/>
      <c r="H53" s="88">
        <f>(H50*D53)</f>
        <v>12404.0784</v>
      </c>
    </row>
    <row r="54" spans="1:8" ht="24" customHeight="1" thickBot="1" x14ac:dyDescent="0.25">
      <c r="A54" s="102" t="s">
        <v>11</v>
      </c>
      <c r="B54" s="103"/>
      <c r="C54" s="19"/>
      <c r="D54" s="20"/>
      <c r="E54" s="20"/>
      <c r="F54" s="19"/>
      <c r="G54" s="19"/>
      <c r="H54" s="89">
        <f>SUM(H50:H53)</f>
        <v>230361.45599999998</v>
      </c>
    </row>
    <row r="55" spans="1:8" s="29" customFormat="1" ht="18" customHeight="1" thickBot="1" x14ac:dyDescent="0.25">
      <c r="A55" s="104" t="s">
        <v>15</v>
      </c>
      <c r="B55" s="105"/>
      <c r="C55" s="51"/>
      <c r="D55" s="52"/>
      <c r="E55" s="52"/>
      <c r="F55" s="51"/>
      <c r="G55" s="51"/>
      <c r="H55" s="53"/>
    </row>
    <row r="56" spans="1:8" s="29" customFormat="1" ht="18" customHeight="1" x14ac:dyDescent="0.2">
      <c r="A56" s="54" t="s">
        <v>115</v>
      </c>
      <c r="B56" s="93" t="s">
        <v>116</v>
      </c>
      <c r="C56" s="93"/>
      <c r="D56" s="52"/>
      <c r="E56" s="52"/>
      <c r="F56" s="51"/>
      <c r="G56" s="51"/>
      <c r="H56" s="53"/>
    </row>
    <row r="57" spans="1:8" s="29" customFormat="1" ht="18" customHeight="1" thickBot="1" x14ac:dyDescent="0.25">
      <c r="A57" s="55"/>
      <c r="B57" s="56"/>
      <c r="C57" s="57"/>
      <c r="D57" s="58"/>
      <c r="E57" s="58"/>
      <c r="F57" s="57"/>
      <c r="G57" s="57"/>
      <c r="H57" s="59"/>
    </row>
  </sheetData>
  <mergeCells count="12">
    <mergeCell ref="B56:C56"/>
    <mergeCell ref="A7:B7"/>
    <mergeCell ref="D7:H7"/>
    <mergeCell ref="B8:B14"/>
    <mergeCell ref="H8:H14"/>
    <mergeCell ref="A17:B17"/>
    <mergeCell ref="D17:H17"/>
    <mergeCell ref="H18:H47"/>
    <mergeCell ref="B19:B29"/>
    <mergeCell ref="B31:B47"/>
    <mergeCell ref="A54:B54"/>
    <mergeCell ref="A55:B55"/>
  </mergeCells>
  <printOptions horizontalCentered="1"/>
  <pageMargins left="0" right="0" top="0" bottom="0.17" header="0" footer="0"/>
  <pageSetup paperSize="9" scale="67" fitToHeight="0" orientation="portrait" r:id="rId1"/>
  <headerFooter scaleWithDoc="0"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F00"/>
    <pageSetUpPr fitToPage="1"/>
  </sheetPr>
  <dimension ref="A1:H57"/>
  <sheetViews>
    <sheetView showGridLines="0" zoomScaleNormal="100" zoomScaleSheetLayoutView="100" workbookViewId="0">
      <selection activeCell="G5" sqref="G5"/>
    </sheetView>
  </sheetViews>
  <sheetFormatPr baseColWidth="10" defaultColWidth="9.1640625" defaultRowHeight="15" x14ac:dyDescent="0.2"/>
  <cols>
    <col min="1" max="1" width="7" style="1" customWidth="1"/>
    <col min="2" max="2" width="12.1640625" style="34" customWidth="1"/>
    <col min="3" max="3" width="62.6640625" style="1" customWidth="1"/>
    <col min="4" max="4" width="11.6640625" style="5" customWidth="1"/>
    <col min="5" max="5" width="8.5" style="5" customWidth="1"/>
    <col min="6" max="6" width="15.33203125" style="1" customWidth="1"/>
    <col min="7" max="7" width="14.83203125" style="1" customWidth="1"/>
    <col min="8" max="8" width="16.1640625" style="1" customWidth="1"/>
    <col min="9" max="16384" width="9.1640625" style="1"/>
  </cols>
  <sheetData>
    <row r="1" spans="1:8" ht="18" customHeight="1" x14ac:dyDescent="0.2">
      <c r="A1" s="35"/>
      <c r="B1" s="36"/>
      <c r="C1" s="61"/>
      <c r="D1" s="37"/>
      <c r="E1" s="47"/>
      <c r="F1" s="62" t="s">
        <v>25</v>
      </c>
      <c r="G1" s="48"/>
      <c r="H1" s="38"/>
    </row>
    <row r="2" spans="1:8" ht="18" customHeight="1" x14ac:dyDescent="0.2">
      <c r="A2" s="68" t="s">
        <v>27</v>
      </c>
      <c r="B2" s="69"/>
      <c r="C2" s="74"/>
      <c r="D2" s="42"/>
      <c r="E2" s="44"/>
      <c r="F2" s="49" t="s">
        <v>16</v>
      </c>
      <c r="G2" s="50"/>
      <c r="H2" s="43"/>
    </row>
    <row r="3" spans="1:8" ht="18" customHeight="1" x14ac:dyDescent="0.2">
      <c r="A3" s="39"/>
      <c r="B3" s="40"/>
      <c r="C3" s="41"/>
      <c r="D3" s="42"/>
      <c r="E3" s="44"/>
      <c r="F3" s="49" t="s">
        <v>22</v>
      </c>
      <c r="G3" s="50"/>
      <c r="H3" s="43"/>
    </row>
    <row r="4" spans="1:8" ht="18" customHeight="1" x14ac:dyDescent="0.2">
      <c r="A4" s="63" t="s">
        <v>26</v>
      </c>
      <c r="B4" s="49"/>
      <c r="C4" s="75" t="s">
        <v>31</v>
      </c>
      <c r="D4" s="42"/>
      <c r="E4" s="44"/>
      <c r="F4" s="49" t="s">
        <v>23</v>
      </c>
      <c r="G4" s="50"/>
      <c r="H4" s="43"/>
    </row>
    <row r="5" spans="1:8" ht="18" customHeight="1" x14ac:dyDescent="0.2">
      <c r="A5" s="66"/>
      <c r="D5" s="45"/>
      <c r="E5" s="44"/>
      <c r="F5" s="49" t="s">
        <v>56</v>
      </c>
      <c r="G5" s="81"/>
      <c r="H5" s="46"/>
    </row>
    <row r="6" spans="1:8" ht="21" customHeight="1" x14ac:dyDescent="0.2">
      <c r="A6" s="73" t="s">
        <v>0</v>
      </c>
      <c r="B6" s="76" t="s">
        <v>1</v>
      </c>
      <c r="C6" s="76" t="s">
        <v>2</v>
      </c>
      <c r="D6" s="76" t="s">
        <v>3</v>
      </c>
      <c r="E6" s="76" t="s">
        <v>4</v>
      </c>
      <c r="F6" s="70" t="s">
        <v>28</v>
      </c>
      <c r="G6" s="70" t="s">
        <v>29</v>
      </c>
      <c r="H6" s="71" t="s">
        <v>32</v>
      </c>
    </row>
    <row r="7" spans="1:8" s="29" customFormat="1" ht="18" customHeight="1" x14ac:dyDescent="0.2">
      <c r="A7" s="94"/>
      <c r="B7" s="95"/>
      <c r="C7" s="25" t="s">
        <v>5</v>
      </c>
      <c r="D7" s="95"/>
      <c r="E7" s="95"/>
      <c r="F7" s="95"/>
      <c r="G7" s="95"/>
      <c r="H7" s="96"/>
    </row>
    <row r="8" spans="1:8" s="29" customFormat="1" ht="18" customHeight="1" x14ac:dyDescent="0.2">
      <c r="A8" s="30">
        <v>1</v>
      </c>
      <c r="B8" s="97"/>
      <c r="C8" s="2" t="s">
        <v>6</v>
      </c>
      <c r="D8" s="6">
        <v>1</v>
      </c>
      <c r="E8" s="6" t="s">
        <v>14</v>
      </c>
      <c r="F8" s="23">
        <f t="shared" ref="F8:F14" si="0">IF(D8=0,"",0)</f>
        <v>0</v>
      </c>
      <c r="G8" s="23">
        <f>IF(F8="","",D8*F8)</f>
        <v>0</v>
      </c>
      <c r="H8" s="98"/>
    </row>
    <row r="9" spans="1:8" s="29" customFormat="1" ht="18" customHeight="1" x14ac:dyDescent="0.2">
      <c r="A9" s="60">
        <f>IF(D9=0,"",1+MAX(A$8:A8))</f>
        <v>2</v>
      </c>
      <c r="B9" s="97"/>
      <c r="C9" s="27" t="s">
        <v>13</v>
      </c>
      <c r="D9" s="28">
        <v>1</v>
      </c>
      <c r="E9" s="28" t="s">
        <v>14</v>
      </c>
      <c r="F9" s="26">
        <f t="shared" si="0"/>
        <v>0</v>
      </c>
      <c r="G9" s="23">
        <f t="shared" ref="G9:G15" si="1">IF(F9="","",D9*F9)</f>
        <v>0</v>
      </c>
      <c r="H9" s="98"/>
    </row>
    <row r="10" spans="1:8" s="29" customFormat="1" ht="18" customHeight="1" x14ac:dyDescent="0.2">
      <c r="A10" s="60">
        <f>IF(D10=0,"",1+MAX(A$8:A9))</f>
        <v>3</v>
      </c>
      <c r="B10" s="97"/>
      <c r="C10" s="27" t="s">
        <v>21</v>
      </c>
      <c r="D10" s="28">
        <v>1</v>
      </c>
      <c r="E10" s="28" t="s">
        <v>14</v>
      </c>
      <c r="F10" s="26">
        <f t="shared" si="0"/>
        <v>0</v>
      </c>
      <c r="G10" s="23">
        <f t="shared" si="1"/>
        <v>0</v>
      </c>
      <c r="H10" s="98"/>
    </row>
    <row r="11" spans="1:8" s="29" customFormat="1" ht="18" customHeight="1" x14ac:dyDescent="0.2">
      <c r="A11" s="60">
        <f>IF(D11=0,"",1+MAX(A$8:A10))</f>
        <v>4</v>
      </c>
      <c r="B11" s="97"/>
      <c r="C11" s="27" t="s">
        <v>7</v>
      </c>
      <c r="D11" s="28">
        <v>1</v>
      </c>
      <c r="E11" s="28" t="s">
        <v>14</v>
      </c>
      <c r="F11" s="26">
        <f t="shared" si="0"/>
        <v>0</v>
      </c>
      <c r="G11" s="23">
        <f t="shared" si="1"/>
        <v>0</v>
      </c>
      <c r="H11" s="98"/>
    </row>
    <row r="12" spans="1:8" s="29" customFormat="1" ht="18" customHeight="1" x14ac:dyDescent="0.2">
      <c r="A12" s="60">
        <f>IF(D12=0,"",1+MAX(A$8:A11))</f>
        <v>5</v>
      </c>
      <c r="B12" s="97"/>
      <c r="C12" s="27" t="s">
        <v>8</v>
      </c>
      <c r="D12" s="28">
        <v>1</v>
      </c>
      <c r="E12" s="28" t="s">
        <v>14</v>
      </c>
      <c r="F12" s="26">
        <f t="shared" si="0"/>
        <v>0</v>
      </c>
      <c r="G12" s="23">
        <f t="shared" si="1"/>
        <v>0</v>
      </c>
      <c r="H12" s="98"/>
    </row>
    <row r="13" spans="1:8" s="29" customFormat="1" ht="18" customHeight="1" x14ac:dyDescent="0.2">
      <c r="A13" s="60">
        <f>IF(D13=0,"",1+MAX(A$8:A12))</f>
        <v>6</v>
      </c>
      <c r="B13" s="97"/>
      <c r="C13" s="27" t="s">
        <v>9</v>
      </c>
      <c r="D13" s="28">
        <v>1</v>
      </c>
      <c r="E13" s="28" t="s">
        <v>14</v>
      </c>
      <c r="F13" s="26">
        <f t="shared" si="0"/>
        <v>0</v>
      </c>
      <c r="G13" s="23">
        <f t="shared" si="1"/>
        <v>0</v>
      </c>
      <c r="H13" s="98"/>
    </row>
    <row r="14" spans="1:8" s="29" customFormat="1" ht="18" customHeight="1" x14ac:dyDescent="0.2">
      <c r="A14" s="60">
        <f>IF(D14=0,"",1+MAX(A$8:A13))</f>
        <v>7</v>
      </c>
      <c r="B14" s="97"/>
      <c r="C14" s="24" t="s">
        <v>24</v>
      </c>
      <c r="D14" s="28">
        <v>1</v>
      </c>
      <c r="E14" s="6" t="s">
        <v>14</v>
      </c>
      <c r="F14" s="26">
        <f t="shared" si="0"/>
        <v>0</v>
      </c>
      <c r="G14" s="23">
        <f t="shared" si="1"/>
        <v>0</v>
      </c>
      <c r="H14" s="98"/>
    </row>
    <row r="15" spans="1:8" s="29" customFormat="1" ht="18" customHeight="1" x14ac:dyDescent="0.2">
      <c r="A15" s="60" t="str">
        <f>IF(D15=0,"",1+MAX(A5:A14))</f>
        <v/>
      </c>
      <c r="B15" s="64"/>
      <c r="C15" s="9" t="s">
        <v>17</v>
      </c>
      <c r="D15" s="8"/>
      <c r="E15" s="4"/>
      <c r="F15" s="3"/>
      <c r="G15" s="23" t="str">
        <f t="shared" si="1"/>
        <v/>
      </c>
      <c r="H15" s="65">
        <f>(SUM(G8:G15))</f>
        <v>0</v>
      </c>
    </row>
    <row r="16" spans="1:8" s="29" customFormat="1" ht="18" customHeight="1" x14ac:dyDescent="0.2">
      <c r="A16" s="31"/>
      <c r="B16" s="33"/>
      <c r="C16" s="7"/>
      <c r="D16" s="21"/>
      <c r="E16" s="21"/>
      <c r="F16" s="22"/>
      <c r="G16" s="22"/>
      <c r="H16" s="32"/>
    </row>
    <row r="17" spans="1:8" s="29" customFormat="1" ht="18" customHeight="1" x14ac:dyDescent="0.2">
      <c r="A17" s="94"/>
      <c r="B17" s="95"/>
      <c r="C17" s="25" t="s">
        <v>19</v>
      </c>
      <c r="D17" s="95"/>
      <c r="E17" s="95"/>
      <c r="F17" s="95"/>
      <c r="G17" s="95"/>
      <c r="H17" s="96"/>
    </row>
    <row r="18" spans="1:8" s="29" customFormat="1" ht="18" customHeight="1" x14ac:dyDescent="0.2">
      <c r="A18" s="67" t="str">
        <f>IF(D18=0,"",1+MAX(A$7:A17))</f>
        <v/>
      </c>
      <c r="B18" s="84" t="s">
        <v>33</v>
      </c>
      <c r="C18" s="84" t="s">
        <v>34</v>
      </c>
      <c r="D18" s="6"/>
      <c r="E18" s="6"/>
      <c r="F18" s="23" t="str">
        <f t="shared" ref="F18:F48" si="2">IF(D18=0,"",0)</f>
        <v/>
      </c>
      <c r="G18" s="23" t="str">
        <f t="shared" ref="G18:G48" si="3">IF(F18="","",D18*F18)</f>
        <v/>
      </c>
      <c r="H18" s="98"/>
    </row>
    <row r="19" spans="1:8" s="29" customFormat="1" ht="18" customHeight="1" x14ac:dyDescent="0.2">
      <c r="A19" s="67">
        <f>IF(D19=0,"",1+MAX(A$7:A18))</f>
        <v>8</v>
      </c>
      <c r="B19" s="99"/>
      <c r="C19" s="27" t="s">
        <v>57</v>
      </c>
      <c r="D19" s="86">
        <f>8*10.66</f>
        <v>85.28</v>
      </c>
      <c r="E19" s="28" t="s">
        <v>35</v>
      </c>
      <c r="F19" s="23">
        <v>6</v>
      </c>
      <c r="G19" s="23">
        <f t="shared" si="3"/>
        <v>511.68</v>
      </c>
      <c r="H19" s="98"/>
    </row>
    <row r="20" spans="1:8" s="29" customFormat="1" ht="18" customHeight="1" x14ac:dyDescent="0.2">
      <c r="A20" s="67">
        <f>IF(D20=0,"",1+MAX(A$7:A19))</f>
        <v>9</v>
      </c>
      <c r="B20" s="100"/>
      <c r="C20" s="27" t="s">
        <v>36</v>
      </c>
      <c r="D20" s="86">
        <v>39.92</v>
      </c>
      <c r="E20" s="28" t="s">
        <v>35</v>
      </c>
      <c r="F20" s="23">
        <v>7</v>
      </c>
      <c r="G20" s="23">
        <f t="shared" si="3"/>
        <v>279.44</v>
      </c>
      <c r="H20" s="98"/>
    </row>
    <row r="21" spans="1:8" s="29" customFormat="1" ht="18" customHeight="1" x14ac:dyDescent="0.2">
      <c r="A21" s="67">
        <f>IF(D21=0,"",1+MAX(A$7:A20))</f>
        <v>10</v>
      </c>
      <c r="B21" s="100"/>
      <c r="C21" s="27" t="s">
        <v>37</v>
      </c>
      <c r="D21" s="86">
        <v>39.92</v>
      </c>
      <c r="E21" s="28" t="s">
        <v>35</v>
      </c>
      <c r="F21" s="23">
        <v>3</v>
      </c>
      <c r="G21" s="23">
        <f t="shared" si="3"/>
        <v>119.76</v>
      </c>
      <c r="H21" s="98"/>
    </row>
    <row r="22" spans="1:8" s="29" customFormat="1" ht="18" customHeight="1" x14ac:dyDescent="0.2">
      <c r="A22" s="67">
        <f>IF(D22=0,"",1+MAX(A$7:A21))</f>
        <v>11</v>
      </c>
      <c r="B22" s="100"/>
      <c r="C22" s="27" t="s">
        <v>53</v>
      </c>
      <c r="D22" s="86">
        <v>105</v>
      </c>
      <c r="E22" s="28" t="s">
        <v>35</v>
      </c>
      <c r="F22" s="23">
        <v>2</v>
      </c>
      <c r="G22" s="23">
        <f t="shared" si="3"/>
        <v>210</v>
      </c>
      <c r="H22" s="98"/>
    </row>
    <row r="23" spans="1:8" s="29" customFormat="1" ht="18" customHeight="1" x14ac:dyDescent="0.2">
      <c r="A23" s="67">
        <f>IF(D23=0,"",1+MAX(A$7:A22))</f>
        <v>12</v>
      </c>
      <c r="B23" s="100"/>
      <c r="C23" s="27" t="s">
        <v>38</v>
      </c>
      <c r="D23" s="86">
        <v>105</v>
      </c>
      <c r="E23" s="28" t="s">
        <v>35</v>
      </c>
      <c r="F23" s="23">
        <v>5</v>
      </c>
      <c r="G23" s="23">
        <f t="shared" si="3"/>
        <v>525</v>
      </c>
      <c r="H23" s="98"/>
    </row>
    <row r="24" spans="1:8" s="29" customFormat="1" ht="18" customHeight="1" x14ac:dyDescent="0.2">
      <c r="A24" s="67">
        <f>IF(D24=0,"",1+MAX(A$7:A23))</f>
        <v>13</v>
      </c>
      <c r="B24" s="100"/>
      <c r="C24" s="27" t="s">
        <v>61</v>
      </c>
      <c r="D24" s="86">
        <f>36.91*2</f>
        <v>73.819999999999993</v>
      </c>
      <c r="E24" s="28" t="s">
        <v>35</v>
      </c>
      <c r="F24" s="23">
        <v>8</v>
      </c>
      <c r="G24" s="23">
        <f t="shared" si="3"/>
        <v>590.55999999999995</v>
      </c>
      <c r="H24" s="98"/>
    </row>
    <row r="25" spans="1:8" s="29" customFormat="1" ht="18" customHeight="1" x14ac:dyDescent="0.2">
      <c r="A25" s="67">
        <f>IF(D25=0,"",1+MAX(A$7:A24))</f>
        <v>14</v>
      </c>
      <c r="B25" s="100"/>
      <c r="C25" s="27" t="s">
        <v>60</v>
      </c>
      <c r="D25" s="86">
        <v>52</v>
      </c>
      <c r="E25" s="28" t="s">
        <v>35</v>
      </c>
      <c r="F25" s="23">
        <v>9</v>
      </c>
      <c r="G25" s="23">
        <f t="shared" si="3"/>
        <v>468</v>
      </c>
      <c r="H25" s="98"/>
    </row>
    <row r="26" spans="1:8" s="29" customFormat="1" ht="18" customHeight="1" x14ac:dyDescent="0.2">
      <c r="A26" s="67">
        <f>IF(D26=0,"",1+MAX(A$7:A25))</f>
        <v>15</v>
      </c>
      <c r="B26" s="100"/>
      <c r="C26" s="27" t="s">
        <v>39</v>
      </c>
      <c r="D26" s="86">
        <v>645.46</v>
      </c>
      <c r="E26" s="28" t="s">
        <v>40</v>
      </c>
      <c r="F26" s="23">
        <v>3</v>
      </c>
      <c r="G26" s="23">
        <f t="shared" si="3"/>
        <v>1936.38</v>
      </c>
      <c r="H26" s="98"/>
    </row>
    <row r="27" spans="1:8" s="29" customFormat="1" ht="18" customHeight="1" x14ac:dyDescent="0.2">
      <c r="A27" s="67">
        <f>IF(D27=0,"",1+MAX(A$7:A26))</f>
        <v>16</v>
      </c>
      <c r="B27" s="100"/>
      <c r="C27" s="27" t="s">
        <v>41</v>
      </c>
      <c r="D27" s="86">
        <v>645.46</v>
      </c>
      <c r="E27" s="28" t="s">
        <v>40</v>
      </c>
      <c r="F27" s="23">
        <v>6</v>
      </c>
      <c r="G27" s="23">
        <f t="shared" si="3"/>
        <v>3872.76</v>
      </c>
      <c r="H27" s="98"/>
    </row>
    <row r="28" spans="1:8" s="29" customFormat="1" ht="18" customHeight="1" x14ac:dyDescent="0.2">
      <c r="A28" s="67">
        <f>IF(D28=0,"",1+MAX(A$7:A27))</f>
        <v>17</v>
      </c>
      <c r="B28" s="100"/>
      <c r="C28" s="27" t="s">
        <v>42</v>
      </c>
      <c r="D28" s="86">
        <v>645.46</v>
      </c>
      <c r="E28" s="28" t="s">
        <v>40</v>
      </c>
      <c r="F28" s="90">
        <v>1.1000000000000001</v>
      </c>
      <c r="G28" s="23">
        <f t="shared" si="3"/>
        <v>710.00600000000009</v>
      </c>
      <c r="H28" s="98"/>
    </row>
    <row r="29" spans="1:8" s="29" customFormat="1" ht="18" customHeight="1" x14ac:dyDescent="0.2">
      <c r="A29" s="67">
        <f>IF(D29=0,"",1+MAX(A$7:A28))</f>
        <v>18</v>
      </c>
      <c r="B29" s="101"/>
      <c r="C29" s="27" t="s">
        <v>43</v>
      </c>
      <c r="D29" s="86">
        <v>645.46</v>
      </c>
      <c r="E29" s="28" t="s">
        <v>40</v>
      </c>
      <c r="F29" s="90">
        <v>1.5</v>
      </c>
      <c r="G29" s="23">
        <f t="shared" si="3"/>
        <v>968.19</v>
      </c>
      <c r="H29" s="98"/>
    </row>
    <row r="30" spans="1:8" s="29" customFormat="1" ht="18" customHeight="1" x14ac:dyDescent="0.2">
      <c r="A30" s="67" t="str">
        <f>IF(D30=0,"",1+MAX(A$7:A29))</f>
        <v/>
      </c>
      <c r="B30" s="83" t="s">
        <v>44</v>
      </c>
      <c r="C30" s="83" t="s">
        <v>45</v>
      </c>
      <c r="D30" s="86"/>
      <c r="E30" s="28"/>
      <c r="F30" s="23" t="str">
        <f t="shared" ref="F30" si="4">IF(D30=0,"",0)</f>
        <v/>
      </c>
      <c r="G30" s="23" t="str">
        <f t="shared" si="3"/>
        <v/>
      </c>
      <c r="H30" s="98"/>
    </row>
    <row r="31" spans="1:8" s="29" customFormat="1" ht="18" customHeight="1" x14ac:dyDescent="0.2">
      <c r="A31" s="67">
        <f>IF(D31=0,"",1+MAX(A$7:A30))</f>
        <v>19</v>
      </c>
      <c r="B31" s="99"/>
      <c r="C31" s="27" t="s">
        <v>54</v>
      </c>
      <c r="D31" s="86">
        <f>22*30.33</f>
        <v>667.26</v>
      </c>
      <c r="E31" s="28" t="s">
        <v>35</v>
      </c>
      <c r="F31" s="23">
        <v>6</v>
      </c>
      <c r="G31" s="23">
        <f t="shared" si="3"/>
        <v>4003.56</v>
      </c>
      <c r="H31" s="98"/>
    </row>
    <row r="32" spans="1:8" s="29" customFormat="1" ht="18" customHeight="1" x14ac:dyDescent="0.2">
      <c r="A32" s="67">
        <f>IF(D32=0,"",1+MAX(A$7:A31))</f>
        <v>20</v>
      </c>
      <c r="B32" s="100"/>
      <c r="C32" s="27" t="s">
        <v>55</v>
      </c>
      <c r="D32" s="86">
        <v>16</v>
      </c>
      <c r="E32" s="28" t="s">
        <v>46</v>
      </c>
      <c r="F32" s="23">
        <v>300</v>
      </c>
      <c r="G32" s="23">
        <f t="shared" si="3"/>
        <v>4800</v>
      </c>
      <c r="H32" s="98"/>
    </row>
    <row r="33" spans="1:8" s="29" customFormat="1" ht="18" customHeight="1" x14ac:dyDescent="0.2">
      <c r="A33" s="67">
        <f>IF(D33=0,"",1+MAX(A$7:A32))</f>
        <v>21</v>
      </c>
      <c r="B33" s="100"/>
      <c r="C33" s="27" t="s">
        <v>47</v>
      </c>
      <c r="D33" s="86">
        <v>63.56</v>
      </c>
      <c r="E33" s="28" t="s">
        <v>35</v>
      </c>
      <c r="F33" s="23">
        <v>5</v>
      </c>
      <c r="G33" s="23">
        <f t="shared" si="3"/>
        <v>317.8</v>
      </c>
      <c r="H33" s="98"/>
    </row>
    <row r="34" spans="1:8" s="29" customFormat="1" ht="18" customHeight="1" x14ac:dyDescent="0.2">
      <c r="A34" s="67">
        <f>IF(D34=0,"",1+MAX(A$7:A33))</f>
        <v>22</v>
      </c>
      <c r="B34" s="100"/>
      <c r="C34" s="27" t="s">
        <v>36</v>
      </c>
      <c r="D34" s="86">
        <v>297.02</v>
      </c>
      <c r="E34" s="28" t="s">
        <v>35</v>
      </c>
      <c r="F34" s="23">
        <v>7</v>
      </c>
      <c r="G34" s="23">
        <f t="shared" si="3"/>
        <v>2079.14</v>
      </c>
      <c r="H34" s="98"/>
    </row>
    <row r="35" spans="1:8" s="29" customFormat="1" ht="18" customHeight="1" x14ac:dyDescent="0.2">
      <c r="A35" s="67">
        <f>IF(D35=0,"",1+MAX(A$7:A34))</f>
        <v>23</v>
      </c>
      <c r="B35" s="100"/>
      <c r="C35" s="27" t="s">
        <v>37</v>
      </c>
      <c r="D35" s="86">
        <v>297.02</v>
      </c>
      <c r="E35" s="28" t="s">
        <v>35</v>
      </c>
      <c r="F35" s="23">
        <v>3</v>
      </c>
      <c r="G35" s="23">
        <f t="shared" si="3"/>
        <v>891.06</v>
      </c>
      <c r="H35" s="98"/>
    </row>
    <row r="36" spans="1:8" s="29" customFormat="1" ht="18" customHeight="1" x14ac:dyDescent="0.2">
      <c r="A36" s="67">
        <f>IF(D36=0,"",1+MAX(A$7:A35))</f>
        <v>24</v>
      </c>
      <c r="B36" s="100"/>
      <c r="C36" s="27" t="s">
        <v>48</v>
      </c>
      <c r="D36" s="86">
        <f>297.02+157</f>
        <v>454.02</v>
      </c>
      <c r="E36" s="28" t="s">
        <v>35</v>
      </c>
      <c r="F36" s="23">
        <v>5</v>
      </c>
      <c r="G36" s="23">
        <f t="shared" si="3"/>
        <v>2270.1</v>
      </c>
      <c r="H36" s="98"/>
    </row>
    <row r="37" spans="1:8" s="29" customFormat="1" ht="18" customHeight="1" x14ac:dyDescent="0.2">
      <c r="A37" s="67">
        <f>IF(D37=0,"",1+MAX(A$7:A36))</f>
        <v>25</v>
      </c>
      <c r="B37" s="100"/>
      <c r="C37" s="27" t="s">
        <v>49</v>
      </c>
      <c r="D37" s="86">
        <v>297.02</v>
      </c>
      <c r="E37" s="28" t="s">
        <v>35</v>
      </c>
      <c r="F37" s="23">
        <v>4</v>
      </c>
      <c r="G37" s="23">
        <f t="shared" si="3"/>
        <v>1188.08</v>
      </c>
      <c r="H37" s="98"/>
    </row>
    <row r="38" spans="1:8" s="29" customFormat="1" ht="18" customHeight="1" x14ac:dyDescent="0.2">
      <c r="A38" s="67">
        <f>IF(D38=0,"",1+MAX(A$7:A37))</f>
        <v>26</v>
      </c>
      <c r="B38" s="100"/>
      <c r="C38" s="27" t="s">
        <v>53</v>
      </c>
      <c r="D38" s="86">
        <v>557</v>
      </c>
      <c r="E38" s="28" t="s">
        <v>35</v>
      </c>
      <c r="F38" s="23">
        <v>2</v>
      </c>
      <c r="G38" s="23">
        <f t="shared" si="3"/>
        <v>1114</v>
      </c>
      <c r="H38" s="98"/>
    </row>
    <row r="39" spans="1:8" s="29" customFormat="1" ht="18" customHeight="1" x14ac:dyDescent="0.2">
      <c r="A39" s="67">
        <f>IF(D39=0,"",1+MAX(A$7:A38))</f>
        <v>27</v>
      </c>
      <c r="B39" s="100"/>
      <c r="C39" s="27" t="s">
        <v>38</v>
      </c>
      <c r="D39" s="86">
        <v>157.78</v>
      </c>
      <c r="E39" s="28" t="s">
        <v>35</v>
      </c>
      <c r="F39" s="23">
        <v>5</v>
      </c>
      <c r="G39" s="23">
        <f t="shared" si="3"/>
        <v>788.9</v>
      </c>
      <c r="H39" s="98"/>
    </row>
    <row r="40" spans="1:8" s="29" customFormat="1" ht="18" customHeight="1" x14ac:dyDescent="0.2">
      <c r="A40" s="67">
        <f>IF(D40=0,"",1+MAX(A$7:A39))</f>
        <v>28</v>
      </c>
      <c r="B40" s="100"/>
      <c r="C40" s="27" t="s">
        <v>50</v>
      </c>
      <c r="D40" s="86">
        <v>102.87</v>
      </c>
      <c r="E40" s="28" t="s">
        <v>35</v>
      </c>
      <c r="F40" s="23">
        <v>6</v>
      </c>
      <c r="G40" s="23">
        <f t="shared" si="3"/>
        <v>617.22</v>
      </c>
      <c r="H40" s="98"/>
    </row>
    <row r="41" spans="1:8" s="29" customFormat="1" ht="18" customHeight="1" x14ac:dyDescent="0.2">
      <c r="A41" s="67">
        <f>IF(D41=0,"",1+MAX(A$7:A40))</f>
        <v>29</v>
      </c>
      <c r="B41" s="100"/>
      <c r="C41" s="27" t="s">
        <v>60</v>
      </c>
      <c r="D41" s="86">
        <v>307</v>
      </c>
      <c r="E41" s="28" t="s">
        <v>35</v>
      </c>
      <c r="F41" s="23">
        <v>9</v>
      </c>
      <c r="G41" s="23">
        <f t="shared" si="3"/>
        <v>2763</v>
      </c>
      <c r="H41" s="98"/>
    </row>
    <row r="42" spans="1:8" s="29" customFormat="1" ht="18" customHeight="1" x14ac:dyDescent="0.2">
      <c r="A42" s="67">
        <f>IF(D42=0,"",1+MAX(A$7:A41))</f>
        <v>30</v>
      </c>
      <c r="B42" s="100"/>
      <c r="C42" s="27" t="s">
        <v>51</v>
      </c>
      <c r="D42" s="86">
        <v>741.3</v>
      </c>
      <c r="E42" s="28" t="s">
        <v>40</v>
      </c>
      <c r="F42" s="23">
        <v>25</v>
      </c>
      <c r="G42" s="23">
        <f t="shared" si="3"/>
        <v>18532.5</v>
      </c>
      <c r="H42" s="98"/>
    </row>
    <row r="43" spans="1:8" s="29" customFormat="1" ht="18" customHeight="1" x14ac:dyDescent="0.2">
      <c r="A43" s="67">
        <f>IF(D43=0,"",1+MAX(A$7:A42))</f>
        <v>31</v>
      </c>
      <c r="B43" s="100"/>
      <c r="C43" s="27" t="s">
        <v>52</v>
      </c>
      <c r="D43" s="86">
        <v>508.3</v>
      </c>
      <c r="E43" s="28" t="s">
        <v>40</v>
      </c>
      <c r="F43" s="23">
        <v>20</v>
      </c>
      <c r="G43" s="23">
        <f t="shared" si="3"/>
        <v>10166</v>
      </c>
      <c r="H43" s="98"/>
    </row>
    <row r="44" spans="1:8" s="29" customFormat="1" ht="18" customHeight="1" x14ac:dyDescent="0.2">
      <c r="A44" s="67">
        <f>IF(D44=0,"",1+MAX(A$7:A43))</f>
        <v>32</v>
      </c>
      <c r="B44" s="100"/>
      <c r="C44" s="27" t="s">
        <v>39</v>
      </c>
      <c r="D44" s="86">
        <v>9944</v>
      </c>
      <c r="E44" s="28" t="s">
        <v>40</v>
      </c>
      <c r="F44" s="23">
        <v>3</v>
      </c>
      <c r="G44" s="23">
        <f t="shared" si="3"/>
        <v>29832</v>
      </c>
      <c r="H44" s="98"/>
    </row>
    <row r="45" spans="1:8" s="29" customFormat="1" ht="18" customHeight="1" x14ac:dyDescent="0.2">
      <c r="A45" s="67">
        <f>IF(D45=0,"",1+MAX(A$7:A44))</f>
        <v>33</v>
      </c>
      <c r="B45" s="100"/>
      <c r="C45" s="27" t="s">
        <v>41</v>
      </c>
      <c r="D45" s="86">
        <v>9944</v>
      </c>
      <c r="E45" s="28" t="s">
        <v>40</v>
      </c>
      <c r="F45" s="23">
        <v>6</v>
      </c>
      <c r="G45" s="23">
        <f t="shared" si="3"/>
        <v>59664</v>
      </c>
      <c r="H45" s="98"/>
    </row>
    <row r="46" spans="1:8" s="29" customFormat="1" ht="18" customHeight="1" x14ac:dyDescent="0.2">
      <c r="A46" s="67">
        <f>IF(D46=0,"",1+MAX(A$7:A45))</f>
        <v>34</v>
      </c>
      <c r="B46" s="100"/>
      <c r="C46" s="27" t="s">
        <v>42</v>
      </c>
      <c r="D46" s="86">
        <v>9944</v>
      </c>
      <c r="E46" s="28" t="s">
        <v>40</v>
      </c>
      <c r="F46" s="90">
        <v>1.1000000000000001</v>
      </c>
      <c r="G46" s="23">
        <f t="shared" si="3"/>
        <v>10938.400000000001</v>
      </c>
      <c r="H46" s="98"/>
    </row>
    <row r="47" spans="1:8" s="29" customFormat="1" ht="18" customHeight="1" x14ac:dyDescent="0.2">
      <c r="A47" s="67">
        <f>IF(D47=0,"",1+MAX(A$7:A46))</f>
        <v>35</v>
      </c>
      <c r="B47" s="101"/>
      <c r="C47" s="24" t="s">
        <v>43</v>
      </c>
      <c r="D47" s="86">
        <v>9944</v>
      </c>
      <c r="E47" s="28" t="s">
        <v>40</v>
      </c>
      <c r="F47" s="90">
        <v>1.5</v>
      </c>
      <c r="G47" s="23">
        <f t="shared" si="3"/>
        <v>14916</v>
      </c>
      <c r="H47" s="98"/>
    </row>
    <row r="48" spans="1:8" s="29" customFormat="1" ht="18" customHeight="1" x14ac:dyDescent="0.2">
      <c r="A48" s="67" t="str">
        <f>IF(D48=0,"",1+MAX(A$7:A47))</f>
        <v/>
      </c>
      <c r="B48" s="64"/>
      <c r="C48" s="9" t="s">
        <v>20</v>
      </c>
      <c r="D48" s="8"/>
      <c r="E48" s="4"/>
      <c r="F48" s="23" t="str">
        <f t="shared" si="2"/>
        <v/>
      </c>
      <c r="G48" s="23" t="str">
        <f t="shared" si="3"/>
        <v/>
      </c>
      <c r="H48" s="65">
        <f>(SUM(G18:G48))</f>
        <v>175073.53599999999</v>
      </c>
    </row>
    <row r="49" spans="1:8" s="29" customFormat="1" ht="18" customHeight="1" thickBot="1" x14ac:dyDescent="0.25">
      <c r="A49" s="31"/>
      <c r="B49" s="33"/>
      <c r="C49" s="7"/>
      <c r="D49" s="21"/>
      <c r="E49" s="21"/>
      <c r="F49" s="22"/>
      <c r="G49" s="22"/>
      <c r="H49" s="32"/>
    </row>
    <row r="50" spans="1:8" s="29" customFormat="1" ht="18" customHeight="1" x14ac:dyDescent="0.2">
      <c r="A50" s="79"/>
      <c r="B50" s="80" t="s">
        <v>18</v>
      </c>
      <c r="C50" s="17"/>
      <c r="D50" s="18"/>
      <c r="E50" s="18"/>
      <c r="F50" s="17"/>
      <c r="G50" s="17"/>
      <c r="H50" s="87">
        <f>SUM(H8:H49)</f>
        <v>175073.53599999999</v>
      </c>
    </row>
    <row r="51" spans="1:8" s="29" customFormat="1" ht="18" customHeight="1" x14ac:dyDescent="0.2">
      <c r="A51" s="77"/>
      <c r="B51" s="78" t="s">
        <v>30</v>
      </c>
      <c r="C51" s="11"/>
      <c r="D51" s="72">
        <v>0.2</v>
      </c>
      <c r="E51" s="14"/>
      <c r="F51" s="10"/>
      <c r="G51" s="10"/>
      <c r="H51" s="88">
        <f>(H50*D51)</f>
        <v>35014.707199999997</v>
      </c>
    </row>
    <row r="52" spans="1:8" s="29" customFormat="1" ht="18" customHeight="1" x14ac:dyDescent="0.2">
      <c r="A52" s="77"/>
      <c r="B52" s="78" t="s">
        <v>10</v>
      </c>
      <c r="C52" s="11"/>
      <c r="D52" s="72">
        <v>0.03</v>
      </c>
      <c r="E52" s="15"/>
      <c r="F52" s="12"/>
      <c r="G52" s="12"/>
      <c r="H52" s="88">
        <f>(H50*D52)</f>
        <v>5252.2060799999999</v>
      </c>
    </row>
    <row r="53" spans="1:8" s="29" customFormat="1" ht="18" customHeight="1" x14ac:dyDescent="0.2">
      <c r="A53" s="77"/>
      <c r="B53" s="78" t="s">
        <v>12</v>
      </c>
      <c r="C53" s="11"/>
      <c r="D53" s="72">
        <v>7.0000000000000007E-2</v>
      </c>
      <c r="E53" s="16"/>
      <c r="F53" s="13"/>
      <c r="G53" s="13"/>
      <c r="H53" s="88">
        <f>(H50*D53)</f>
        <v>12255.14752</v>
      </c>
    </row>
    <row r="54" spans="1:8" ht="24" customHeight="1" thickBot="1" x14ac:dyDescent="0.25">
      <c r="A54" s="102" t="s">
        <v>11</v>
      </c>
      <c r="B54" s="103"/>
      <c r="C54" s="19"/>
      <c r="D54" s="20"/>
      <c r="E54" s="20"/>
      <c r="F54" s="19"/>
      <c r="G54" s="19"/>
      <c r="H54" s="89">
        <f>SUM(H50:H53)</f>
        <v>227595.5968</v>
      </c>
    </row>
    <row r="55" spans="1:8" s="29" customFormat="1" ht="18" customHeight="1" thickBot="1" x14ac:dyDescent="0.25">
      <c r="A55" s="104" t="s">
        <v>15</v>
      </c>
      <c r="B55" s="105"/>
      <c r="C55" s="51"/>
      <c r="D55" s="52"/>
      <c r="E55" s="52"/>
      <c r="F55" s="51"/>
      <c r="G55" s="51"/>
      <c r="H55" s="53"/>
    </row>
    <row r="56" spans="1:8" s="29" customFormat="1" ht="18" customHeight="1" x14ac:dyDescent="0.2">
      <c r="A56" s="54" t="s">
        <v>115</v>
      </c>
      <c r="B56" s="93" t="s">
        <v>116</v>
      </c>
      <c r="C56" s="93"/>
      <c r="D56" s="52"/>
      <c r="E56" s="52"/>
      <c r="F56" s="51"/>
      <c r="G56" s="51"/>
      <c r="H56" s="53"/>
    </row>
    <row r="57" spans="1:8" s="29" customFormat="1" ht="18" customHeight="1" thickBot="1" x14ac:dyDescent="0.25">
      <c r="A57" s="55"/>
      <c r="B57" s="56"/>
      <c r="C57" s="57"/>
      <c r="D57" s="58"/>
      <c r="E57" s="58"/>
      <c r="F57" s="57"/>
      <c r="G57" s="57"/>
      <c r="H57" s="59"/>
    </row>
  </sheetData>
  <mergeCells count="12">
    <mergeCell ref="B56:C56"/>
    <mergeCell ref="A7:B7"/>
    <mergeCell ref="D7:H7"/>
    <mergeCell ref="B8:B14"/>
    <mergeCell ref="H8:H14"/>
    <mergeCell ref="A17:B17"/>
    <mergeCell ref="D17:H17"/>
    <mergeCell ref="H18:H47"/>
    <mergeCell ref="B19:B29"/>
    <mergeCell ref="B31:B47"/>
    <mergeCell ref="A54:B54"/>
    <mergeCell ref="A55:B55"/>
  </mergeCells>
  <printOptions horizontalCentered="1"/>
  <pageMargins left="0" right="0" top="0" bottom="0.17" header="0" footer="0"/>
  <pageSetup paperSize="9" scale="67" fitToHeight="0" orientation="portrait" r:id="rId1"/>
  <headerFooter scaleWithDoc="0"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F00"/>
    <pageSetUpPr fitToPage="1"/>
  </sheetPr>
  <dimension ref="A1:H57"/>
  <sheetViews>
    <sheetView showGridLines="0" zoomScaleNormal="100" zoomScaleSheetLayoutView="100" workbookViewId="0">
      <selection activeCell="G5" sqref="G5"/>
    </sheetView>
  </sheetViews>
  <sheetFormatPr baseColWidth="10" defaultColWidth="9.1640625" defaultRowHeight="15" x14ac:dyDescent="0.2"/>
  <cols>
    <col min="1" max="1" width="7" style="1" customWidth="1"/>
    <col min="2" max="2" width="12.1640625" style="34" customWidth="1"/>
    <col min="3" max="3" width="62.6640625" style="1" customWidth="1"/>
    <col min="4" max="4" width="11.6640625" style="5" customWidth="1"/>
    <col min="5" max="5" width="8.5" style="5" customWidth="1"/>
    <col min="6" max="6" width="15.33203125" style="1" customWidth="1"/>
    <col min="7" max="7" width="14.83203125" style="1" customWidth="1"/>
    <col min="8" max="8" width="16.1640625" style="1" customWidth="1"/>
    <col min="9" max="16384" width="9.1640625" style="1"/>
  </cols>
  <sheetData>
    <row r="1" spans="1:8" ht="18" customHeight="1" x14ac:dyDescent="0.2">
      <c r="A1" s="35"/>
      <c r="B1" s="36"/>
      <c r="C1" s="61"/>
      <c r="D1" s="37"/>
      <c r="E1" s="47"/>
      <c r="F1" s="62" t="s">
        <v>25</v>
      </c>
      <c r="G1" s="48"/>
      <c r="H1" s="38"/>
    </row>
    <row r="2" spans="1:8" ht="18" customHeight="1" x14ac:dyDescent="0.2">
      <c r="A2" s="68" t="s">
        <v>27</v>
      </c>
      <c r="B2" s="69"/>
      <c r="C2" s="74"/>
      <c r="D2" s="42"/>
      <c r="E2" s="44"/>
      <c r="F2" s="49" t="s">
        <v>16</v>
      </c>
      <c r="G2" s="50"/>
      <c r="H2" s="43"/>
    </row>
    <row r="3" spans="1:8" ht="18" customHeight="1" x14ac:dyDescent="0.2">
      <c r="A3" s="39"/>
      <c r="B3" s="40"/>
      <c r="C3" s="41"/>
      <c r="D3" s="42"/>
      <c r="E3" s="44"/>
      <c r="F3" s="49" t="s">
        <v>22</v>
      </c>
      <c r="G3" s="50"/>
      <c r="H3" s="43"/>
    </row>
    <row r="4" spans="1:8" ht="18" customHeight="1" x14ac:dyDescent="0.2">
      <c r="A4" s="63" t="s">
        <v>26</v>
      </c>
      <c r="B4" s="49"/>
      <c r="C4" s="75" t="s">
        <v>31</v>
      </c>
      <c r="D4" s="42"/>
      <c r="E4" s="44"/>
      <c r="F4" s="49" t="s">
        <v>23</v>
      </c>
      <c r="G4" s="50"/>
      <c r="H4" s="43"/>
    </row>
    <row r="5" spans="1:8" ht="18" customHeight="1" x14ac:dyDescent="0.2">
      <c r="A5" s="66"/>
      <c r="D5" s="45"/>
      <c r="E5" s="44"/>
      <c r="F5" s="49" t="s">
        <v>56</v>
      </c>
      <c r="G5" s="81"/>
      <c r="H5" s="46"/>
    </row>
    <row r="6" spans="1:8" ht="21" customHeight="1" x14ac:dyDescent="0.2">
      <c r="A6" s="73" t="s">
        <v>0</v>
      </c>
      <c r="B6" s="76" t="s">
        <v>1</v>
      </c>
      <c r="C6" s="76" t="s">
        <v>2</v>
      </c>
      <c r="D6" s="76" t="s">
        <v>3</v>
      </c>
      <c r="E6" s="76" t="s">
        <v>4</v>
      </c>
      <c r="F6" s="70" t="s">
        <v>28</v>
      </c>
      <c r="G6" s="70" t="s">
        <v>29</v>
      </c>
      <c r="H6" s="71" t="s">
        <v>32</v>
      </c>
    </row>
    <row r="7" spans="1:8" s="29" customFormat="1" ht="18" customHeight="1" x14ac:dyDescent="0.2">
      <c r="A7" s="94"/>
      <c r="B7" s="95"/>
      <c r="C7" s="25" t="s">
        <v>5</v>
      </c>
      <c r="D7" s="95"/>
      <c r="E7" s="95"/>
      <c r="F7" s="95"/>
      <c r="G7" s="95"/>
      <c r="H7" s="96"/>
    </row>
    <row r="8" spans="1:8" s="29" customFormat="1" ht="18" customHeight="1" x14ac:dyDescent="0.2">
      <c r="A8" s="30">
        <v>1</v>
      </c>
      <c r="B8" s="97"/>
      <c r="C8" s="2" t="s">
        <v>6</v>
      </c>
      <c r="D8" s="6">
        <v>1</v>
      </c>
      <c r="E8" s="6" t="s">
        <v>14</v>
      </c>
      <c r="F8" s="23">
        <f t="shared" ref="F8:F14" si="0">IF(D8=0,"",0)</f>
        <v>0</v>
      </c>
      <c r="G8" s="23">
        <f>IF(F8="","",D8*F8)</f>
        <v>0</v>
      </c>
      <c r="H8" s="98"/>
    </row>
    <row r="9" spans="1:8" s="29" customFormat="1" ht="18" customHeight="1" x14ac:dyDescent="0.2">
      <c r="A9" s="60">
        <f>IF(D9=0,"",1+MAX(A$8:A8))</f>
        <v>2</v>
      </c>
      <c r="B9" s="97"/>
      <c r="C9" s="27" t="s">
        <v>13</v>
      </c>
      <c r="D9" s="28">
        <v>1</v>
      </c>
      <c r="E9" s="28" t="s">
        <v>14</v>
      </c>
      <c r="F9" s="26">
        <f t="shared" si="0"/>
        <v>0</v>
      </c>
      <c r="G9" s="26">
        <f t="shared" ref="G9:G14" si="1">IF(F9="","",D9*F9)</f>
        <v>0</v>
      </c>
      <c r="H9" s="98"/>
    </row>
    <row r="10" spans="1:8" s="29" customFormat="1" ht="18" customHeight="1" x14ac:dyDescent="0.2">
      <c r="A10" s="60">
        <f>IF(D10=0,"",1+MAX(A$8:A9))</f>
        <v>3</v>
      </c>
      <c r="B10" s="97"/>
      <c r="C10" s="27" t="s">
        <v>21</v>
      </c>
      <c r="D10" s="28">
        <v>1</v>
      </c>
      <c r="E10" s="28" t="s">
        <v>14</v>
      </c>
      <c r="F10" s="26">
        <f t="shared" si="0"/>
        <v>0</v>
      </c>
      <c r="G10" s="26">
        <f t="shared" si="1"/>
        <v>0</v>
      </c>
      <c r="H10" s="98"/>
    </row>
    <row r="11" spans="1:8" s="29" customFormat="1" ht="18" customHeight="1" x14ac:dyDescent="0.2">
      <c r="A11" s="60">
        <f>IF(D11=0,"",1+MAX(A$8:A10))</f>
        <v>4</v>
      </c>
      <c r="B11" s="97"/>
      <c r="C11" s="27" t="s">
        <v>7</v>
      </c>
      <c r="D11" s="28">
        <v>1</v>
      </c>
      <c r="E11" s="28" t="s">
        <v>14</v>
      </c>
      <c r="F11" s="26">
        <f t="shared" si="0"/>
        <v>0</v>
      </c>
      <c r="G11" s="26">
        <f t="shared" si="1"/>
        <v>0</v>
      </c>
      <c r="H11" s="98"/>
    </row>
    <row r="12" spans="1:8" s="29" customFormat="1" ht="18" customHeight="1" x14ac:dyDescent="0.2">
      <c r="A12" s="60">
        <f>IF(D12=0,"",1+MAX(A$8:A11))</f>
        <v>5</v>
      </c>
      <c r="B12" s="97"/>
      <c r="C12" s="27" t="s">
        <v>8</v>
      </c>
      <c r="D12" s="28">
        <v>1</v>
      </c>
      <c r="E12" s="28" t="s">
        <v>14</v>
      </c>
      <c r="F12" s="26">
        <f t="shared" si="0"/>
        <v>0</v>
      </c>
      <c r="G12" s="26">
        <f t="shared" si="1"/>
        <v>0</v>
      </c>
      <c r="H12" s="98"/>
    </row>
    <row r="13" spans="1:8" s="29" customFormat="1" ht="18" customHeight="1" x14ac:dyDescent="0.2">
      <c r="A13" s="60">
        <f>IF(D13=0,"",1+MAX(A$8:A12))</f>
        <v>6</v>
      </c>
      <c r="B13" s="97"/>
      <c r="C13" s="27" t="s">
        <v>9</v>
      </c>
      <c r="D13" s="28">
        <v>1</v>
      </c>
      <c r="E13" s="28" t="s">
        <v>14</v>
      </c>
      <c r="F13" s="26">
        <f t="shared" si="0"/>
        <v>0</v>
      </c>
      <c r="G13" s="26">
        <f t="shared" si="1"/>
        <v>0</v>
      </c>
      <c r="H13" s="98"/>
    </row>
    <row r="14" spans="1:8" s="29" customFormat="1" ht="18" customHeight="1" x14ac:dyDescent="0.2">
      <c r="A14" s="60">
        <f>IF(D14=0,"",1+MAX(A$8:A13))</f>
        <v>7</v>
      </c>
      <c r="B14" s="97"/>
      <c r="C14" s="24" t="s">
        <v>24</v>
      </c>
      <c r="D14" s="28">
        <v>1</v>
      </c>
      <c r="E14" s="6" t="s">
        <v>14</v>
      </c>
      <c r="F14" s="26">
        <f t="shared" si="0"/>
        <v>0</v>
      </c>
      <c r="G14" s="26">
        <f t="shared" si="1"/>
        <v>0</v>
      </c>
      <c r="H14" s="98"/>
    </row>
    <row r="15" spans="1:8" s="29" customFormat="1" ht="18" customHeight="1" x14ac:dyDescent="0.2">
      <c r="A15" s="60" t="str">
        <f>IF(D15=0,"",1+MAX(A$8:A14))</f>
        <v/>
      </c>
      <c r="B15" s="64"/>
      <c r="C15" s="9" t="s">
        <v>17</v>
      </c>
      <c r="D15" s="8"/>
      <c r="E15" s="4"/>
      <c r="F15" s="3"/>
      <c r="G15" s="23"/>
      <c r="H15" s="65">
        <f>(SUM(G8:G15))</f>
        <v>0</v>
      </c>
    </row>
    <row r="16" spans="1:8" s="29" customFormat="1" ht="18" customHeight="1" x14ac:dyDescent="0.2">
      <c r="A16" s="31"/>
      <c r="B16" s="33"/>
      <c r="C16" s="7"/>
      <c r="D16" s="21"/>
      <c r="E16" s="21"/>
      <c r="F16" s="22"/>
      <c r="G16" s="22"/>
      <c r="H16" s="32"/>
    </row>
    <row r="17" spans="1:8" s="29" customFormat="1" ht="18" customHeight="1" x14ac:dyDescent="0.2">
      <c r="A17" s="94"/>
      <c r="B17" s="95"/>
      <c r="C17" s="25" t="s">
        <v>19</v>
      </c>
      <c r="D17" s="95"/>
      <c r="E17" s="95"/>
      <c r="F17" s="95"/>
      <c r="G17" s="95"/>
      <c r="H17" s="96"/>
    </row>
    <row r="18" spans="1:8" s="29" customFormat="1" ht="18" customHeight="1" x14ac:dyDescent="0.2">
      <c r="A18" s="67" t="str">
        <f>IF(D18=0,"",1+MAX(A$7:A17))</f>
        <v/>
      </c>
      <c r="B18" s="84" t="s">
        <v>33</v>
      </c>
      <c r="C18" s="84" t="s">
        <v>34</v>
      </c>
      <c r="D18" s="6"/>
      <c r="E18" s="6"/>
      <c r="F18" s="23" t="str">
        <f t="shared" ref="F18:F48" si="2">IF(D18=0,"",0)</f>
        <v/>
      </c>
      <c r="G18" s="23" t="str">
        <f t="shared" ref="G18:G48" si="3">IF(F18="","",D18*F18)</f>
        <v/>
      </c>
      <c r="H18" s="98"/>
    </row>
    <row r="19" spans="1:8" s="29" customFormat="1" ht="18" customHeight="1" x14ac:dyDescent="0.2">
      <c r="A19" s="67">
        <f>IF(D19=0,"",1+MAX(A$7:A18))</f>
        <v>8</v>
      </c>
      <c r="B19" s="99"/>
      <c r="C19" s="27" t="s">
        <v>57</v>
      </c>
      <c r="D19" s="86">
        <f>8*10.66</f>
        <v>85.28</v>
      </c>
      <c r="E19" s="28" t="s">
        <v>35</v>
      </c>
      <c r="F19" s="23">
        <v>6</v>
      </c>
      <c r="G19" s="23">
        <f t="shared" si="3"/>
        <v>511.68</v>
      </c>
      <c r="H19" s="98"/>
    </row>
    <row r="20" spans="1:8" s="29" customFormat="1" ht="18" customHeight="1" x14ac:dyDescent="0.2">
      <c r="A20" s="67">
        <f>IF(D20=0,"",1+MAX(A$7:A19))</f>
        <v>9</v>
      </c>
      <c r="B20" s="100"/>
      <c r="C20" s="27" t="s">
        <v>36</v>
      </c>
      <c r="D20" s="86">
        <v>39.92</v>
      </c>
      <c r="E20" s="28" t="s">
        <v>35</v>
      </c>
      <c r="F20" s="23">
        <v>7</v>
      </c>
      <c r="G20" s="23">
        <f t="shared" si="3"/>
        <v>279.44</v>
      </c>
      <c r="H20" s="98"/>
    </row>
    <row r="21" spans="1:8" s="29" customFormat="1" ht="18" customHeight="1" x14ac:dyDescent="0.2">
      <c r="A21" s="67">
        <f>IF(D21=0,"",1+MAX(A$7:A20))</f>
        <v>10</v>
      </c>
      <c r="B21" s="100"/>
      <c r="C21" s="27" t="s">
        <v>37</v>
      </c>
      <c r="D21" s="86">
        <v>39.92</v>
      </c>
      <c r="E21" s="28" t="s">
        <v>35</v>
      </c>
      <c r="F21" s="23">
        <v>3</v>
      </c>
      <c r="G21" s="23">
        <f t="shared" si="3"/>
        <v>119.76</v>
      </c>
      <c r="H21" s="98"/>
    </row>
    <row r="22" spans="1:8" s="29" customFormat="1" ht="18" customHeight="1" x14ac:dyDescent="0.2">
      <c r="A22" s="67">
        <f>IF(D22=0,"",1+MAX(A$7:A21))</f>
        <v>11</v>
      </c>
      <c r="B22" s="100"/>
      <c r="C22" s="27" t="s">
        <v>53</v>
      </c>
      <c r="D22" s="86">
        <v>105</v>
      </c>
      <c r="E22" s="28" t="s">
        <v>35</v>
      </c>
      <c r="F22" s="23">
        <v>2</v>
      </c>
      <c r="G22" s="23">
        <f t="shared" si="3"/>
        <v>210</v>
      </c>
      <c r="H22" s="98"/>
    </row>
    <row r="23" spans="1:8" s="29" customFormat="1" ht="18" customHeight="1" x14ac:dyDescent="0.2">
      <c r="A23" s="67">
        <f>IF(D23=0,"",1+MAX(A$7:A22))</f>
        <v>12</v>
      </c>
      <c r="B23" s="100"/>
      <c r="C23" s="27" t="s">
        <v>38</v>
      </c>
      <c r="D23" s="86">
        <v>105</v>
      </c>
      <c r="E23" s="28" t="s">
        <v>35</v>
      </c>
      <c r="F23" s="23">
        <v>5</v>
      </c>
      <c r="G23" s="23">
        <f t="shared" si="3"/>
        <v>525</v>
      </c>
      <c r="H23" s="98"/>
    </row>
    <row r="24" spans="1:8" s="29" customFormat="1" ht="18" customHeight="1" x14ac:dyDescent="0.2">
      <c r="A24" s="67">
        <f>IF(D24=0,"",1+MAX(A$7:A23))</f>
        <v>13</v>
      </c>
      <c r="B24" s="100"/>
      <c r="C24" s="27" t="s">
        <v>61</v>
      </c>
      <c r="D24" s="86">
        <f>36.91*2</f>
        <v>73.819999999999993</v>
      </c>
      <c r="E24" s="28" t="s">
        <v>35</v>
      </c>
      <c r="F24" s="23">
        <v>8</v>
      </c>
      <c r="G24" s="23">
        <f t="shared" si="3"/>
        <v>590.55999999999995</v>
      </c>
      <c r="H24" s="98"/>
    </row>
    <row r="25" spans="1:8" s="29" customFormat="1" ht="18" customHeight="1" x14ac:dyDescent="0.2">
      <c r="A25" s="67">
        <f>IF(D25=0,"",1+MAX(A$7:A24))</f>
        <v>14</v>
      </c>
      <c r="B25" s="100"/>
      <c r="C25" s="27" t="s">
        <v>60</v>
      </c>
      <c r="D25" s="86">
        <v>52</v>
      </c>
      <c r="E25" s="28" t="s">
        <v>35</v>
      </c>
      <c r="F25" s="23">
        <v>9</v>
      </c>
      <c r="G25" s="23">
        <f t="shared" si="3"/>
        <v>468</v>
      </c>
      <c r="H25" s="98"/>
    </row>
    <row r="26" spans="1:8" s="29" customFormat="1" ht="18" customHeight="1" x14ac:dyDescent="0.2">
      <c r="A26" s="67">
        <f>IF(D26=0,"",1+MAX(A$7:A25))</f>
        <v>15</v>
      </c>
      <c r="B26" s="100"/>
      <c r="C26" s="27" t="s">
        <v>39</v>
      </c>
      <c r="D26" s="86">
        <v>645.46</v>
      </c>
      <c r="E26" s="28" t="s">
        <v>40</v>
      </c>
      <c r="F26" s="23">
        <v>3</v>
      </c>
      <c r="G26" s="23">
        <f t="shared" si="3"/>
        <v>1936.38</v>
      </c>
      <c r="H26" s="98"/>
    </row>
    <row r="27" spans="1:8" s="29" customFormat="1" ht="18" customHeight="1" x14ac:dyDescent="0.2">
      <c r="A27" s="67">
        <f>IF(D27=0,"",1+MAX(A$7:A26))</f>
        <v>16</v>
      </c>
      <c r="B27" s="100"/>
      <c r="C27" s="27" t="s">
        <v>41</v>
      </c>
      <c r="D27" s="86">
        <v>645.46</v>
      </c>
      <c r="E27" s="28" t="s">
        <v>40</v>
      </c>
      <c r="F27" s="23">
        <v>6</v>
      </c>
      <c r="G27" s="23">
        <f t="shared" si="3"/>
        <v>3872.76</v>
      </c>
      <c r="H27" s="98"/>
    </row>
    <row r="28" spans="1:8" s="29" customFormat="1" ht="18" customHeight="1" x14ac:dyDescent="0.2">
      <c r="A28" s="67">
        <f>IF(D28=0,"",1+MAX(A$7:A27))</f>
        <v>17</v>
      </c>
      <c r="B28" s="100"/>
      <c r="C28" s="27" t="s">
        <v>42</v>
      </c>
      <c r="D28" s="86">
        <v>645.46</v>
      </c>
      <c r="E28" s="28" t="s">
        <v>40</v>
      </c>
      <c r="F28" s="90">
        <v>1.1000000000000001</v>
      </c>
      <c r="G28" s="23">
        <f t="shared" si="3"/>
        <v>710.00600000000009</v>
      </c>
      <c r="H28" s="98"/>
    </row>
    <row r="29" spans="1:8" s="29" customFormat="1" ht="18" customHeight="1" x14ac:dyDescent="0.2">
      <c r="A29" s="67">
        <f>IF(D29=0,"",1+MAX(A$7:A28))</f>
        <v>18</v>
      </c>
      <c r="B29" s="101"/>
      <c r="C29" s="27" t="s">
        <v>43</v>
      </c>
      <c r="D29" s="86">
        <v>645.46</v>
      </c>
      <c r="E29" s="28" t="s">
        <v>40</v>
      </c>
      <c r="F29" s="90">
        <v>1.5</v>
      </c>
      <c r="G29" s="23">
        <f t="shared" si="3"/>
        <v>968.19</v>
      </c>
      <c r="H29" s="98"/>
    </row>
    <row r="30" spans="1:8" s="29" customFormat="1" ht="18" customHeight="1" x14ac:dyDescent="0.2">
      <c r="A30" s="67" t="str">
        <f>IF(D30=0,"",1+MAX(A$7:A29))</f>
        <v/>
      </c>
      <c r="B30" s="83" t="s">
        <v>44</v>
      </c>
      <c r="C30" s="83" t="s">
        <v>45</v>
      </c>
      <c r="D30" s="86"/>
      <c r="E30" s="28"/>
      <c r="F30" s="23" t="str">
        <f t="shared" ref="F30" si="4">IF(D30=0,"",0)</f>
        <v/>
      </c>
      <c r="G30" s="23" t="str">
        <f t="shared" si="3"/>
        <v/>
      </c>
      <c r="H30" s="98"/>
    </row>
    <row r="31" spans="1:8" s="29" customFormat="1" ht="18" customHeight="1" x14ac:dyDescent="0.2">
      <c r="A31" s="67">
        <f>IF(D31=0,"",1+MAX(A$7:A30))</f>
        <v>19</v>
      </c>
      <c r="B31" s="99"/>
      <c r="C31" s="27" t="s">
        <v>54</v>
      </c>
      <c r="D31" s="86">
        <f>22*30.33</f>
        <v>667.26</v>
      </c>
      <c r="E31" s="28" t="s">
        <v>35</v>
      </c>
      <c r="F31" s="23">
        <v>6</v>
      </c>
      <c r="G31" s="23">
        <f t="shared" si="3"/>
        <v>4003.56</v>
      </c>
      <c r="H31" s="98"/>
    </row>
    <row r="32" spans="1:8" s="29" customFormat="1" ht="18" customHeight="1" x14ac:dyDescent="0.2">
      <c r="A32" s="67">
        <f>IF(D32=0,"",1+MAX(A$7:A31))</f>
        <v>20</v>
      </c>
      <c r="B32" s="100"/>
      <c r="C32" s="27" t="s">
        <v>55</v>
      </c>
      <c r="D32" s="86">
        <v>16</v>
      </c>
      <c r="E32" s="28" t="s">
        <v>46</v>
      </c>
      <c r="F32" s="23">
        <v>300</v>
      </c>
      <c r="G32" s="23">
        <f t="shared" si="3"/>
        <v>4800</v>
      </c>
      <c r="H32" s="98"/>
    </row>
    <row r="33" spans="1:8" s="29" customFormat="1" ht="18" customHeight="1" x14ac:dyDescent="0.2">
      <c r="A33" s="67">
        <f>IF(D33=0,"",1+MAX(A$7:A32))</f>
        <v>21</v>
      </c>
      <c r="B33" s="100"/>
      <c r="C33" s="27" t="s">
        <v>47</v>
      </c>
      <c r="D33" s="86">
        <v>63.56</v>
      </c>
      <c r="E33" s="28" t="s">
        <v>35</v>
      </c>
      <c r="F33" s="23">
        <v>5</v>
      </c>
      <c r="G33" s="23">
        <f t="shared" si="3"/>
        <v>317.8</v>
      </c>
      <c r="H33" s="98"/>
    </row>
    <row r="34" spans="1:8" s="29" customFormat="1" ht="18" customHeight="1" x14ac:dyDescent="0.2">
      <c r="A34" s="67">
        <f>IF(D34=0,"",1+MAX(A$7:A33))</f>
        <v>22</v>
      </c>
      <c r="B34" s="100"/>
      <c r="C34" s="27" t="s">
        <v>36</v>
      </c>
      <c r="D34" s="86">
        <v>297.02</v>
      </c>
      <c r="E34" s="28" t="s">
        <v>35</v>
      </c>
      <c r="F34" s="23">
        <v>7</v>
      </c>
      <c r="G34" s="23">
        <f t="shared" si="3"/>
        <v>2079.14</v>
      </c>
      <c r="H34" s="98"/>
    </row>
    <row r="35" spans="1:8" s="29" customFormat="1" ht="18" customHeight="1" x14ac:dyDescent="0.2">
      <c r="A35" s="67">
        <f>IF(D35=0,"",1+MAX(A$7:A34))</f>
        <v>23</v>
      </c>
      <c r="B35" s="100"/>
      <c r="C35" s="27" t="s">
        <v>37</v>
      </c>
      <c r="D35" s="86">
        <v>297.02</v>
      </c>
      <c r="E35" s="28" t="s">
        <v>35</v>
      </c>
      <c r="F35" s="23">
        <v>3</v>
      </c>
      <c r="G35" s="23">
        <f t="shared" si="3"/>
        <v>891.06</v>
      </c>
      <c r="H35" s="98"/>
    </row>
    <row r="36" spans="1:8" s="29" customFormat="1" ht="18" customHeight="1" x14ac:dyDescent="0.2">
      <c r="A36" s="67">
        <f>IF(D36=0,"",1+MAX(A$7:A35))</f>
        <v>24</v>
      </c>
      <c r="B36" s="100"/>
      <c r="C36" s="27" t="s">
        <v>48</v>
      </c>
      <c r="D36" s="86">
        <f>297.02+157</f>
        <v>454.02</v>
      </c>
      <c r="E36" s="28" t="s">
        <v>35</v>
      </c>
      <c r="F36" s="23">
        <v>5</v>
      </c>
      <c r="G36" s="23">
        <f t="shared" si="3"/>
        <v>2270.1</v>
      </c>
      <c r="H36" s="98"/>
    </row>
    <row r="37" spans="1:8" s="29" customFormat="1" ht="18" customHeight="1" x14ac:dyDescent="0.2">
      <c r="A37" s="67">
        <f>IF(D37=0,"",1+MAX(A$7:A36))</f>
        <v>25</v>
      </c>
      <c r="B37" s="100"/>
      <c r="C37" s="27" t="s">
        <v>49</v>
      </c>
      <c r="D37" s="86">
        <v>297.02</v>
      </c>
      <c r="E37" s="28" t="s">
        <v>35</v>
      </c>
      <c r="F37" s="23">
        <v>4</v>
      </c>
      <c r="G37" s="23">
        <f t="shared" si="3"/>
        <v>1188.08</v>
      </c>
      <c r="H37" s="98"/>
    </row>
    <row r="38" spans="1:8" s="29" customFormat="1" ht="18" customHeight="1" x14ac:dyDescent="0.2">
      <c r="A38" s="67">
        <f>IF(D38=0,"",1+MAX(A$7:A37))</f>
        <v>26</v>
      </c>
      <c r="B38" s="100"/>
      <c r="C38" s="27" t="s">
        <v>53</v>
      </c>
      <c r="D38" s="86">
        <v>557</v>
      </c>
      <c r="E38" s="28" t="s">
        <v>35</v>
      </c>
      <c r="F38" s="23">
        <v>2</v>
      </c>
      <c r="G38" s="23">
        <f t="shared" si="3"/>
        <v>1114</v>
      </c>
      <c r="H38" s="98"/>
    </row>
    <row r="39" spans="1:8" s="29" customFormat="1" ht="18" customHeight="1" x14ac:dyDescent="0.2">
      <c r="A39" s="67">
        <f>IF(D39=0,"",1+MAX(A$7:A38))</f>
        <v>27</v>
      </c>
      <c r="B39" s="100"/>
      <c r="C39" s="27" t="s">
        <v>38</v>
      </c>
      <c r="D39" s="86">
        <v>157.78</v>
      </c>
      <c r="E39" s="28" t="s">
        <v>35</v>
      </c>
      <c r="F39" s="23">
        <v>5</v>
      </c>
      <c r="G39" s="23">
        <f t="shared" si="3"/>
        <v>788.9</v>
      </c>
      <c r="H39" s="98"/>
    </row>
    <row r="40" spans="1:8" s="29" customFormat="1" ht="18" customHeight="1" x14ac:dyDescent="0.2">
      <c r="A40" s="67">
        <f>IF(D40=0,"",1+MAX(A$7:A39))</f>
        <v>28</v>
      </c>
      <c r="B40" s="100"/>
      <c r="C40" s="27" t="s">
        <v>50</v>
      </c>
      <c r="D40" s="86">
        <v>102.87</v>
      </c>
      <c r="E40" s="28" t="s">
        <v>35</v>
      </c>
      <c r="F40" s="23">
        <v>6</v>
      </c>
      <c r="G40" s="23">
        <f t="shared" si="3"/>
        <v>617.22</v>
      </c>
      <c r="H40" s="98"/>
    </row>
    <row r="41" spans="1:8" s="29" customFormat="1" ht="18" customHeight="1" x14ac:dyDescent="0.2">
      <c r="A41" s="67">
        <f>IF(D41=0,"",1+MAX(A$7:A40))</f>
        <v>29</v>
      </c>
      <c r="B41" s="100"/>
      <c r="C41" s="27" t="s">
        <v>60</v>
      </c>
      <c r="D41" s="86">
        <v>307</v>
      </c>
      <c r="E41" s="28" t="s">
        <v>35</v>
      </c>
      <c r="F41" s="23">
        <v>9</v>
      </c>
      <c r="G41" s="23">
        <f t="shared" si="3"/>
        <v>2763</v>
      </c>
      <c r="H41" s="98"/>
    </row>
    <row r="42" spans="1:8" s="29" customFormat="1" ht="18" customHeight="1" x14ac:dyDescent="0.2">
      <c r="A42" s="67">
        <f>IF(D42=0,"",1+MAX(A$7:A41))</f>
        <v>30</v>
      </c>
      <c r="B42" s="100"/>
      <c r="C42" s="27" t="s">
        <v>51</v>
      </c>
      <c r="D42" s="86">
        <v>741.3</v>
      </c>
      <c r="E42" s="28" t="s">
        <v>40</v>
      </c>
      <c r="F42" s="23">
        <v>25</v>
      </c>
      <c r="G42" s="23">
        <f t="shared" si="3"/>
        <v>18532.5</v>
      </c>
      <c r="H42" s="98"/>
    </row>
    <row r="43" spans="1:8" s="29" customFormat="1" ht="18" customHeight="1" x14ac:dyDescent="0.2">
      <c r="A43" s="67">
        <f>IF(D43=0,"",1+MAX(A$7:A42))</f>
        <v>31</v>
      </c>
      <c r="B43" s="100"/>
      <c r="C43" s="27" t="s">
        <v>52</v>
      </c>
      <c r="D43" s="86">
        <v>508.3</v>
      </c>
      <c r="E43" s="28" t="s">
        <v>40</v>
      </c>
      <c r="F43" s="23">
        <v>20</v>
      </c>
      <c r="G43" s="23">
        <f t="shared" si="3"/>
        <v>10166</v>
      </c>
      <c r="H43" s="98"/>
    </row>
    <row r="44" spans="1:8" s="29" customFormat="1" ht="18" customHeight="1" x14ac:dyDescent="0.2">
      <c r="A44" s="67">
        <f>IF(D44=0,"",1+MAX(A$7:A43))</f>
        <v>32</v>
      </c>
      <c r="B44" s="100"/>
      <c r="C44" s="27" t="s">
        <v>39</v>
      </c>
      <c r="D44" s="86">
        <v>9944</v>
      </c>
      <c r="E44" s="28" t="s">
        <v>40</v>
      </c>
      <c r="F44" s="23">
        <v>3</v>
      </c>
      <c r="G44" s="23">
        <f t="shared" si="3"/>
        <v>29832</v>
      </c>
      <c r="H44" s="98"/>
    </row>
    <row r="45" spans="1:8" s="29" customFormat="1" ht="18" customHeight="1" x14ac:dyDescent="0.2">
      <c r="A45" s="67">
        <f>IF(D45=0,"",1+MAX(A$7:A44))</f>
        <v>33</v>
      </c>
      <c r="B45" s="100"/>
      <c r="C45" s="27" t="s">
        <v>41</v>
      </c>
      <c r="D45" s="86">
        <v>9944</v>
      </c>
      <c r="E45" s="28" t="s">
        <v>40</v>
      </c>
      <c r="F45" s="23">
        <v>6</v>
      </c>
      <c r="G45" s="23">
        <f t="shared" si="3"/>
        <v>59664</v>
      </c>
      <c r="H45" s="98"/>
    </row>
    <row r="46" spans="1:8" s="29" customFormat="1" ht="18" customHeight="1" x14ac:dyDescent="0.2">
      <c r="A46" s="67">
        <f>IF(D46=0,"",1+MAX(A$7:A45))</f>
        <v>34</v>
      </c>
      <c r="B46" s="100"/>
      <c r="C46" s="27" t="s">
        <v>42</v>
      </c>
      <c r="D46" s="86">
        <v>9944</v>
      </c>
      <c r="E46" s="28" t="s">
        <v>40</v>
      </c>
      <c r="F46" s="90">
        <v>1.1000000000000001</v>
      </c>
      <c r="G46" s="23">
        <f t="shared" si="3"/>
        <v>10938.400000000001</v>
      </c>
      <c r="H46" s="98"/>
    </row>
    <row r="47" spans="1:8" s="29" customFormat="1" ht="18" customHeight="1" x14ac:dyDescent="0.2">
      <c r="A47" s="67">
        <f>IF(D47=0,"",1+MAX(A$7:A46))</f>
        <v>35</v>
      </c>
      <c r="B47" s="101"/>
      <c r="C47" s="24" t="s">
        <v>43</v>
      </c>
      <c r="D47" s="86">
        <v>9944</v>
      </c>
      <c r="E47" s="28" t="s">
        <v>40</v>
      </c>
      <c r="F47" s="90">
        <v>1.5</v>
      </c>
      <c r="G47" s="23">
        <f t="shared" si="3"/>
        <v>14916</v>
      </c>
      <c r="H47" s="98"/>
    </row>
    <row r="48" spans="1:8" s="29" customFormat="1" ht="18" customHeight="1" x14ac:dyDescent="0.2">
      <c r="A48" s="67" t="str">
        <f>IF(D48=0,"",1+MAX(A$7:A47))</f>
        <v/>
      </c>
      <c r="B48" s="64"/>
      <c r="C48" s="9" t="s">
        <v>20</v>
      </c>
      <c r="D48" s="8"/>
      <c r="E48" s="4"/>
      <c r="F48" s="23" t="str">
        <f t="shared" si="2"/>
        <v/>
      </c>
      <c r="G48" s="23" t="str">
        <f t="shared" si="3"/>
        <v/>
      </c>
      <c r="H48" s="65">
        <f>(SUM(G18:G48))</f>
        <v>175073.53599999999</v>
      </c>
    </row>
    <row r="49" spans="1:8" s="29" customFormat="1" ht="18" customHeight="1" thickBot="1" x14ac:dyDescent="0.25">
      <c r="A49" s="31"/>
      <c r="B49" s="33"/>
      <c r="C49" s="7"/>
      <c r="D49" s="21"/>
      <c r="E49" s="21"/>
      <c r="F49" s="22"/>
      <c r="G49" s="22"/>
      <c r="H49" s="32"/>
    </row>
    <row r="50" spans="1:8" s="29" customFormat="1" ht="18" customHeight="1" x14ac:dyDescent="0.2">
      <c r="A50" s="79"/>
      <c r="B50" s="80" t="s">
        <v>18</v>
      </c>
      <c r="C50" s="17"/>
      <c r="D50" s="18"/>
      <c r="E50" s="18"/>
      <c r="F50" s="17"/>
      <c r="G50" s="17"/>
      <c r="H50" s="87">
        <f>SUM(H8:H49)</f>
        <v>175073.53599999999</v>
      </c>
    </row>
    <row r="51" spans="1:8" s="29" customFormat="1" ht="18" customHeight="1" x14ac:dyDescent="0.2">
      <c r="A51" s="77"/>
      <c r="B51" s="78" t="s">
        <v>30</v>
      </c>
      <c r="C51" s="11"/>
      <c r="D51" s="72">
        <v>0.2</v>
      </c>
      <c r="E51" s="14"/>
      <c r="F51" s="10"/>
      <c r="G51" s="10"/>
      <c r="H51" s="88">
        <f>(H50*D51)</f>
        <v>35014.707199999997</v>
      </c>
    </row>
    <row r="52" spans="1:8" s="29" customFormat="1" ht="18" customHeight="1" x14ac:dyDescent="0.2">
      <c r="A52" s="77"/>
      <c r="B52" s="78" t="s">
        <v>10</v>
      </c>
      <c r="C52" s="11"/>
      <c r="D52" s="72">
        <v>0.03</v>
      </c>
      <c r="E52" s="15"/>
      <c r="F52" s="12"/>
      <c r="G52" s="12"/>
      <c r="H52" s="88">
        <f>(H50*D52)</f>
        <v>5252.2060799999999</v>
      </c>
    </row>
    <row r="53" spans="1:8" s="29" customFormat="1" ht="18" customHeight="1" x14ac:dyDescent="0.2">
      <c r="A53" s="77"/>
      <c r="B53" s="78" t="s">
        <v>12</v>
      </c>
      <c r="C53" s="11"/>
      <c r="D53" s="72">
        <v>7.0000000000000007E-2</v>
      </c>
      <c r="E53" s="16"/>
      <c r="F53" s="13"/>
      <c r="G53" s="13"/>
      <c r="H53" s="88">
        <f>(H50*D53)</f>
        <v>12255.14752</v>
      </c>
    </row>
    <row r="54" spans="1:8" ht="24" customHeight="1" thickBot="1" x14ac:dyDescent="0.25">
      <c r="A54" s="102" t="s">
        <v>11</v>
      </c>
      <c r="B54" s="103"/>
      <c r="C54" s="19"/>
      <c r="D54" s="20"/>
      <c r="E54" s="20"/>
      <c r="F54" s="19"/>
      <c r="G54" s="19"/>
      <c r="H54" s="89">
        <f>SUM(H50:H53)</f>
        <v>227595.5968</v>
      </c>
    </row>
    <row r="55" spans="1:8" s="29" customFormat="1" ht="18" customHeight="1" thickBot="1" x14ac:dyDescent="0.25">
      <c r="A55" s="104" t="s">
        <v>15</v>
      </c>
      <c r="B55" s="105"/>
      <c r="C55" s="51"/>
      <c r="D55" s="52"/>
      <c r="E55" s="52"/>
      <c r="F55" s="51"/>
      <c r="G55" s="51"/>
      <c r="H55" s="53"/>
    </row>
    <row r="56" spans="1:8" s="29" customFormat="1" ht="18" customHeight="1" x14ac:dyDescent="0.2">
      <c r="A56" s="54" t="s">
        <v>115</v>
      </c>
      <c r="B56" s="93" t="s">
        <v>116</v>
      </c>
      <c r="C56" s="93"/>
      <c r="D56" s="52"/>
      <c r="E56" s="52"/>
      <c r="F56" s="51"/>
      <c r="G56" s="51"/>
      <c r="H56" s="53"/>
    </row>
    <row r="57" spans="1:8" s="29" customFormat="1" ht="18" customHeight="1" thickBot="1" x14ac:dyDescent="0.25">
      <c r="A57" s="55"/>
      <c r="B57" s="56"/>
      <c r="C57" s="57"/>
      <c r="D57" s="58"/>
      <c r="E57" s="58"/>
      <c r="F57" s="57"/>
      <c r="G57" s="57"/>
      <c r="H57" s="59"/>
    </row>
  </sheetData>
  <mergeCells count="12">
    <mergeCell ref="B56:C56"/>
    <mergeCell ref="A7:B7"/>
    <mergeCell ref="D7:H7"/>
    <mergeCell ref="B8:B14"/>
    <mergeCell ref="H8:H14"/>
    <mergeCell ref="A17:B17"/>
    <mergeCell ref="D17:H17"/>
    <mergeCell ref="H18:H47"/>
    <mergeCell ref="B19:B29"/>
    <mergeCell ref="B31:B47"/>
    <mergeCell ref="A54:B54"/>
    <mergeCell ref="A55:B55"/>
  </mergeCells>
  <printOptions horizontalCentered="1"/>
  <pageMargins left="0" right="0" top="0" bottom="0.17" header="0" footer="0"/>
  <pageSetup paperSize="9" scale="67" fitToHeight="0" orientation="portrait" r:id="rId1"/>
  <headerFooter scaleWithDoc="0"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F00"/>
    <pageSetUpPr fitToPage="1"/>
  </sheetPr>
  <dimension ref="A1:H56"/>
  <sheetViews>
    <sheetView showGridLines="0" zoomScaleNormal="100" zoomScaleSheetLayoutView="100" workbookViewId="0">
      <selection activeCell="C2" sqref="C2"/>
    </sheetView>
  </sheetViews>
  <sheetFormatPr baseColWidth="10" defaultColWidth="9.1640625" defaultRowHeight="15" x14ac:dyDescent="0.2"/>
  <cols>
    <col min="1" max="1" width="7" style="1" customWidth="1"/>
    <col min="2" max="2" width="12.1640625" style="34" customWidth="1"/>
    <col min="3" max="3" width="62.6640625" style="1" customWidth="1"/>
    <col min="4" max="4" width="11.6640625" style="5" customWidth="1"/>
    <col min="5" max="5" width="8.5" style="5" customWidth="1"/>
    <col min="6" max="6" width="15.33203125" style="1" customWidth="1"/>
    <col min="7" max="7" width="14.83203125" style="1" customWidth="1"/>
    <col min="8" max="8" width="16.1640625" style="1" customWidth="1"/>
    <col min="9" max="16384" width="9.1640625" style="1"/>
  </cols>
  <sheetData>
    <row r="1" spans="1:8" ht="18" customHeight="1" x14ac:dyDescent="0.2">
      <c r="A1" s="35"/>
      <c r="B1" s="36"/>
      <c r="C1" s="61"/>
      <c r="D1" s="37"/>
      <c r="E1" s="47"/>
      <c r="F1" s="62" t="s">
        <v>25</v>
      </c>
      <c r="G1" s="48"/>
      <c r="H1" s="38"/>
    </row>
    <row r="2" spans="1:8" ht="18" customHeight="1" x14ac:dyDescent="0.2">
      <c r="A2" s="68" t="s">
        <v>27</v>
      </c>
      <c r="B2" s="69"/>
      <c r="C2" s="74"/>
      <c r="D2" s="42"/>
      <c r="E2" s="44"/>
      <c r="F2" s="49" t="s">
        <v>16</v>
      </c>
      <c r="G2" s="50"/>
      <c r="H2" s="43"/>
    </row>
    <row r="3" spans="1:8" ht="18" customHeight="1" x14ac:dyDescent="0.2">
      <c r="A3" s="39"/>
      <c r="B3" s="40"/>
      <c r="C3" s="41"/>
      <c r="D3" s="42"/>
      <c r="E3" s="44"/>
      <c r="F3" s="49" t="s">
        <v>22</v>
      </c>
      <c r="G3" s="50"/>
      <c r="H3" s="43"/>
    </row>
    <row r="4" spans="1:8" ht="18" customHeight="1" x14ac:dyDescent="0.2">
      <c r="A4" s="63" t="s">
        <v>26</v>
      </c>
      <c r="B4" s="49"/>
      <c r="C4" s="75" t="s">
        <v>31</v>
      </c>
      <c r="D4" s="42"/>
      <c r="E4" s="44"/>
      <c r="F4" s="49" t="s">
        <v>23</v>
      </c>
      <c r="G4" s="50"/>
      <c r="H4" s="43"/>
    </row>
    <row r="5" spans="1:8" ht="18" customHeight="1" x14ac:dyDescent="0.2">
      <c r="A5" s="66"/>
      <c r="D5" s="45"/>
      <c r="E5" s="44"/>
      <c r="F5" s="49" t="s">
        <v>56</v>
      </c>
      <c r="G5" s="81"/>
      <c r="H5" s="46"/>
    </row>
    <row r="6" spans="1:8" ht="21" customHeight="1" x14ac:dyDescent="0.2">
      <c r="A6" s="73" t="s">
        <v>0</v>
      </c>
      <c r="B6" s="76" t="s">
        <v>1</v>
      </c>
      <c r="C6" s="76" t="s">
        <v>2</v>
      </c>
      <c r="D6" s="76" t="s">
        <v>3</v>
      </c>
      <c r="E6" s="76" t="s">
        <v>4</v>
      </c>
      <c r="F6" s="70" t="s">
        <v>28</v>
      </c>
      <c r="G6" s="70" t="s">
        <v>29</v>
      </c>
      <c r="H6" s="71" t="s">
        <v>32</v>
      </c>
    </row>
    <row r="7" spans="1:8" s="29" customFormat="1" ht="18" customHeight="1" x14ac:dyDescent="0.2">
      <c r="A7" s="94"/>
      <c r="B7" s="95"/>
      <c r="C7" s="25" t="s">
        <v>5</v>
      </c>
      <c r="D7" s="95"/>
      <c r="E7" s="95"/>
      <c r="F7" s="95"/>
      <c r="G7" s="95"/>
      <c r="H7" s="96"/>
    </row>
    <row r="8" spans="1:8" s="29" customFormat="1" ht="18" customHeight="1" x14ac:dyDescent="0.2">
      <c r="A8" s="30">
        <v>1</v>
      </c>
      <c r="B8" s="97"/>
      <c r="C8" s="2" t="s">
        <v>6</v>
      </c>
      <c r="D8" s="6">
        <v>1</v>
      </c>
      <c r="E8" s="6" t="s">
        <v>14</v>
      </c>
      <c r="F8" s="23">
        <f t="shared" ref="F8:F14" si="0">IF(D8=0,"",0)</f>
        <v>0</v>
      </c>
      <c r="G8" s="23">
        <f>IF(F8="","",D8*F8)</f>
        <v>0</v>
      </c>
      <c r="H8" s="98"/>
    </row>
    <row r="9" spans="1:8" s="29" customFormat="1" ht="18" customHeight="1" x14ac:dyDescent="0.2">
      <c r="A9" s="60">
        <f>IF(D9=0,"",1+MAX(A$8:A8))</f>
        <v>2</v>
      </c>
      <c r="B9" s="97"/>
      <c r="C9" s="27" t="s">
        <v>13</v>
      </c>
      <c r="D9" s="28">
        <v>1</v>
      </c>
      <c r="E9" s="28" t="s">
        <v>14</v>
      </c>
      <c r="F9" s="26">
        <f t="shared" si="0"/>
        <v>0</v>
      </c>
      <c r="G9" s="26">
        <f t="shared" ref="G9:G14" si="1">IF(F9="","",D9*F9)</f>
        <v>0</v>
      </c>
      <c r="H9" s="98"/>
    </row>
    <row r="10" spans="1:8" s="29" customFormat="1" ht="18" customHeight="1" x14ac:dyDescent="0.2">
      <c r="A10" s="60">
        <f>IF(D10=0,"",1+MAX(A$8:A9))</f>
        <v>3</v>
      </c>
      <c r="B10" s="97"/>
      <c r="C10" s="27" t="s">
        <v>21</v>
      </c>
      <c r="D10" s="28">
        <v>1</v>
      </c>
      <c r="E10" s="28" t="s">
        <v>14</v>
      </c>
      <c r="F10" s="26">
        <f t="shared" si="0"/>
        <v>0</v>
      </c>
      <c r="G10" s="26">
        <f t="shared" si="1"/>
        <v>0</v>
      </c>
      <c r="H10" s="98"/>
    </row>
    <row r="11" spans="1:8" s="29" customFormat="1" ht="18" customHeight="1" x14ac:dyDescent="0.2">
      <c r="A11" s="60">
        <f>IF(D11=0,"",1+MAX(A$8:A10))</f>
        <v>4</v>
      </c>
      <c r="B11" s="97"/>
      <c r="C11" s="27" t="s">
        <v>7</v>
      </c>
      <c r="D11" s="28">
        <v>1</v>
      </c>
      <c r="E11" s="28" t="s">
        <v>14</v>
      </c>
      <c r="F11" s="26">
        <f t="shared" si="0"/>
        <v>0</v>
      </c>
      <c r="G11" s="26">
        <f t="shared" si="1"/>
        <v>0</v>
      </c>
      <c r="H11" s="98"/>
    </row>
    <row r="12" spans="1:8" s="29" customFormat="1" ht="18" customHeight="1" x14ac:dyDescent="0.2">
      <c r="A12" s="60">
        <f>IF(D12=0,"",1+MAX(A$8:A11))</f>
        <v>5</v>
      </c>
      <c r="B12" s="97"/>
      <c r="C12" s="27" t="s">
        <v>8</v>
      </c>
      <c r="D12" s="28">
        <v>1</v>
      </c>
      <c r="E12" s="28" t="s">
        <v>14</v>
      </c>
      <c r="F12" s="26">
        <f t="shared" si="0"/>
        <v>0</v>
      </c>
      <c r="G12" s="26">
        <f t="shared" si="1"/>
        <v>0</v>
      </c>
      <c r="H12" s="98"/>
    </row>
    <row r="13" spans="1:8" s="29" customFormat="1" ht="18" customHeight="1" x14ac:dyDescent="0.2">
      <c r="A13" s="60">
        <f>IF(D13=0,"",1+MAX(A$8:A12))</f>
        <v>6</v>
      </c>
      <c r="B13" s="97"/>
      <c r="C13" s="27" t="s">
        <v>9</v>
      </c>
      <c r="D13" s="28">
        <v>1</v>
      </c>
      <c r="E13" s="28" t="s">
        <v>14</v>
      </c>
      <c r="F13" s="26">
        <f t="shared" si="0"/>
        <v>0</v>
      </c>
      <c r="G13" s="26">
        <f t="shared" si="1"/>
        <v>0</v>
      </c>
      <c r="H13" s="98"/>
    </row>
    <row r="14" spans="1:8" s="29" customFormat="1" ht="18" customHeight="1" x14ac:dyDescent="0.2">
      <c r="A14" s="60">
        <f>IF(D14=0,"",1+MAX(A$8:A13))</f>
        <v>7</v>
      </c>
      <c r="B14" s="97"/>
      <c r="C14" s="24" t="s">
        <v>24</v>
      </c>
      <c r="D14" s="28">
        <v>1</v>
      </c>
      <c r="E14" s="6" t="s">
        <v>14</v>
      </c>
      <c r="F14" s="26">
        <f t="shared" si="0"/>
        <v>0</v>
      </c>
      <c r="G14" s="26">
        <f t="shared" si="1"/>
        <v>0</v>
      </c>
      <c r="H14" s="98"/>
    </row>
    <row r="15" spans="1:8" s="29" customFormat="1" ht="18" customHeight="1" x14ac:dyDescent="0.2">
      <c r="A15" s="60" t="str">
        <f>IF(D15=0,"",1+MAX(A5:A14))</f>
        <v/>
      </c>
      <c r="B15" s="64"/>
      <c r="C15" s="9" t="s">
        <v>17</v>
      </c>
      <c r="D15" s="8"/>
      <c r="E15" s="4"/>
      <c r="F15" s="3"/>
      <c r="G15" s="23"/>
      <c r="H15" s="65">
        <f>(SUM(G8:G15))</f>
        <v>0</v>
      </c>
    </row>
    <row r="16" spans="1:8" s="29" customFormat="1" ht="18" customHeight="1" x14ac:dyDescent="0.2">
      <c r="A16" s="31"/>
      <c r="B16" s="33"/>
      <c r="C16" s="7"/>
      <c r="D16" s="21"/>
      <c r="E16" s="21"/>
      <c r="F16" s="22"/>
      <c r="G16" s="22"/>
      <c r="H16" s="32"/>
    </row>
    <row r="17" spans="1:8" s="29" customFormat="1" ht="18" customHeight="1" x14ac:dyDescent="0.2">
      <c r="A17" s="94"/>
      <c r="B17" s="95"/>
      <c r="C17" s="25" t="s">
        <v>19</v>
      </c>
      <c r="D17" s="95"/>
      <c r="E17" s="95"/>
      <c r="F17" s="95"/>
      <c r="G17" s="95"/>
      <c r="H17" s="96"/>
    </row>
    <row r="18" spans="1:8" s="29" customFormat="1" ht="18" customHeight="1" x14ac:dyDescent="0.2">
      <c r="A18" s="67" t="str">
        <f>IF(D18=0,"",1+MAX(A$7:A17))</f>
        <v/>
      </c>
      <c r="B18" s="84" t="s">
        <v>66</v>
      </c>
      <c r="C18" s="84" t="s">
        <v>34</v>
      </c>
      <c r="D18" s="6"/>
      <c r="E18" s="6"/>
      <c r="F18" s="23" t="str">
        <f t="shared" ref="F18" si="2">IF(D18=0,"",0)</f>
        <v/>
      </c>
      <c r="G18" s="23" t="str">
        <f t="shared" ref="G18:G47" si="3">IF(F18="","",D18*F18)</f>
        <v/>
      </c>
      <c r="H18" s="98"/>
    </row>
    <row r="19" spans="1:8" s="29" customFormat="1" ht="18" customHeight="1" x14ac:dyDescent="0.2">
      <c r="A19" s="67">
        <f>IF(D19=0,"",1+MAX(A$7:A18))</f>
        <v>8</v>
      </c>
      <c r="B19" s="99"/>
      <c r="C19" s="27" t="s">
        <v>65</v>
      </c>
      <c r="D19" s="86">
        <f>12*10.66</f>
        <v>127.92</v>
      </c>
      <c r="E19" s="28" t="s">
        <v>35</v>
      </c>
      <c r="F19" s="23">
        <v>6</v>
      </c>
      <c r="G19" s="23">
        <f t="shared" si="3"/>
        <v>767.52</v>
      </c>
      <c r="H19" s="98"/>
    </row>
    <row r="20" spans="1:8" s="29" customFormat="1" ht="18" customHeight="1" x14ac:dyDescent="0.2">
      <c r="A20" s="67">
        <f>IF(D20=0,"",1+MAX(A$7:A19))</f>
        <v>9</v>
      </c>
      <c r="B20" s="100"/>
      <c r="C20" s="27" t="s">
        <v>36</v>
      </c>
      <c r="D20" s="86">
        <v>56</v>
      </c>
      <c r="E20" s="28" t="s">
        <v>35</v>
      </c>
      <c r="F20" s="23">
        <v>7</v>
      </c>
      <c r="G20" s="23">
        <f t="shared" si="3"/>
        <v>392</v>
      </c>
      <c r="H20" s="98"/>
    </row>
    <row r="21" spans="1:8" s="29" customFormat="1" ht="18" customHeight="1" x14ac:dyDescent="0.2">
      <c r="A21" s="67">
        <f>IF(D21=0,"",1+MAX(A$7:A20))</f>
        <v>10</v>
      </c>
      <c r="B21" s="100"/>
      <c r="C21" s="27" t="s">
        <v>37</v>
      </c>
      <c r="D21" s="86">
        <v>56</v>
      </c>
      <c r="E21" s="28" t="s">
        <v>35</v>
      </c>
      <c r="F21" s="23">
        <v>3</v>
      </c>
      <c r="G21" s="23">
        <f t="shared" si="3"/>
        <v>168</v>
      </c>
      <c r="H21" s="98"/>
    </row>
    <row r="22" spans="1:8" s="29" customFormat="1" ht="18" customHeight="1" x14ac:dyDescent="0.2">
      <c r="A22" s="67">
        <f>IF(D22=0,"",1+MAX(A$7:A21))</f>
        <v>11</v>
      </c>
      <c r="B22" s="100"/>
      <c r="C22" s="27" t="s">
        <v>53</v>
      </c>
      <c r="D22" s="86">
        <f>53+56</f>
        <v>109</v>
      </c>
      <c r="E22" s="28" t="s">
        <v>35</v>
      </c>
      <c r="F22" s="23">
        <v>2</v>
      </c>
      <c r="G22" s="23">
        <f t="shared" si="3"/>
        <v>218</v>
      </c>
      <c r="H22" s="98"/>
    </row>
    <row r="23" spans="1:8" s="29" customFormat="1" ht="18" customHeight="1" x14ac:dyDescent="0.2">
      <c r="A23" s="67">
        <f>IF(D23=0,"",1+MAX(A$7:A22))</f>
        <v>12</v>
      </c>
      <c r="B23" s="100"/>
      <c r="C23" s="27" t="s">
        <v>38</v>
      </c>
      <c r="D23" s="86">
        <f>53+56</f>
        <v>109</v>
      </c>
      <c r="E23" s="28" t="s">
        <v>35</v>
      </c>
      <c r="F23" s="23">
        <v>5</v>
      </c>
      <c r="G23" s="23">
        <f t="shared" si="3"/>
        <v>545</v>
      </c>
      <c r="H23" s="98"/>
    </row>
    <row r="24" spans="1:8" s="29" customFormat="1" ht="18" customHeight="1" x14ac:dyDescent="0.2">
      <c r="A24" s="67">
        <f>IF(D24=0,"",1+MAX(A$7:A23))</f>
        <v>13</v>
      </c>
      <c r="B24" s="100"/>
      <c r="C24" s="27" t="s">
        <v>61</v>
      </c>
      <c r="D24" s="86">
        <v>107</v>
      </c>
      <c r="E24" s="28" t="s">
        <v>35</v>
      </c>
      <c r="F24" s="23">
        <v>8</v>
      </c>
      <c r="G24" s="23">
        <f t="shared" si="3"/>
        <v>856</v>
      </c>
      <c r="H24" s="98"/>
    </row>
    <row r="25" spans="1:8" s="29" customFormat="1" ht="18" customHeight="1" x14ac:dyDescent="0.2">
      <c r="A25" s="67">
        <f>IF(D25=0,"",1+MAX(A$7:A24))</f>
        <v>14</v>
      </c>
      <c r="B25" s="100"/>
      <c r="C25" s="27" t="s">
        <v>60</v>
      </c>
      <c r="D25" s="86">
        <v>76</v>
      </c>
      <c r="E25" s="28" t="s">
        <v>35</v>
      </c>
      <c r="F25" s="23">
        <v>9</v>
      </c>
      <c r="G25" s="23">
        <f t="shared" si="3"/>
        <v>684</v>
      </c>
      <c r="H25" s="98"/>
    </row>
    <row r="26" spans="1:8" s="29" customFormat="1" ht="18" customHeight="1" x14ac:dyDescent="0.2">
      <c r="A26" s="67">
        <f>IF(D26=0,"",1+MAX(A$7:A25))</f>
        <v>15</v>
      </c>
      <c r="B26" s="100"/>
      <c r="C26" s="27" t="s">
        <v>39</v>
      </c>
      <c r="D26" s="86">
        <v>935</v>
      </c>
      <c r="E26" s="28" t="s">
        <v>40</v>
      </c>
      <c r="F26" s="23">
        <v>3</v>
      </c>
      <c r="G26" s="23">
        <f t="shared" si="3"/>
        <v>2805</v>
      </c>
      <c r="H26" s="98"/>
    </row>
    <row r="27" spans="1:8" s="29" customFormat="1" ht="18" customHeight="1" x14ac:dyDescent="0.2">
      <c r="A27" s="67">
        <f>IF(D27=0,"",1+MAX(A$7:A26))</f>
        <v>16</v>
      </c>
      <c r="B27" s="100"/>
      <c r="C27" s="27" t="s">
        <v>41</v>
      </c>
      <c r="D27" s="86">
        <v>935</v>
      </c>
      <c r="E27" s="28" t="s">
        <v>40</v>
      </c>
      <c r="F27" s="23">
        <v>6</v>
      </c>
      <c r="G27" s="23">
        <f t="shared" si="3"/>
        <v>5610</v>
      </c>
      <c r="H27" s="98"/>
    </row>
    <row r="28" spans="1:8" s="29" customFormat="1" ht="18" customHeight="1" x14ac:dyDescent="0.2">
      <c r="A28" s="67">
        <f>IF(D28=0,"",1+MAX(A$7:A27))</f>
        <v>17</v>
      </c>
      <c r="B28" s="100"/>
      <c r="C28" s="27" t="s">
        <v>42</v>
      </c>
      <c r="D28" s="86">
        <v>935</v>
      </c>
      <c r="E28" s="28" t="s">
        <v>40</v>
      </c>
      <c r="F28" s="90">
        <v>1.1000000000000001</v>
      </c>
      <c r="G28" s="23">
        <f t="shared" si="3"/>
        <v>1028.5</v>
      </c>
      <c r="H28" s="98"/>
    </row>
    <row r="29" spans="1:8" s="29" customFormat="1" ht="18" customHeight="1" x14ac:dyDescent="0.2">
      <c r="A29" s="67">
        <f>IF(D29=0,"",1+MAX(A$7:A28))</f>
        <v>18</v>
      </c>
      <c r="B29" s="101"/>
      <c r="C29" s="27" t="s">
        <v>43</v>
      </c>
      <c r="D29" s="86">
        <v>935</v>
      </c>
      <c r="E29" s="28" t="s">
        <v>40</v>
      </c>
      <c r="F29" s="90">
        <v>1.5</v>
      </c>
      <c r="G29" s="23">
        <f t="shared" si="3"/>
        <v>1402.5</v>
      </c>
      <c r="H29" s="98"/>
    </row>
    <row r="30" spans="1:8" s="29" customFormat="1" ht="18" customHeight="1" x14ac:dyDescent="0.2">
      <c r="A30" s="67" t="str">
        <f>IF(D30=0,"",1+MAX(A$7:A29))</f>
        <v/>
      </c>
      <c r="B30" s="83" t="s">
        <v>67</v>
      </c>
      <c r="C30" s="83" t="s">
        <v>45</v>
      </c>
      <c r="D30" s="86"/>
      <c r="E30" s="28"/>
      <c r="F30" s="23" t="str">
        <f t="shared" ref="F30" si="4">IF(D30=0,"",0)</f>
        <v/>
      </c>
      <c r="G30" s="23" t="str">
        <f t="shared" si="3"/>
        <v/>
      </c>
      <c r="H30" s="98"/>
    </row>
    <row r="31" spans="1:8" s="29" customFormat="1" ht="18" customHeight="1" x14ac:dyDescent="0.2">
      <c r="A31" s="67">
        <f>IF(D31=0,"",1+MAX(A$7:A30))</f>
        <v>19</v>
      </c>
      <c r="B31" s="99"/>
      <c r="C31" s="27" t="s">
        <v>68</v>
      </c>
      <c r="D31" s="86">
        <f>34*30.33</f>
        <v>1031.22</v>
      </c>
      <c r="E31" s="28" t="s">
        <v>35</v>
      </c>
      <c r="F31" s="23">
        <v>6</v>
      </c>
      <c r="G31" s="23">
        <f t="shared" si="3"/>
        <v>6187.32</v>
      </c>
      <c r="H31" s="98"/>
    </row>
    <row r="32" spans="1:8" s="29" customFormat="1" ht="18" customHeight="1" x14ac:dyDescent="0.2">
      <c r="A32" s="67">
        <f>IF(D32=0,"",1+MAX(A$7:A31))</f>
        <v>20</v>
      </c>
      <c r="B32" s="100"/>
      <c r="C32" s="27" t="s">
        <v>55</v>
      </c>
      <c r="D32" s="86">
        <v>23</v>
      </c>
      <c r="E32" s="28" t="s">
        <v>46</v>
      </c>
      <c r="F32" s="23">
        <v>300</v>
      </c>
      <c r="G32" s="23">
        <f t="shared" si="3"/>
        <v>6900</v>
      </c>
      <c r="H32" s="98"/>
    </row>
    <row r="33" spans="1:8" s="29" customFormat="1" ht="18" customHeight="1" x14ac:dyDescent="0.2">
      <c r="A33" s="67">
        <f>IF(D33=0,"",1+MAX(A$7:A32))</f>
        <v>21</v>
      </c>
      <c r="B33" s="100"/>
      <c r="C33" s="27" t="s">
        <v>36</v>
      </c>
      <c r="D33" s="86">
        <v>397</v>
      </c>
      <c r="E33" s="28" t="s">
        <v>35</v>
      </c>
      <c r="F33" s="23">
        <v>7</v>
      </c>
      <c r="G33" s="23">
        <f t="shared" si="3"/>
        <v>2779</v>
      </c>
      <c r="H33" s="98"/>
    </row>
    <row r="34" spans="1:8" s="29" customFormat="1" ht="18" customHeight="1" x14ac:dyDescent="0.2">
      <c r="A34" s="67">
        <f>IF(D34=0,"",1+MAX(A$7:A33))</f>
        <v>22</v>
      </c>
      <c r="B34" s="100"/>
      <c r="C34" s="27" t="s">
        <v>37</v>
      </c>
      <c r="D34" s="86">
        <v>397</v>
      </c>
      <c r="E34" s="28" t="s">
        <v>35</v>
      </c>
      <c r="F34" s="23">
        <v>3</v>
      </c>
      <c r="G34" s="23">
        <f t="shared" si="3"/>
        <v>1191</v>
      </c>
      <c r="H34" s="98"/>
    </row>
    <row r="35" spans="1:8" s="29" customFormat="1" ht="18" customHeight="1" x14ac:dyDescent="0.2">
      <c r="A35" s="67">
        <f>IF(D35=0,"",1+MAX(A$7:A34))</f>
        <v>23</v>
      </c>
      <c r="B35" s="100"/>
      <c r="C35" s="27" t="s">
        <v>48</v>
      </c>
      <c r="D35" s="86">
        <f>397+236</f>
        <v>633</v>
      </c>
      <c r="E35" s="28" t="s">
        <v>35</v>
      </c>
      <c r="F35" s="23">
        <v>5</v>
      </c>
      <c r="G35" s="23">
        <f t="shared" si="3"/>
        <v>3165</v>
      </c>
      <c r="H35" s="98"/>
    </row>
    <row r="36" spans="1:8" s="29" customFormat="1" ht="18" customHeight="1" x14ac:dyDescent="0.2">
      <c r="A36" s="67">
        <f>IF(D36=0,"",1+MAX(A$7:A35))</f>
        <v>24</v>
      </c>
      <c r="B36" s="100"/>
      <c r="C36" s="27" t="s">
        <v>49</v>
      </c>
      <c r="D36" s="86">
        <v>397</v>
      </c>
      <c r="E36" s="28" t="s">
        <v>35</v>
      </c>
      <c r="F36" s="23">
        <v>4</v>
      </c>
      <c r="G36" s="23">
        <f t="shared" si="3"/>
        <v>1588</v>
      </c>
      <c r="H36" s="98"/>
    </row>
    <row r="37" spans="1:8" s="29" customFormat="1" ht="18" customHeight="1" x14ac:dyDescent="0.2">
      <c r="A37" s="67">
        <f>IF(D37=0,"",1+MAX(A$7:A36))</f>
        <v>25</v>
      </c>
      <c r="B37" s="100"/>
      <c r="C37" s="27" t="s">
        <v>53</v>
      </c>
      <c r="D37" s="86">
        <f>397+101+236</f>
        <v>734</v>
      </c>
      <c r="E37" s="28" t="s">
        <v>35</v>
      </c>
      <c r="F37" s="23">
        <v>2</v>
      </c>
      <c r="G37" s="23">
        <f t="shared" si="3"/>
        <v>1468</v>
      </c>
      <c r="H37" s="98"/>
    </row>
    <row r="38" spans="1:8" s="29" customFormat="1" ht="18" customHeight="1" x14ac:dyDescent="0.2">
      <c r="A38" s="67">
        <f>IF(D38=0,"",1+MAX(A$7:A37))</f>
        <v>26</v>
      </c>
      <c r="B38" s="100"/>
      <c r="C38" s="27" t="s">
        <v>38</v>
      </c>
      <c r="D38" s="86">
        <f>397+236</f>
        <v>633</v>
      </c>
      <c r="E38" s="28" t="s">
        <v>35</v>
      </c>
      <c r="F38" s="23">
        <v>5</v>
      </c>
      <c r="G38" s="23">
        <f t="shared" si="3"/>
        <v>3165</v>
      </c>
      <c r="H38" s="98"/>
    </row>
    <row r="39" spans="1:8" s="29" customFormat="1" ht="18" customHeight="1" x14ac:dyDescent="0.2">
      <c r="A39" s="67">
        <f>IF(D39=0,"",1+MAX(A$7:A38))</f>
        <v>27</v>
      </c>
      <c r="B39" s="100"/>
      <c r="C39" s="27" t="s">
        <v>50</v>
      </c>
      <c r="D39" s="86">
        <v>101</v>
      </c>
      <c r="E39" s="28" t="s">
        <v>35</v>
      </c>
      <c r="F39" s="23">
        <v>6</v>
      </c>
      <c r="G39" s="23">
        <f t="shared" si="3"/>
        <v>606</v>
      </c>
      <c r="H39" s="98"/>
    </row>
    <row r="40" spans="1:8" s="29" customFormat="1" ht="18" customHeight="1" x14ac:dyDescent="0.2">
      <c r="A40" s="67">
        <f>IF(D40=0,"",1+MAX(A$7:A39))</f>
        <v>28</v>
      </c>
      <c r="B40" s="100"/>
      <c r="C40" s="27" t="s">
        <v>60</v>
      </c>
      <c r="D40" s="86">
        <v>450</v>
      </c>
      <c r="E40" s="28" t="s">
        <v>35</v>
      </c>
      <c r="F40" s="23">
        <v>9</v>
      </c>
      <c r="G40" s="23">
        <f t="shared" si="3"/>
        <v>4050</v>
      </c>
      <c r="H40" s="98"/>
    </row>
    <row r="41" spans="1:8" s="29" customFormat="1" ht="18" customHeight="1" x14ac:dyDescent="0.2">
      <c r="A41" s="67">
        <f>IF(D41=0,"",1+MAX(A$7:A40))</f>
        <v>29</v>
      </c>
      <c r="B41" s="100"/>
      <c r="C41" s="27" t="s">
        <v>51</v>
      </c>
      <c r="D41" s="86">
        <v>1085</v>
      </c>
      <c r="E41" s="28" t="s">
        <v>40</v>
      </c>
      <c r="F41" s="23">
        <v>25</v>
      </c>
      <c r="G41" s="23">
        <f t="shared" si="3"/>
        <v>27125</v>
      </c>
      <c r="H41" s="98"/>
    </row>
    <row r="42" spans="1:8" s="29" customFormat="1" ht="18" customHeight="1" x14ac:dyDescent="0.2">
      <c r="A42" s="67">
        <f>IF(D42=0,"",1+MAX(A$7:A41))</f>
        <v>30</v>
      </c>
      <c r="B42" s="100"/>
      <c r="C42" s="27" t="s">
        <v>52</v>
      </c>
      <c r="D42" s="86">
        <v>788</v>
      </c>
      <c r="E42" s="28" t="s">
        <v>40</v>
      </c>
      <c r="F42" s="23">
        <v>20</v>
      </c>
      <c r="G42" s="23">
        <f t="shared" si="3"/>
        <v>15760</v>
      </c>
      <c r="H42" s="98"/>
    </row>
    <row r="43" spans="1:8" s="29" customFormat="1" ht="18" customHeight="1" x14ac:dyDescent="0.2">
      <c r="A43" s="67">
        <f>IF(D43=0,"",1+MAX(A$7:A42))</f>
        <v>31</v>
      </c>
      <c r="B43" s="100"/>
      <c r="C43" s="27" t="s">
        <v>39</v>
      </c>
      <c r="D43" s="86">
        <v>14224</v>
      </c>
      <c r="E43" s="28" t="s">
        <v>40</v>
      </c>
      <c r="F43" s="23">
        <v>3</v>
      </c>
      <c r="G43" s="23">
        <f t="shared" si="3"/>
        <v>42672</v>
      </c>
      <c r="H43" s="98"/>
    </row>
    <row r="44" spans="1:8" s="29" customFormat="1" ht="18" customHeight="1" x14ac:dyDescent="0.2">
      <c r="A44" s="67">
        <f>IF(D44=0,"",1+MAX(A$7:A43))</f>
        <v>32</v>
      </c>
      <c r="B44" s="100"/>
      <c r="C44" s="27" t="s">
        <v>41</v>
      </c>
      <c r="D44" s="86">
        <v>14224</v>
      </c>
      <c r="E44" s="28" t="s">
        <v>40</v>
      </c>
      <c r="F44" s="23">
        <v>6</v>
      </c>
      <c r="G44" s="23">
        <f t="shared" si="3"/>
        <v>85344</v>
      </c>
      <c r="H44" s="98"/>
    </row>
    <row r="45" spans="1:8" s="29" customFormat="1" ht="18" customHeight="1" x14ac:dyDescent="0.2">
      <c r="A45" s="67">
        <f>IF(D45=0,"",1+MAX(A$7:A44))</f>
        <v>33</v>
      </c>
      <c r="B45" s="100"/>
      <c r="C45" s="27" t="s">
        <v>42</v>
      </c>
      <c r="D45" s="86">
        <v>14224</v>
      </c>
      <c r="E45" s="28" t="s">
        <v>40</v>
      </c>
      <c r="F45" s="90">
        <v>1.1000000000000001</v>
      </c>
      <c r="G45" s="23">
        <f t="shared" si="3"/>
        <v>15646.400000000001</v>
      </c>
      <c r="H45" s="98"/>
    </row>
    <row r="46" spans="1:8" s="29" customFormat="1" ht="18" customHeight="1" x14ac:dyDescent="0.2">
      <c r="A46" s="67">
        <f>IF(D46=0,"",1+MAX(A$7:A45))</f>
        <v>34</v>
      </c>
      <c r="B46" s="101"/>
      <c r="C46" s="24" t="s">
        <v>43</v>
      </c>
      <c r="D46" s="86">
        <v>14224</v>
      </c>
      <c r="E46" s="28" t="s">
        <v>40</v>
      </c>
      <c r="F46" s="90">
        <v>1.5</v>
      </c>
      <c r="G46" s="23">
        <f t="shared" si="3"/>
        <v>21336</v>
      </c>
      <c r="H46" s="98"/>
    </row>
    <row r="47" spans="1:8" s="29" customFormat="1" ht="18" customHeight="1" x14ac:dyDescent="0.2">
      <c r="A47" s="67" t="str">
        <f>IF(D47=0,"",1+MAX(A$7:A46))</f>
        <v/>
      </c>
      <c r="B47" s="64"/>
      <c r="C47" s="9" t="s">
        <v>20</v>
      </c>
      <c r="D47" s="8"/>
      <c r="E47" s="4"/>
      <c r="F47" s="90"/>
      <c r="G47" s="23" t="str">
        <f t="shared" si="3"/>
        <v/>
      </c>
      <c r="H47" s="65">
        <f>(SUM(G18:G47))</f>
        <v>253459.24</v>
      </c>
    </row>
    <row r="48" spans="1:8" s="29" customFormat="1" ht="18" customHeight="1" thickBot="1" x14ac:dyDescent="0.25">
      <c r="A48" s="31"/>
      <c r="B48" s="33"/>
      <c r="C48" s="7"/>
      <c r="D48" s="21"/>
      <c r="E48" s="21"/>
      <c r="F48" s="22"/>
      <c r="G48" s="22"/>
      <c r="H48" s="32"/>
    </row>
    <row r="49" spans="1:8" s="29" customFormat="1" ht="18" customHeight="1" x14ac:dyDescent="0.2">
      <c r="A49" s="79"/>
      <c r="B49" s="80" t="s">
        <v>18</v>
      </c>
      <c r="C49" s="17"/>
      <c r="D49" s="18"/>
      <c r="E49" s="18"/>
      <c r="F49" s="17"/>
      <c r="G49" s="17"/>
      <c r="H49" s="87">
        <f>SUM(H8:H48)</f>
        <v>253459.24</v>
      </c>
    </row>
    <row r="50" spans="1:8" s="29" customFormat="1" ht="18" customHeight="1" x14ac:dyDescent="0.2">
      <c r="A50" s="77"/>
      <c r="B50" s="78" t="s">
        <v>30</v>
      </c>
      <c r="C50" s="11"/>
      <c r="D50" s="72">
        <v>0.2</v>
      </c>
      <c r="E50" s="14"/>
      <c r="F50" s="10"/>
      <c r="G50" s="10"/>
      <c r="H50" s="88">
        <f>(H49*D50)</f>
        <v>50691.847999999998</v>
      </c>
    </row>
    <row r="51" spans="1:8" s="29" customFormat="1" ht="18" customHeight="1" x14ac:dyDescent="0.2">
      <c r="A51" s="77"/>
      <c r="B51" s="78" t="s">
        <v>10</v>
      </c>
      <c r="C51" s="11"/>
      <c r="D51" s="72">
        <v>0.03</v>
      </c>
      <c r="E51" s="15"/>
      <c r="F51" s="12"/>
      <c r="G51" s="12"/>
      <c r="H51" s="88">
        <f>(H49*D51)</f>
        <v>7603.7771999999995</v>
      </c>
    </row>
    <row r="52" spans="1:8" s="29" customFormat="1" ht="18" customHeight="1" x14ac:dyDescent="0.2">
      <c r="A52" s="77"/>
      <c r="B52" s="78" t="s">
        <v>12</v>
      </c>
      <c r="C52" s="11"/>
      <c r="D52" s="72">
        <v>7.0000000000000007E-2</v>
      </c>
      <c r="E52" s="16"/>
      <c r="F52" s="13"/>
      <c r="G52" s="13"/>
      <c r="H52" s="88">
        <f>(H49*D52)</f>
        <v>17742.146800000002</v>
      </c>
    </row>
    <row r="53" spans="1:8" ht="24" customHeight="1" thickBot="1" x14ac:dyDescent="0.25">
      <c r="A53" s="102" t="s">
        <v>11</v>
      </c>
      <c r="B53" s="103"/>
      <c r="C53" s="19"/>
      <c r="D53" s="20"/>
      <c r="E53" s="20"/>
      <c r="F53" s="19"/>
      <c r="G53" s="19"/>
      <c r="H53" s="89">
        <f>SUM(H49:H52)</f>
        <v>329497.01199999999</v>
      </c>
    </row>
    <row r="54" spans="1:8" s="29" customFormat="1" ht="18" customHeight="1" thickBot="1" x14ac:dyDescent="0.25">
      <c r="A54" s="104" t="s">
        <v>15</v>
      </c>
      <c r="B54" s="105"/>
      <c r="C54" s="51"/>
      <c r="D54" s="52"/>
      <c r="E54" s="52"/>
      <c r="F54" s="51"/>
      <c r="G54" s="51"/>
      <c r="H54" s="53"/>
    </row>
    <row r="55" spans="1:8" s="29" customFormat="1" ht="18" customHeight="1" x14ac:dyDescent="0.2">
      <c r="A55" s="54" t="s">
        <v>115</v>
      </c>
      <c r="B55" s="93" t="s">
        <v>116</v>
      </c>
      <c r="C55" s="93"/>
      <c r="D55" s="52"/>
      <c r="E55" s="52"/>
      <c r="F55" s="51"/>
      <c r="G55" s="51"/>
      <c r="H55" s="53"/>
    </row>
    <row r="56" spans="1:8" s="29" customFormat="1" ht="18" customHeight="1" thickBot="1" x14ac:dyDescent="0.25">
      <c r="A56" s="55"/>
      <c r="B56" s="56"/>
      <c r="C56" s="57"/>
      <c r="D56" s="58"/>
      <c r="E56" s="58"/>
      <c r="F56" s="57"/>
      <c r="G56" s="57"/>
      <c r="H56" s="59"/>
    </row>
  </sheetData>
  <mergeCells count="12">
    <mergeCell ref="B55:C55"/>
    <mergeCell ref="A7:B7"/>
    <mergeCell ref="D7:H7"/>
    <mergeCell ref="B8:B14"/>
    <mergeCell ref="H8:H14"/>
    <mergeCell ref="A17:B17"/>
    <mergeCell ref="D17:H17"/>
    <mergeCell ref="H18:H46"/>
    <mergeCell ref="B19:B29"/>
    <mergeCell ref="B31:B46"/>
    <mergeCell ref="A53:B53"/>
    <mergeCell ref="A54:B54"/>
  </mergeCells>
  <printOptions horizontalCentered="1"/>
  <pageMargins left="0" right="0" top="0" bottom="0.17" header="0" footer="0"/>
  <pageSetup paperSize="9" scale="67" fitToHeight="0" orientation="portrait" r:id="rId1"/>
  <headerFooter scaleWithDoc="0"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F00"/>
    <pageSetUpPr fitToPage="1"/>
  </sheetPr>
  <dimension ref="A1:H57"/>
  <sheetViews>
    <sheetView showGridLines="0" zoomScaleNormal="100" zoomScaleSheetLayoutView="100" workbookViewId="0">
      <selection activeCell="C2" sqref="C2"/>
    </sheetView>
  </sheetViews>
  <sheetFormatPr baseColWidth="10" defaultColWidth="9.1640625" defaultRowHeight="15" x14ac:dyDescent="0.2"/>
  <cols>
    <col min="1" max="1" width="7" style="1" customWidth="1"/>
    <col min="2" max="2" width="12.1640625" style="34" customWidth="1"/>
    <col min="3" max="3" width="62.6640625" style="1" customWidth="1"/>
    <col min="4" max="4" width="11.6640625" style="5" customWidth="1"/>
    <col min="5" max="5" width="8.5" style="5" customWidth="1"/>
    <col min="6" max="6" width="15.33203125" style="1" customWidth="1"/>
    <col min="7" max="7" width="14.83203125" style="1" customWidth="1"/>
    <col min="8" max="8" width="16.1640625" style="1" customWidth="1"/>
    <col min="9" max="16384" width="9.1640625" style="1"/>
  </cols>
  <sheetData>
    <row r="1" spans="1:8" ht="18" customHeight="1" x14ac:dyDescent="0.2">
      <c r="A1" s="35"/>
      <c r="B1" s="36"/>
      <c r="C1" s="61"/>
      <c r="D1" s="37"/>
      <c r="E1" s="47"/>
      <c r="F1" s="62" t="s">
        <v>25</v>
      </c>
      <c r="G1" s="48"/>
      <c r="H1" s="38"/>
    </row>
    <row r="2" spans="1:8" ht="18" customHeight="1" x14ac:dyDescent="0.2">
      <c r="A2" s="68" t="s">
        <v>27</v>
      </c>
      <c r="B2" s="69"/>
      <c r="C2" s="74"/>
      <c r="D2" s="42"/>
      <c r="E2" s="44"/>
      <c r="F2" s="49" t="s">
        <v>16</v>
      </c>
      <c r="G2" s="50"/>
      <c r="H2" s="43"/>
    </row>
    <row r="3" spans="1:8" ht="18" customHeight="1" x14ac:dyDescent="0.2">
      <c r="A3" s="39"/>
      <c r="B3" s="40"/>
      <c r="C3" s="41"/>
      <c r="D3" s="42"/>
      <c r="E3" s="44"/>
      <c r="F3" s="49" t="s">
        <v>22</v>
      </c>
      <c r="G3" s="50"/>
      <c r="H3" s="43"/>
    </row>
    <row r="4" spans="1:8" ht="18" customHeight="1" x14ac:dyDescent="0.2">
      <c r="A4" s="63" t="s">
        <v>26</v>
      </c>
      <c r="B4" s="49"/>
      <c r="C4" s="75" t="s">
        <v>31</v>
      </c>
      <c r="D4" s="42"/>
      <c r="E4" s="44"/>
      <c r="F4" s="49" t="s">
        <v>23</v>
      </c>
      <c r="G4" s="50"/>
      <c r="H4" s="43"/>
    </row>
    <row r="5" spans="1:8" ht="18" customHeight="1" x14ac:dyDescent="0.2">
      <c r="A5" s="66"/>
      <c r="D5" s="45"/>
      <c r="E5" s="44"/>
      <c r="F5" s="49" t="s">
        <v>56</v>
      </c>
      <c r="G5" s="81"/>
      <c r="H5" s="46"/>
    </row>
    <row r="6" spans="1:8" ht="21" customHeight="1" x14ac:dyDescent="0.2">
      <c r="A6" s="73" t="s">
        <v>0</v>
      </c>
      <c r="B6" s="76" t="s">
        <v>1</v>
      </c>
      <c r="C6" s="76" t="s">
        <v>2</v>
      </c>
      <c r="D6" s="76" t="s">
        <v>3</v>
      </c>
      <c r="E6" s="76" t="s">
        <v>4</v>
      </c>
      <c r="F6" s="70" t="s">
        <v>28</v>
      </c>
      <c r="G6" s="70" t="s">
        <v>29</v>
      </c>
      <c r="H6" s="71" t="s">
        <v>32</v>
      </c>
    </row>
    <row r="7" spans="1:8" s="29" customFormat="1" ht="18" customHeight="1" x14ac:dyDescent="0.2">
      <c r="A7" s="94"/>
      <c r="B7" s="95"/>
      <c r="C7" s="25" t="s">
        <v>5</v>
      </c>
      <c r="D7" s="95"/>
      <c r="E7" s="95"/>
      <c r="F7" s="95"/>
      <c r="G7" s="95"/>
      <c r="H7" s="96"/>
    </row>
    <row r="8" spans="1:8" s="29" customFormat="1" ht="18" customHeight="1" x14ac:dyDescent="0.2">
      <c r="A8" s="30">
        <v>1</v>
      </c>
      <c r="B8" s="97"/>
      <c r="C8" s="2" t="s">
        <v>6</v>
      </c>
      <c r="D8" s="6">
        <v>1</v>
      </c>
      <c r="E8" s="6" t="s">
        <v>14</v>
      </c>
      <c r="F8" s="23">
        <f t="shared" ref="F8:F14" si="0">IF(D8=0,"",0)</f>
        <v>0</v>
      </c>
      <c r="G8" s="23">
        <f>IF(F8="","",D8*F8)</f>
        <v>0</v>
      </c>
      <c r="H8" s="98"/>
    </row>
    <row r="9" spans="1:8" s="29" customFormat="1" ht="18" customHeight="1" x14ac:dyDescent="0.2">
      <c r="A9" s="60">
        <f>IF(D9=0,"",1+MAX(A$8:A8))</f>
        <v>2</v>
      </c>
      <c r="B9" s="97"/>
      <c r="C9" s="27" t="s">
        <v>13</v>
      </c>
      <c r="D9" s="28">
        <v>1</v>
      </c>
      <c r="E9" s="28" t="s">
        <v>14</v>
      </c>
      <c r="F9" s="26">
        <f t="shared" si="0"/>
        <v>0</v>
      </c>
      <c r="G9" s="26">
        <f t="shared" ref="G9:G14" si="1">IF(F9="","",D9*F9)</f>
        <v>0</v>
      </c>
      <c r="H9" s="98"/>
    </row>
    <row r="10" spans="1:8" s="29" customFormat="1" ht="18" customHeight="1" x14ac:dyDescent="0.2">
      <c r="A10" s="60">
        <f>IF(D10=0,"",1+MAX(A$8:A9))</f>
        <v>3</v>
      </c>
      <c r="B10" s="97"/>
      <c r="C10" s="27" t="s">
        <v>21</v>
      </c>
      <c r="D10" s="28">
        <v>1</v>
      </c>
      <c r="E10" s="28" t="s">
        <v>14</v>
      </c>
      <c r="F10" s="26">
        <f t="shared" si="0"/>
        <v>0</v>
      </c>
      <c r="G10" s="26">
        <f t="shared" si="1"/>
        <v>0</v>
      </c>
      <c r="H10" s="98"/>
    </row>
    <row r="11" spans="1:8" s="29" customFormat="1" ht="18" customHeight="1" x14ac:dyDescent="0.2">
      <c r="A11" s="60">
        <f>IF(D11=0,"",1+MAX(A$8:A10))</f>
        <v>4</v>
      </c>
      <c r="B11" s="97"/>
      <c r="C11" s="27" t="s">
        <v>7</v>
      </c>
      <c r="D11" s="28">
        <v>1</v>
      </c>
      <c r="E11" s="28" t="s">
        <v>14</v>
      </c>
      <c r="F11" s="26">
        <f t="shared" si="0"/>
        <v>0</v>
      </c>
      <c r="G11" s="26">
        <f t="shared" si="1"/>
        <v>0</v>
      </c>
      <c r="H11" s="98"/>
    </row>
    <row r="12" spans="1:8" s="29" customFormat="1" ht="18" customHeight="1" x14ac:dyDescent="0.2">
      <c r="A12" s="60">
        <f>IF(D12=0,"",1+MAX(A$8:A11))</f>
        <v>5</v>
      </c>
      <c r="B12" s="97"/>
      <c r="C12" s="27" t="s">
        <v>8</v>
      </c>
      <c r="D12" s="28">
        <v>1</v>
      </c>
      <c r="E12" s="28" t="s">
        <v>14</v>
      </c>
      <c r="F12" s="26">
        <f t="shared" si="0"/>
        <v>0</v>
      </c>
      <c r="G12" s="26">
        <f t="shared" si="1"/>
        <v>0</v>
      </c>
      <c r="H12" s="98"/>
    </row>
    <row r="13" spans="1:8" s="29" customFormat="1" ht="18" customHeight="1" x14ac:dyDescent="0.2">
      <c r="A13" s="60">
        <f>IF(D13=0,"",1+MAX(A$8:A12))</f>
        <v>6</v>
      </c>
      <c r="B13" s="97"/>
      <c r="C13" s="27" t="s">
        <v>9</v>
      </c>
      <c r="D13" s="28">
        <v>1</v>
      </c>
      <c r="E13" s="28" t="s">
        <v>14</v>
      </c>
      <c r="F13" s="26">
        <f t="shared" si="0"/>
        <v>0</v>
      </c>
      <c r="G13" s="26">
        <f t="shared" si="1"/>
        <v>0</v>
      </c>
      <c r="H13" s="98"/>
    </row>
    <row r="14" spans="1:8" s="29" customFormat="1" ht="18" customHeight="1" x14ac:dyDescent="0.2">
      <c r="A14" s="60">
        <f>IF(D14=0,"",1+MAX(A$8:A13))</f>
        <v>7</v>
      </c>
      <c r="B14" s="97"/>
      <c r="C14" s="24" t="s">
        <v>24</v>
      </c>
      <c r="D14" s="28">
        <v>1</v>
      </c>
      <c r="E14" s="6" t="s">
        <v>14</v>
      </c>
      <c r="F14" s="26">
        <f t="shared" si="0"/>
        <v>0</v>
      </c>
      <c r="G14" s="26">
        <f t="shared" si="1"/>
        <v>0</v>
      </c>
      <c r="H14" s="98"/>
    </row>
    <row r="15" spans="1:8" s="29" customFormat="1" ht="18" customHeight="1" x14ac:dyDescent="0.2">
      <c r="A15" s="60" t="str">
        <f>IF(D15=0,"",1+MAX(A5:A14))</f>
        <v/>
      </c>
      <c r="B15" s="64"/>
      <c r="C15" s="9" t="s">
        <v>17</v>
      </c>
      <c r="D15" s="8"/>
      <c r="E15" s="4"/>
      <c r="F15" s="3"/>
      <c r="G15" s="23"/>
      <c r="H15" s="65">
        <f>(SUM(G8:G15))</f>
        <v>0</v>
      </c>
    </row>
    <row r="16" spans="1:8" s="29" customFormat="1" ht="18" customHeight="1" x14ac:dyDescent="0.2">
      <c r="A16" s="31"/>
      <c r="B16" s="33"/>
      <c r="C16" s="7"/>
      <c r="D16" s="21"/>
      <c r="E16" s="21"/>
      <c r="F16" s="22"/>
      <c r="G16" s="22"/>
      <c r="H16" s="32"/>
    </row>
    <row r="17" spans="1:8" s="29" customFormat="1" ht="18" customHeight="1" x14ac:dyDescent="0.2">
      <c r="A17" s="94"/>
      <c r="B17" s="95"/>
      <c r="C17" s="25" t="s">
        <v>19</v>
      </c>
      <c r="D17" s="95"/>
      <c r="E17" s="95"/>
      <c r="F17" s="95"/>
      <c r="G17" s="95"/>
      <c r="H17" s="96"/>
    </row>
    <row r="18" spans="1:8" s="29" customFormat="1" ht="18" customHeight="1" x14ac:dyDescent="0.2">
      <c r="A18" s="67" t="str">
        <f>IF(D18=0,"",1+MAX(A$7:A17))</f>
        <v/>
      </c>
      <c r="B18" s="84" t="s">
        <v>33</v>
      </c>
      <c r="C18" s="84" t="s">
        <v>34</v>
      </c>
      <c r="D18" s="6"/>
      <c r="E18" s="6"/>
      <c r="F18" s="23" t="str">
        <f t="shared" ref="F18:F48" si="2">IF(D18=0,"",0)</f>
        <v/>
      </c>
      <c r="G18" s="23" t="str">
        <f t="shared" ref="G18:G48" si="3">IF(F18="","",D18*F18)</f>
        <v/>
      </c>
      <c r="H18" s="98"/>
    </row>
    <row r="19" spans="1:8" s="29" customFormat="1" ht="18" customHeight="1" x14ac:dyDescent="0.2">
      <c r="A19" s="67">
        <f>IF(D19=0,"",1+MAX(A$7:A18))</f>
        <v>8</v>
      </c>
      <c r="B19" s="99"/>
      <c r="C19" s="27" t="s">
        <v>57</v>
      </c>
      <c r="D19" s="86">
        <f>8*10.66</f>
        <v>85.28</v>
      </c>
      <c r="E19" s="28" t="s">
        <v>35</v>
      </c>
      <c r="F19" s="23">
        <v>6</v>
      </c>
      <c r="G19" s="23">
        <f t="shared" si="3"/>
        <v>511.68</v>
      </c>
      <c r="H19" s="98"/>
    </row>
    <row r="20" spans="1:8" s="29" customFormat="1" ht="18" customHeight="1" x14ac:dyDescent="0.2">
      <c r="A20" s="67">
        <f>IF(D20=0,"",1+MAX(A$7:A19))</f>
        <v>9</v>
      </c>
      <c r="B20" s="100"/>
      <c r="C20" s="27" t="s">
        <v>36</v>
      </c>
      <c r="D20" s="86">
        <v>39.92</v>
      </c>
      <c r="E20" s="28" t="s">
        <v>35</v>
      </c>
      <c r="F20" s="23">
        <v>7</v>
      </c>
      <c r="G20" s="23">
        <f t="shared" si="3"/>
        <v>279.44</v>
      </c>
      <c r="H20" s="98"/>
    </row>
    <row r="21" spans="1:8" s="29" customFormat="1" ht="18" customHeight="1" x14ac:dyDescent="0.2">
      <c r="A21" s="67">
        <f>IF(D21=0,"",1+MAX(A$7:A20))</f>
        <v>10</v>
      </c>
      <c r="B21" s="100"/>
      <c r="C21" s="27" t="s">
        <v>37</v>
      </c>
      <c r="D21" s="86">
        <v>39.92</v>
      </c>
      <c r="E21" s="28" t="s">
        <v>35</v>
      </c>
      <c r="F21" s="23">
        <v>3</v>
      </c>
      <c r="G21" s="23">
        <f t="shared" si="3"/>
        <v>119.76</v>
      </c>
      <c r="H21" s="98"/>
    </row>
    <row r="22" spans="1:8" s="29" customFormat="1" ht="18" customHeight="1" x14ac:dyDescent="0.2">
      <c r="A22" s="67">
        <f>IF(D22=0,"",1+MAX(A$7:A21))</f>
        <v>11</v>
      </c>
      <c r="B22" s="100"/>
      <c r="C22" s="27" t="s">
        <v>53</v>
      </c>
      <c r="D22" s="86">
        <v>105</v>
      </c>
      <c r="E22" s="28" t="s">
        <v>35</v>
      </c>
      <c r="F22" s="23">
        <v>2</v>
      </c>
      <c r="G22" s="23">
        <f t="shared" si="3"/>
        <v>210</v>
      </c>
      <c r="H22" s="98"/>
    </row>
    <row r="23" spans="1:8" s="29" customFormat="1" ht="18" customHeight="1" x14ac:dyDescent="0.2">
      <c r="A23" s="67">
        <f>IF(D23=0,"",1+MAX(A$7:A22))</f>
        <v>12</v>
      </c>
      <c r="B23" s="100"/>
      <c r="C23" s="27" t="s">
        <v>38</v>
      </c>
      <c r="D23" s="86">
        <v>105</v>
      </c>
      <c r="E23" s="28" t="s">
        <v>35</v>
      </c>
      <c r="F23" s="23">
        <v>5</v>
      </c>
      <c r="G23" s="23">
        <f t="shared" si="3"/>
        <v>525</v>
      </c>
      <c r="H23" s="98"/>
    </row>
    <row r="24" spans="1:8" s="29" customFormat="1" ht="18" customHeight="1" x14ac:dyDescent="0.2">
      <c r="A24" s="67">
        <f>IF(D24=0,"",1+MAX(A$7:A23))</f>
        <v>13</v>
      </c>
      <c r="B24" s="100"/>
      <c r="C24" s="27" t="s">
        <v>61</v>
      </c>
      <c r="D24" s="86">
        <f>36.91*2</f>
        <v>73.819999999999993</v>
      </c>
      <c r="E24" s="28" t="s">
        <v>35</v>
      </c>
      <c r="F24" s="23">
        <v>8</v>
      </c>
      <c r="G24" s="23">
        <f t="shared" si="3"/>
        <v>590.55999999999995</v>
      </c>
      <c r="H24" s="98"/>
    </row>
    <row r="25" spans="1:8" s="29" customFormat="1" ht="18" customHeight="1" x14ac:dyDescent="0.2">
      <c r="A25" s="67">
        <f>IF(D25=0,"",1+MAX(A$7:A24))</f>
        <v>14</v>
      </c>
      <c r="B25" s="100"/>
      <c r="C25" s="27" t="s">
        <v>60</v>
      </c>
      <c r="D25" s="86">
        <v>52</v>
      </c>
      <c r="E25" s="28" t="s">
        <v>35</v>
      </c>
      <c r="F25" s="23">
        <v>9</v>
      </c>
      <c r="G25" s="23">
        <f t="shared" si="3"/>
        <v>468</v>
      </c>
      <c r="H25" s="98"/>
    </row>
    <row r="26" spans="1:8" s="29" customFormat="1" ht="18" customHeight="1" x14ac:dyDescent="0.2">
      <c r="A26" s="67">
        <f>IF(D26=0,"",1+MAX(A$7:A25))</f>
        <v>15</v>
      </c>
      <c r="B26" s="100"/>
      <c r="C26" s="27" t="s">
        <v>39</v>
      </c>
      <c r="D26" s="86">
        <v>645.46</v>
      </c>
      <c r="E26" s="28" t="s">
        <v>40</v>
      </c>
      <c r="F26" s="23">
        <v>3</v>
      </c>
      <c r="G26" s="23">
        <f t="shared" si="3"/>
        <v>1936.38</v>
      </c>
      <c r="H26" s="98"/>
    </row>
    <row r="27" spans="1:8" s="29" customFormat="1" ht="18" customHeight="1" x14ac:dyDescent="0.2">
      <c r="A27" s="67">
        <f>IF(D27=0,"",1+MAX(A$7:A26))</f>
        <v>16</v>
      </c>
      <c r="B27" s="100"/>
      <c r="C27" s="27" t="s">
        <v>41</v>
      </c>
      <c r="D27" s="86">
        <v>645.46</v>
      </c>
      <c r="E27" s="28" t="s">
        <v>40</v>
      </c>
      <c r="F27" s="23">
        <v>6</v>
      </c>
      <c r="G27" s="23">
        <f t="shared" si="3"/>
        <v>3872.76</v>
      </c>
      <c r="H27" s="98"/>
    </row>
    <row r="28" spans="1:8" s="29" customFormat="1" ht="18" customHeight="1" x14ac:dyDescent="0.2">
      <c r="A28" s="67">
        <f>IF(D28=0,"",1+MAX(A$7:A27))</f>
        <v>17</v>
      </c>
      <c r="B28" s="100"/>
      <c r="C28" s="27" t="s">
        <v>42</v>
      </c>
      <c r="D28" s="86">
        <v>645.46</v>
      </c>
      <c r="E28" s="28" t="s">
        <v>40</v>
      </c>
      <c r="F28" s="90">
        <v>1.1000000000000001</v>
      </c>
      <c r="G28" s="23">
        <f t="shared" si="3"/>
        <v>710.00600000000009</v>
      </c>
      <c r="H28" s="98"/>
    </row>
    <row r="29" spans="1:8" s="29" customFormat="1" ht="18" customHeight="1" x14ac:dyDescent="0.2">
      <c r="A29" s="67">
        <f>IF(D29=0,"",1+MAX(A$7:A28))</f>
        <v>18</v>
      </c>
      <c r="B29" s="101"/>
      <c r="C29" s="27" t="s">
        <v>43</v>
      </c>
      <c r="D29" s="86">
        <v>645.46</v>
      </c>
      <c r="E29" s="28" t="s">
        <v>40</v>
      </c>
      <c r="F29" s="90">
        <v>1.5</v>
      </c>
      <c r="G29" s="23">
        <f t="shared" si="3"/>
        <v>968.19</v>
      </c>
      <c r="H29" s="98"/>
    </row>
    <row r="30" spans="1:8" s="29" customFormat="1" ht="18" customHeight="1" x14ac:dyDescent="0.2">
      <c r="A30" s="67" t="str">
        <f>IF(D30=0,"",1+MAX(A$7:A29))</f>
        <v/>
      </c>
      <c r="B30" s="83" t="s">
        <v>44</v>
      </c>
      <c r="C30" s="83" t="s">
        <v>45</v>
      </c>
      <c r="D30" s="86"/>
      <c r="E30" s="28"/>
      <c r="F30" s="23" t="str">
        <f t="shared" ref="F30" si="4">IF(D30=0,"",0)</f>
        <v/>
      </c>
      <c r="G30" s="23" t="str">
        <f t="shared" si="3"/>
        <v/>
      </c>
      <c r="H30" s="98"/>
    </row>
    <row r="31" spans="1:8" s="29" customFormat="1" ht="18" customHeight="1" x14ac:dyDescent="0.2">
      <c r="A31" s="67">
        <f>IF(D31=0,"",1+MAX(A$7:A30))</f>
        <v>19</v>
      </c>
      <c r="B31" s="99"/>
      <c r="C31" s="27" t="s">
        <v>54</v>
      </c>
      <c r="D31" s="86">
        <f>22*30.33</f>
        <v>667.26</v>
      </c>
      <c r="E31" s="28" t="s">
        <v>35</v>
      </c>
      <c r="F31" s="23">
        <v>6</v>
      </c>
      <c r="G31" s="23">
        <f t="shared" si="3"/>
        <v>4003.56</v>
      </c>
      <c r="H31" s="98"/>
    </row>
    <row r="32" spans="1:8" s="29" customFormat="1" ht="18" customHeight="1" x14ac:dyDescent="0.2">
      <c r="A32" s="67">
        <f>IF(D32=0,"",1+MAX(A$7:A31))</f>
        <v>20</v>
      </c>
      <c r="B32" s="100"/>
      <c r="C32" s="27" t="s">
        <v>55</v>
      </c>
      <c r="D32" s="86">
        <v>16</v>
      </c>
      <c r="E32" s="28" t="s">
        <v>46</v>
      </c>
      <c r="F32" s="23">
        <v>300</v>
      </c>
      <c r="G32" s="23">
        <f t="shared" si="3"/>
        <v>4800</v>
      </c>
      <c r="H32" s="98"/>
    </row>
    <row r="33" spans="1:8" s="29" customFormat="1" ht="18" customHeight="1" x14ac:dyDescent="0.2">
      <c r="A33" s="67">
        <f>IF(D33=0,"",1+MAX(A$7:A32))</f>
        <v>21</v>
      </c>
      <c r="B33" s="100"/>
      <c r="C33" s="27" t="s">
        <v>47</v>
      </c>
      <c r="D33" s="86">
        <v>63.56</v>
      </c>
      <c r="E33" s="28" t="s">
        <v>35</v>
      </c>
      <c r="F33" s="23">
        <v>5</v>
      </c>
      <c r="G33" s="23">
        <f t="shared" si="3"/>
        <v>317.8</v>
      </c>
      <c r="H33" s="98"/>
    </row>
    <row r="34" spans="1:8" s="29" customFormat="1" ht="18" customHeight="1" x14ac:dyDescent="0.2">
      <c r="A34" s="67">
        <f>IF(D34=0,"",1+MAX(A$7:A33))</f>
        <v>22</v>
      </c>
      <c r="B34" s="100"/>
      <c r="C34" s="27" t="s">
        <v>36</v>
      </c>
      <c r="D34" s="86">
        <v>297.02</v>
      </c>
      <c r="E34" s="28" t="s">
        <v>35</v>
      </c>
      <c r="F34" s="23">
        <v>7</v>
      </c>
      <c r="G34" s="23">
        <f t="shared" si="3"/>
        <v>2079.14</v>
      </c>
      <c r="H34" s="98"/>
    </row>
    <row r="35" spans="1:8" s="29" customFormat="1" ht="18" customHeight="1" x14ac:dyDescent="0.2">
      <c r="A35" s="67">
        <f>IF(D35=0,"",1+MAX(A$7:A34))</f>
        <v>23</v>
      </c>
      <c r="B35" s="100"/>
      <c r="C35" s="27" t="s">
        <v>37</v>
      </c>
      <c r="D35" s="86">
        <v>297.02</v>
      </c>
      <c r="E35" s="28" t="s">
        <v>35</v>
      </c>
      <c r="F35" s="23">
        <v>3</v>
      </c>
      <c r="G35" s="23">
        <f t="shared" si="3"/>
        <v>891.06</v>
      </c>
      <c r="H35" s="98"/>
    </row>
    <row r="36" spans="1:8" s="29" customFormat="1" ht="18" customHeight="1" x14ac:dyDescent="0.2">
      <c r="A36" s="67">
        <f>IF(D36=0,"",1+MAX(A$7:A35))</f>
        <v>24</v>
      </c>
      <c r="B36" s="100"/>
      <c r="C36" s="27" t="s">
        <v>48</v>
      </c>
      <c r="D36" s="86">
        <f>297.02+157</f>
        <v>454.02</v>
      </c>
      <c r="E36" s="28" t="s">
        <v>35</v>
      </c>
      <c r="F36" s="23">
        <v>5</v>
      </c>
      <c r="G36" s="23">
        <f t="shared" si="3"/>
        <v>2270.1</v>
      </c>
      <c r="H36" s="98"/>
    </row>
    <row r="37" spans="1:8" s="29" customFormat="1" ht="18" customHeight="1" x14ac:dyDescent="0.2">
      <c r="A37" s="67">
        <f>IF(D37=0,"",1+MAX(A$7:A36))</f>
        <v>25</v>
      </c>
      <c r="B37" s="100"/>
      <c r="C37" s="27" t="s">
        <v>49</v>
      </c>
      <c r="D37" s="86">
        <v>297.02</v>
      </c>
      <c r="E37" s="28" t="s">
        <v>35</v>
      </c>
      <c r="F37" s="23">
        <v>4</v>
      </c>
      <c r="G37" s="23">
        <f t="shared" si="3"/>
        <v>1188.08</v>
      </c>
      <c r="H37" s="98"/>
    </row>
    <row r="38" spans="1:8" s="29" customFormat="1" ht="18" customHeight="1" x14ac:dyDescent="0.2">
      <c r="A38" s="67">
        <f>IF(D38=0,"",1+MAX(A$7:A37))</f>
        <v>26</v>
      </c>
      <c r="B38" s="100"/>
      <c r="C38" s="27" t="s">
        <v>53</v>
      </c>
      <c r="D38" s="86">
        <v>557</v>
      </c>
      <c r="E38" s="28" t="s">
        <v>35</v>
      </c>
      <c r="F38" s="23">
        <v>2</v>
      </c>
      <c r="G38" s="23">
        <f t="shared" si="3"/>
        <v>1114</v>
      </c>
      <c r="H38" s="98"/>
    </row>
    <row r="39" spans="1:8" s="29" customFormat="1" ht="18" customHeight="1" x14ac:dyDescent="0.2">
      <c r="A39" s="67">
        <f>IF(D39=0,"",1+MAX(A$7:A38))</f>
        <v>27</v>
      </c>
      <c r="B39" s="100"/>
      <c r="C39" s="27" t="s">
        <v>38</v>
      </c>
      <c r="D39" s="86">
        <v>157.78</v>
      </c>
      <c r="E39" s="28" t="s">
        <v>35</v>
      </c>
      <c r="F39" s="23">
        <v>5</v>
      </c>
      <c r="G39" s="23">
        <f t="shared" si="3"/>
        <v>788.9</v>
      </c>
      <c r="H39" s="98"/>
    </row>
    <row r="40" spans="1:8" s="29" customFormat="1" ht="18" customHeight="1" x14ac:dyDescent="0.2">
      <c r="A40" s="67">
        <f>IF(D40=0,"",1+MAX(A$7:A39))</f>
        <v>28</v>
      </c>
      <c r="B40" s="100"/>
      <c r="C40" s="27" t="s">
        <v>50</v>
      </c>
      <c r="D40" s="86">
        <v>102.87</v>
      </c>
      <c r="E40" s="28" t="s">
        <v>35</v>
      </c>
      <c r="F40" s="23">
        <v>6</v>
      </c>
      <c r="G40" s="23">
        <f t="shared" si="3"/>
        <v>617.22</v>
      </c>
      <c r="H40" s="98"/>
    </row>
    <row r="41" spans="1:8" s="29" customFormat="1" ht="18" customHeight="1" x14ac:dyDescent="0.2">
      <c r="A41" s="67">
        <f>IF(D41=0,"",1+MAX(A$7:A40))</f>
        <v>29</v>
      </c>
      <c r="B41" s="100"/>
      <c r="C41" s="27" t="s">
        <v>60</v>
      </c>
      <c r="D41" s="86">
        <v>307</v>
      </c>
      <c r="E41" s="28" t="s">
        <v>35</v>
      </c>
      <c r="F41" s="23">
        <v>9</v>
      </c>
      <c r="G41" s="23">
        <f t="shared" si="3"/>
        <v>2763</v>
      </c>
      <c r="H41" s="98"/>
    </row>
    <row r="42" spans="1:8" s="29" customFormat="1" ht="18" customHeight="1" x14ac:dyDescent="0.2">
      <c r="A42" s="67">
        <f>IF(D42=0,"",1+MAX(A$7:A41))</f>
        <v>30</v>
      </c>
      <c r="B42" s="100"/>
      <c r="C42" s="27" t="s">
        <v>51</v>
      </c>
      <c r="D42" s="86">
        <v>741.3</v>
      </c>
      <c r="E42" s="28" t="s">
        <v>40</v>
      </c>
      <c r="F42" s="23">
        <v>25</v>
      </c>
      <c r="G42" s="23">
        <f t="shared" si="3"/>
        <v>18532.5</v>
      </c>
      <c r="H42" s="98"/>
    </row>
    <row r="43" spans="1:8" s="29" customFormat="1" ht="18" customHeight="1" x14ac:dyDescent="0.2">
      <c r="A43" s="67">
        <f>IF(D43=0,"",1+MAX(A$7:A42))</f>
        <v>31</v>
      </c>
      <c r="B43" s="100"/>
      <c r="C43" s="27" t="s">
        <v>52</v>
      </c>
      <c r="D43" s="86">
        <v>508.3</v>
      </c>
      <c r="E43" s="28" t="s">
        <v>40</v>
      </c>
      <c r="F43" s="23">
        <v>20</v>
      </c>
      <c r="G43" s="23">
        <f t="shared" si="3"/>
        <v>10166</v>
      </c>
      <c r="H43" s="98"/>
    </row>
    <row r="44" spans="1:8" s="29" customFormat="1" ht="18" customHeight="1" x14ac:dyDescent="0.2">
      <c r="A44" s="67">
        <f>IF(D44=0,"",1+MAX(A$7:A43))</f>
        <v>32</v>
      </c>
      <c r="B44" s="100"/>
      <c r="C44" s="27" t="s">
        <v>39</v>
      </c>
      <c r="D44" s="86">
        <v>9944</v>
      </c>
      <c r="E44" s="28" t="s">
        <v>40</v>
      </c>
      <c r="F44" s="23">
        <v>3</v>
      </c>
      <c r="G44" s="23">
        <f t="shared" si="3"/>
        <v>29832</v>
      </c>
      <c r="H44" s="98"/>
    </row>
    <row r="45" spans="1:8" s="29" customFormat="1" ht="18" customHeight="1" x14ac:dyDescent="0.2">
      <c r="A45" s="67">
        <f>IF(D45=0,"",1+MAX(A$7:A44))</f>
        <v>33</v>
      </c>
      <c r="B45" s="100"/>
      <c r="C45" s="27" t="s">
        <v>41</v>
      </c>
      <c r="D45" s="86">
        <v>9944</v>
      </c>
      <c r="E45" s="28" t="s">
        <v>40</v>
      </c>
      <c r="F45" s="23">
        <v>6</v>
      </c>
      <c r="G45" s="23">
        <f t="shared" si="3"/>
        <v>59664</v>
      </c>
      <c r="H45" s="98"/>
    </row>
    <row r="46" spans="1:8" s="29" customFormat="1" ht="18" customHeight="1" x14ac:dyDescent="0.2">
      <c r="A46" s="67">
        <f>IF(D46=0,"",1+MAX(A$7:A45))</f>
        <v>34</v>
      </c>
      <c r="B46" s="100"/>
      <c r="C46" s="27" t="s">
        <v>42</v>
      </c>
      <c r="D46" s="86">
        <v>9944</v>
      </c>
      <c r="E46" s="28" t="s">
        <v>40</v>
      </c>
      <c r="F46" s="90">
        <v>1.1000000000000001</v>
      </c>
      <c r="G46" s="23">
        <f t="shared" si="3"/>
        <v>10938.400000000001</v>
      </c>
      <c r="H46" s="98"/>
    </row>
    <row r="47" spans="1:8" s="29" customFormat="1" ht="18" customHeight="1" x14ac:dyDescent="0.2">
      <c r="A47" s="67">
        <f>IF(D47=0,"",1+MAX(A$7:A46))</f>
        <v>35</v>
      </c>
      <c r="B47" s="101"/>
      <c r="C47" s="24" t="s">
        <v>43</v>
      </c>
      <c r="D47" s="86">
        <v>9944</v>
      </c>
      <c r="E47" s="28" t="s">
        <v>40</v>
      </c>
      <c r="F47" s="90">
        <v>1.5</v>
      </c>
      <c r="G47" s="23">
        <f t="shared" si="3"/>
        <v>14916</v>
      </c>
      <c r="H47" s="98"/>
    </row>
    <row r="48" spans="1:8" s="29" customFormat="1" ht="18" customHeight="1" x14ac:dyDescent="0.2">
      <c r="A48" s="67" t="str">
        <f>IF(D48=0,"",1+MAX(A$7:A47))</f>
        <v/>
      </c>
      <c r="B48" s="64"/>
      <c r="C48" s="9" t="s">
        <v>20</v>
      </c>
      <c r="D48" s="8"/>
      <c r="E48" s="4"/>
      <c r="F48" s="23" t="str">
        <f t="shared" si="2"/>
        <v/>
      </c>
      <c r="G48" s="23" t="str">
        <f t="shared" si="3"/>
        <v/>
      </c>
      <c r="H48" s="65">
        <f>(SUM(G18:G48))</f>
        <v>175073.53599999999</v>
      </c>
    </row>
    <row r="49" spans="1:8" s="29" customFormat="1" ht="18" customHeight="1" thickBot="1" x14ac:dyDescent="0.25">
      <c r="A49" s="31"/>
      <c r="B49" s="33"/>
      <c r="C49" s="7"/>
      <c r="D49" s="21"/>
      <c r="E49" s="21"/>
      <c r="F49" s="22"/>
      <c r="G49" s="22"/>
      <c r="H49" s="32"/>
    </row>
    <row r="50" spans="1:8" s="29" customFormat="1" ht="18" customHeight="1" x14ac:dyDescent="0.2">
      <c r="A50" s="79"/>
      <c r="B50" s="80" t="s">
        <v>18</v>
      </c>
      <c r="C50" s="17"/>
      <c r="D50" s="18"/>
      <c r="E50" s="18"/>
      <c r="F50" s="17"/>
      <c r="G50" s="17"/>
      <c r="H50" s="87">
        <f>SUM(H8:H49)</f>
        <v>175073.53599999999</v>
      </c>
    </row>
    <row r="51" spans="1:8" s="29" customFormat="1" ht="18" customHeight="1" x14ac:dyDescent="0.2">
      <c r="A51" s="77"/>
      <c r="B51" s="78" t="s">
        <v>30</v>
      </c>
      <c r="C51" s="11"/>
      <c r="D51" s="72">
        <v>0.2</v>
      </c>
      <c r="E51" s="14"/>
      <c r="F51" s="10"/>
      <c r="G51" s="10"/>
      <c r="H51" s="88">
        <f>(H50*D51)</f>
        <v>35014.707199999997</v>
      </c>
    </row>
    <row r="52" spans="1:8" s="29" customFormat="1" ht="18" customHeight="1" x14ac:dyDescent="0.2">
      <c r="A52" s="77"/>
      <c r="B52" s="78" t="s">
        <v>10</v>
      </c>
      <c r="C52" s="11"/>
      <c r="D52" s="72">
        <v>0.03</v>
      </c>
      <c r="E52" s="15"/>
      <c r="F52" s="12"/>
      <c r="G52" s="12"/>
      <c r="H52" s="88">
        <f>(H50*D52)</f>
        <v>5252.2060799999999</v>
      </c>
    </row>
    <row r="53" spans="1:8" s="29" customFormat="1" ht="18" customHeight="1" x14ac:dyDescent="0.2">
      <c r="A53" s="77"/>
      <c r="B53" s="78" t="s">
        <v>12</v>
      </c>
      <c r="C53" s="11"/>
      <c r="D53" s="72">
        <v>7.0000000000000007E-2</v>
      </c>
      <c r="E53" s="16"/>
      <c r="F53" s="13"/>
      <c r="G53" s="13"/>
      <c r="H53" s="88">
        <f>(H50*D53)</f>
        <v>12255.14752</v>
      </c>
    </row>
    <row r="54" spans="1:8" ht="24" customHeight="1" thickBot="1" x14ac:dyDescent="0.25">
      <c r="A54" s="102" t="s">
        <v>11</v>
      </c>
      <c r="B54" s="103"/>
      <c r="C54" s="19"/>
      <c r="D54" s="20"/>
      <c r="E54" s="20"/>
      <c r="F54" s="19"/>
      <c r="G54" s="19"/>
      <c r="H54" s="89">
        <f>SUM(H50:H53)</f>
        <v>227595.5968</v>
      </c>
    </row>
    <row r="55" spans="1:8" s="29" customFormat="1" ht="18" customHeight="1" thickBot="1" x14ac:dyDescent="0.25">
      <c r="A55" s="104" t="s">
        <v>15</v>
      </c>
      <c r="B55" s="105"/>
      <c r="C55" s="51"/>
      <c r="D55" s="52"/>
      <c r="E55" s="52"/>
      <c r="F55" s="51"/>
      <c r="G55" s="51"/>
      <c r="H55" s="53"/>
    </row>
    <row r="56" spans="1:8" s="29" customFormat="1" ht="18" customHeight="1" x14ac:dyDescent="0.2">
      <c r="A56" s="54" t="s">
        <v>115</v>
      </c>
      <c r="B56" s="93" t="s">
        <v>116</v>
      </c>
      <c r="C56" s="93"/>
      <c r="D56" s="52"/>
      <c r="E56" s="52"/>
      <c r="F56" s="51"/>
      <c r="G56" s="51"/>
      <c r="H56" s="53"/>
    </row>
    <row r="57" spans="1:8" s="29" customFormat="1" ht="18" customHeight="1" thickBot="1" x14ac:dyDescent="0.25">
      <c r="A57" s="55"/>
      <c r="B57" s="56"/>
      <c r="C57" s="57"/>
      <c r="D57" s="58"/>
      <c r="E57" s="58"/>
      <c r="F57" s="57"/>
      <c r="G57" s="57"/>
      <c r="H57" s="59"/>
    </row>
  </sheetData>
  <mergeCells count="12">
    <mergeCell ref="B56:C56"/>
    <mergeCell ref="A7:B7"/>
    <mergeCell ref="D7:H7"/>
    <mergeCell ref="B8:B14"/>
    <mergeCell ref="H8:H14"/>
    <mergeCell ref="A17:B17"/>
    <mergeCell ref="D17:H17"/>
    <mergeCell ref="H18:H47"/>
    <mergeCell ref="B19:B29"/>
    <mergeCell ref="B31:B47"/>
    <mergeCell ref="A54:B54"/>
    <mergeCell ref="A55:B55"/>
  </mergeCells>
  <printOptions horizontalCentered="1"/>
  <pageMargins left="0" right="0" top="0" bottom="0.17" header="0" footer="0"/>
  <pageSetup paperSize="9" scale="67" fitToHeight="0" orientation="portrait" r:id="rId1"/>
  <headerFooter scaleWithDoc="0"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F00"/>
    <pageSetUpPr fitToPage="1"/>
  </sheetPr>
  <dimension ref="A1:H56"/>
  <sheetViews>
    <sheetView showGridLines="0" zoomScaleNormal="100" zoomScaleSheetLayoutView="100" workbookViewId="0">
      <selection activeCell="C2" sqref="C2"/>
    </sheetView>
  </sheetViews>
  <sheetFormatPr baseColWidth="10" defaultColWidth="9.1640625" defaultRowHeight="15" x14ac:dyDescent="0.2"/>
  <cols>
    <col min="1" max="1" width="7" style="1" customWidth="1"/>
    <col min="2" max="2" width="12.1640625" style="34" customWidth="1"/>
    <col min="3" max="3" width="62.6640625" style="1" customWidth="1"/>
    <col min="4" max="4" width="11.6640625" style="5" customWidth="1"/>
    <col min="5" max="5" width="8.5" style="5" customWidth="1"/>
    <col min="6" max="6" width="15.33203125" style="1" customWidth="1"/>
    <col min="7" max="7" width="14.83203125" style="1" customWidth="1"/>
    <col min="8" max="8" width="16.1640625" style="1" customWidth="1"/>
    <col min="9" max="16384" width="9.1640625" style="1"/>
  </cols>
  <sheetData>
    <row r="1" spans="1:8" ht="18" customHeight="1" x14ac:dyDescent="0.2">
      <c r="A1" s="35"/>
      <c r="B1" s="36"/>
      <c r="C1" s="61"/>
      <c r="D1" s="37"/>
      <c r="E1" s="47"/>
      <c r="F1" s="62" t="s">
        <v>25</v>
      </c>
      <c r="G1" s="48"/>
      <c r="H1" s="38"/>
    </row>
    <row r="2" spans="1:8" ht="18" customHeight="1" x14ac:dyDescent="0.2">
      <c r="A2" s="68" t="s">
        <v>27</v>
      </c>
      <c r="B2" s="69"/>
      <c r="C2" s="74"/>
      <c r="D2" s="42"/>
      <c r="E2" s="44"/>
      <c r="F2" s="49" t="s">
        <v>16</v>
      </c>
      <c r="G2" s="50"/>
      <c r="H2" s="43"/>
    </row>
    <row r="3" spans="1:8" ht="18" customHeight="1" x14ac:dyDescent="0.2">
      <c r="A3" s="39"/>
      <c r="B3" s="40"/>
      <c r="C3" s="41"/>
      <c r="D3" s="42"/>
      <c r="E3" s="44"/>
      <c r="F3" s="49" t="s">
        <v>22</v>
      </c>
      <c r="G3" s="50"/>
      <c r="H3" s="43"/>
    </row>
    <row r="4" spans="1:8" ht="18" customHeight="1" x14ac:dyDescent="0.2">
      <c r="A4" s="63" t="s">
        <v>26</v>
      </c>
      <c r="B4" s="49"/>
      <c r="C4" s="75" t="s">
        <v>31</v>
      </c>
      <c r="D4" s="42"/>
      <c r="E4" s="44"/>
      <c r="F4" s="49" t="s">
        <v>23</v>
      </c>
      <c r="G4" s="50"/>
      <c r="H4" s="43"/>
    </row>
    <row r="5" spans="1:8" ht="18" customHeight="1" x14ac:dyDescent="0.2">
      <c r="A5" s="66"/>
      <c r="D5" s="45"/>
      <c r="E5" s="44"/>
      <c r="F5" s="49" t="s">
        <v>56</v>
      </c>
      <c r="G5" s="81"/>
      <c r="H5" s="46"/>
    </row>
    <row r="6" spans="1:8" ht="21" customHeight="1" x14ac:dyDescent="0.2">
      <c r="A6" s="73" t="s">
        <v>0</v>
      </c>
      <c r="B6" s="76" t="s">
        <v>1</v>
      </c>
      <c r="C6" s="76" t="s">
        <v>2</v>
      </c>
      <c r="D6" s="76" t="s">
        <v>3</v>
      </c>
      <c r="E6" s="76" t="s">
        <v>4</v>
      </c>
      <c r="F6" s="70" t="s">
        <v>28</v>
      </c>
      <c r="G6" s="70" t="s">
        <v>29</v>
      </c>
      <c r="H6" s="71" t="s">
        <v>32</v>
      </c>
    </row>
    <row r="7" spans="1:8" s="29" customFormat="1" ht="18" customHeight="1" x14ac:dyDescent="0.2">
      <c r="A7" s="94"/>
      <c r="B7" s="95"/>
      <c r="C7" s="25" t="s">
        <v>5</v>
      </c>
      <c r="D7" s="95"/>
      <c r="E7" s="95"/>
      <c r="F7" s="95"/>
      <c r="G7" s="95"/>
      <c r="H7" s="96"/>
    </row>
    <row r="8" spans="1:8" s="29" customFormat="1" ht="18" customHeight="1" x14ac:dyDescent="0.2">
      <c r="A8" s="30">
        <v>1</v>
      </c>
      <c r="B8" s="97"/>
      <c r="C8" s="2" t="s">
        <v>6</v>
      </c>
      <c r="D8" s="6">
        <v>1</v>
      </c>
      <c r="E8" s="6" t="s">
        <v>14</v>
      </c>
      <c r="F8" s="23">
        <f t="shared" ref="F8:F14" si="0">IF(D8=0,"",0)</f>
        <v>0</v>
      </c>
      <c r="G8" s="23">
        <f>IF(F8="","",D8*F8)</f>
        <v>0</v>
      </c>
      <c r="H8" s="98"/>
    </row>
    <row r="9" spans="1:8" s="29" customFormat="1" ht="18" customHeight="1" x14ac:dyDescent="0.2">
      <c r="A9" s="60">
        <f>IF(D9=0,"",1+MAX(A$8:A8))</f>
        <v>2</v>
      </c>
      <c r="B9" s="97"/>
      <c r="C9" s="27" t="s">
        <v>13</v>
      </c>
      <c r="D9" s="28">
        <v>1</v>
      </c>
      <c r="E9" s="28" t="s">
        <v>14</v>
      </c>
      <c r="F9" s="26">
        <f t="shared" si="0"/>
        <v>0</v>
      </c>
      <c r="G9" s="23">
        <f t="shared" ref="G9:G14" si="1">IF(F9="","",D9*F9)</f>
        <v>0</v>
      </c>
      <c r="H9" s="98"/>
    </row>
    <row r="10" spans="1:8" s="29" customFormat="1" ht="18" customHeight="1" x14ac:dyDescent="0.2">
      <c r="A10" s="60">
        <f>IF(D10=0,"",1+MAX(A$8:A9))</f>
        <v>3</v>
      </c>
      <c r="B10" s="97"/>
      <c r="C10" s="27" t="s">
        <v>21</v>
      </c>
      <c r="D10" s="28">
        <v>1</v>
      </c>
      <c r="E10" s="28" t="s">
        <v>14</v>
      </c>
      <c r="F10" s="26">
        <f t="shared" si="0"/>
        <v>0</v>
      </c>
      <c r="G10" s="23">
        <f t="shared" si="1"/>
        <v>0</v>
      </c>
      <c r="H10" s="98"/>
    </row>
    <row r="11" spans="1:8" s="29" customFormat="1" ht="18" customHeight="1" x14ac:dyDescent="0.2">
      <c r="A11" s="60">
        <f>IF(D11=0,"",1+MAX(A$8:A10))</f>
        <v>4</v>
      </c>
      <c r="B11" s="97"/>
      <c r="C11" s="27" t="s">
        <v>7</v>
      </c>
      <c r="D11" s="28">
        <v>1</v>
      </c>
      <c r="E11" s="28" t="s">
        <v>14</v>
      </c>
      <c r="F11" s="26">
        <f t="shared" si="0"/>
        <v>0</v>
      </c>
      <c r="G11" s="23">
        <f t="shared" si="1"/>
        <v>0</v>
      </c>
      <c r="H11" s="98"/>
    </row>
    <row r="12" spans="1:8" s="29" customFormat="1" ht="18" customHeight="1" x14ac:dyDescent="0.2">
      <c r="A12" s="60">
        <f>IF(D12=0,"",1+MAX(A$8:A11))</f>
        <v>5</v>
      </c>
      <c r="B12" s="97"/>
      <c r="C12" s="27" t="s">
        <v>8</v>
      </c>
      <c r="D12" s="28">
        <v>1</v>
      </c>
      <c r="E12" s="28" t="s">
        <v>14</v>
      </c>
      <c r="F12" s="26">
        <f t="shared" si="0"/>
        <v>0</v>
      </c>
      <c r="G12" s="23">
        <f t="shared" si="1"/>
        <v>0</v>
      </c>
      <c r="H12" s="98"/>
    </row>
    <row r="13" spans="1:8" s="29" customFormat="1" ht="18" customHeight="1" x14ac:dyDescent="0.2">
      <c r="A13" s="60">
        <f>IF(D13=0,"",1+MAX(A$8:A12))</f>
        <v>6</v>
      </c>
      <c r="B13" s="97"/>
      <c r="C13" s="27" t="s">
        <v>9</v>
      </c>
      <c r="D13" s="28">
        <v>1</v>
      </c>
      <c r="E13" s="28" t="s">
        <v>14</v>
      </c>
      <c r="F13" s="26">
        <f t="shared" si="0"/>
        <v>0</v>
      </c>
      <c r="G13" s="23">
        <f t="shared" si="1"/>
        <v>0</v>
      </c>
      <c r="H13" s="98"/>
    </row>
    <row r="14" spans="1:8" s="29" customFormat="1" ht="18" customHeight="1" x14ac:dyDescent="0.2">
      <c r="A14" s="60">
        <f>IF(D14=0,"",1+MAX(A$8:A13))</f>
        <v>7</v>
      </c>
      <c r="B14" s="97"/>
      <c r="C14" s="24" t="s">
        <v>24</v>
      </c>
      <c r="D14" s="28">
        <v>1</v>
      </c>
      <c r="E14" s="6" t="s">
        <v>14</v>
      </c>
      <c r="F14" s="26">
        <f t="shared" si="0"/>
        <v>0</v>
      </c>
      <c r="G14" s="23">
        <f t="shared" si="1"/>
        <v>0</v>
      </c>
      <c r="H14" s="98"/>
    </row>
    <row r="15" spans="1:8" s="29" customFormat="1" ht="18" customHeight="1" x14ac:dyDescent="0.2">
      <c r="A15" s="60" t="str">
        <f>IF(D15=0,"",1+MAX(A5:A14))</f>
        <v/>
      </c>
      <c r="B15" s="64"/>
      <c r="C15" s="9" t="s">
        <v>17</v>
      </c>
      <c r="D15" s="8"/>
      <c r="E15" s="4"/>
      <c r="F15" s="3"/>
      <c r="G15" s="23"/>
      <c r="H15" s="65">
        <f>(SUM(G8:G15))</f>
        <v>0</v>
      </c>
    </row>
    <row r="16" spans="1:8" s="29" customFormat="1" ht="18" customHeight="1" x14ac:dyDescent="0.2">
      <c r="A16" s="31"/>
      <c r="B16" s="33"/>
      <c r="C16" s="7"/>
      <c r="D16" s="21"/>
      <c r="E16" s="21"/>
      <c r="F16" s="22"/>
      <c r="G16" s="22"/>
      <c r="H16" s="32"/>
    </row>
    <row r="17" spans="1:8" s="29" customFormat="1" ht="18" customHeight="1" x14ac:dyDescent="0.2">
      <c r="A17" s="94"/>
      <c r="B17" s="95"/>
      <c r="C17" s="25" t="s">
        <v>19</v>
      </c>
      <c r="D17" s="95"/>
      <c r="E17" s="95"/>
      <c r="F17" s="95"/>
      <c r="G17" s="95"/>
      <c r="H17" s="96"/>
    </row>
    <row r="18" spans="1:8" s="29" customFormat="1" ht="18" customHeight="1" x14ac:dyDescent="0.2">
      <c r="A18" s="67" t="str">
        <f>IF(D18=0,"",1+MAX(A$7:A17))</f>
        <v/>
      </c>
      <c r="B18" s="84" t="s">
        <v>70</v>
      </c>
      <c r="C18" s="84" t="s">
        <v>34</v>
      </c>
      <c r="D18" s="6"/>
      <c r="E18" s="6"/>
      <c r="F18" s="23" t="str">
        <f t="shared" ref="F18" si="2">IF(D18=0,"",0)</f>
        <v/>
      </c>
      <c r="G18" s="23" t="str">
        <f t="shared" ref="G18:G47" si="3">IF(F18="","",D18*F18)</f>
        <v/>
      </c>
      <c r="H18" s="98"/>
    </row>
    <row r="19" spans="1:8" s="29" customFormat="1" ht="18" customHeight="1" x14ac:dyDescent="0.2">
      <c r="A19" s="67">
        <f>IF(D19=0,"",1+MAX(A$7:A18))</f>
        <v>8</v>
      </c>
      <c r="B19" s="99"/>
      <c r="C19" s="27" t="s">
        <v>57</v>
      </c>
      <c r="D19" s="86">
        <f>8*10.66</f>
        <v>85.28</v>
      </c>
      <c r="E19" s="28" t="s">
        <v>35</v>
      </c>
      <c r="F19" s="23">
        <v>6</v>
      </c>
      <c r="G19" s="23">
        <f t="shared" si="3"/>
        <v>511.68</v>
      </c>
      <c r="H19" s="98"/>
    </row>
    <row r="20" spans="1:8" s="29" customFormat="1" ht="18" customHeight="1" x14ac:dyDescent="0.2">
      <c r="A20" s="67">
        <f>IF(D20=0,"",1+MAX(A$7:A19))</f>
        <v>9</v>
      </c>
      <c r="B20" s="100"/>
      <c r="C20" s="27" t="s">
        <v>36</v>
      </c>
      <c r="D20" s="86">
        <f>19.43*2</f>
        <v>38.86</v>
      </c>
      <c r="E20" s="28" t="s">
        <v>35</v>
      </c>
      <c r="F20" s="23">
        <v>7</v>
      </c>
      <c r="G20" s="23">
        <f t="shared" si="3"/>
        <v>272.02</v>
      </c>
      <c r="H20" s="98"/>
    </row>
    <row r="21" spans="1:8" s="29" customFormat="1" ht="18" customHeight="1" x14ac:dyDescent="0.2">
      <c r="A21" s="67">
        <f>IF(D21=0,"",1+MAX(A$7:A20))</f>
        <v>10</v>
      </c>
      <c r="B21" s="100"/>
      <c r="C21" s="27" t="s">
        <v>37</v>
      </c>
      <c r="D21" s="86">
        <f>19.43*2</f>
        <v>38.86</v>
      </c>
      <c r="E21" s="28" t="s">
        <v>35</v>
      </c>
      <c r="F21" s="23">
        <v>3</v>
      </c>
      <c r="G21" s="23">
        <f t="shared" si="3"/>
        <v>116.58</v>
      </c>
      <c r="H21" s="98"/>
    </row>
    <row r="22" spans="1:8" s="29" customFormat="1" ht="18" customHeight="1" x14ac:dyDescent="0.2">
      <c r="A22" s="67">
        <f>IF(D22=0,"",1+MAX(A$7:A21))</f>
        <v>11</v>
      </c>
      <c r="B22" s="100"/>
      <c r="C22" s="27" t="s">
        <v>53</v>
      </c>
      <c r="D22" s="86">
        <f>64.78+39</f>
        <v>103.78</v>
      </c>
      <c r="E22" s="28" t="s">
        <v>35</v>
      </c>
      <c r="F22" s="23">
        <v>2</v>
      </c>
      <c r="G22" s="23">
        <f t="shared" si="3"/>
        <v>207.56</v>
      </c>
      <c r="H22" s="98"/>
    </row>
    <row r="23" spans="1:8" s="29" customFormat="1" ht="18" customHeight="1" x14ac:dyDescent="0.2">
      <c r="A23" s="67">
        <f>IF(D23=0,"",1+MAX(A$7:A22))</f>
        <v>12</v>
      </c>
      <c r="B23" s="100"/>
      <c r="C23" s="27" t="s">
        <v>38</v>
      </c>
      <c r="D23" s="86">
        <f>64.78+39</f>
        <v>103.78</v>
      </c>
      <c r="E23" s="28" t="s">
        <v>35</v>
      </c>
      <c r="F23" s="23">
        <v>5</v>
      </c>
      <c r="G23" s="23">
        <f t="shared" si="3"/>
        <v>518.9</v>
      </c>
      <c r="H23" s="98"/>
    </row>
    <row r="24" spans="1:8" s="29" customFormat="1" ht="18" customHeight="1" x14ac:dyDescent="0.2">
      <c r="A24" s="67">
        <f>IF(D24=0,"",1+MAX(A$7:A23))</f>
        <v>13</v>
      </c>
      <c r="B24" s="100"/>
      <c r="C24" s="27" t="s">
        <v>61</v>
      </c>
      <c r="D24" s="86">
        <f>37.35*2</f>
        <v>74.7</v>
      </c>
      <c r="E24" s="28" t="s">
        <v>35</v>
      </c>
      <c r="F24" s="23">
        <v>8</v>
      </c>
      <c r="G24" s="23">
        <f t="shared" si="3"/>
        <v>597.6</v>
      </c>
      <c r="H24" s="98"/>
    </row>
    <row r="25" spans="1:8" s="29" customFormat="1" ht="18" customHeight="1" x14ac:dyDescent="0.2">
      <c r="A25" s="67">
        <f>IF(D25=0,"",1+MAX(A$7:A24))</f>
        <v>14</v>
      </c>
      <c r="B25" s="100"/>
      <c r="C25" s="27" t="s">
        <v>60</v>
      </c>
      <c r="D25" s="86">
        <f>25.8*2</f>
        <v>51.6</v>
      </c>
      <c r="E25" s="28" t="s">
        <v>35</v>
      </c>
      <c r="F25" s="23">
        <v>9</v>
      </c>
      <c r="G25" s="23">
        <f t="shared" si="3"/>
        <v>464.40000000000003</v>
      </c>
      <c r="H25" s="98"/>
    </row>
    <row r="26" spans="1:8" s="29" customFormat="1" ht="18" customHeight="1" x14ac:dyDescent="0.2">
      <c r="A26" s="67">
        <f>IF(D26=0,"",1+MAX(A$7:A25))</f>
        <v>15</v>
      </c>
      <c r="B26" s="100"/>
      <c r="C26" s="27" t="s">
        <v>39</v>
      </c>
      <c r="D26" s="86">
        <f>310.14*2</f>
        <v>620.28</v>
      </c>
      <c r="E26" s="28" t="s">
        <v>40</v>
      </c>
      <c r="F26" s="23">
        <v>3</v>
      </c>
      <c r="G26" s="23">
        <f t="shared" si="3"/>
        <v>1860.84</v>
      </c>
      <c r="H26" s="98"/>
    </row>
    <row r="27" spans="1:8" s="29" customFormat="1" ht="18" customHeight="1" x14ac:dyDescent="0.2">
      <c r="A27" s="67">
        <f>IF(D27=0,"",1+MAX(A$7:A26))</f>
        <v>16</v>
      </c>
      <c r="B27" s="100"/>
      <c r="C27" s="27" t="s">
        <v>41</v>
      </c>
      <c r="D27" s="86">
        <f t="shared" ref="D27:D29" si="4">310.14*2</f>
        <v>620.28</v>
      </c>
      <c r="E27" s="28" t="s">
        <v>40</v>
      </c>
      <c r="F27" s="23">
        <v>6</v>
      </c>
      <c r="G27" s="23">
        <f t="shared" si="3"/>
        <v>3721.68</v>
      </c>
      <c r="H27" s="98"/>
    </row>
    <row r="28" spans="1:8" s="29" customFormat="1" ht="18" customHeight="1" x14ac:dyDescent="0.2">
      <c r="A28" s="67">
        <f>IF(D28=0,"",1+MAX(A$7:A27))</f>
        <v>17</v>
      </c>
      <c r="B28" s="100"/>
      <c r="C28" s="27" t="s">
        <v>42</v>
      </c>
      <c r="D28" s="86">
        <f t="shared" si="4"/>
        <v>620.28</v>
      </c>
      <c r="E28" s="28" t="s">
        <v>40</v>
      </c>
      <c r="F28" s="90">
        <v>1.1000000000000001</v>
      </c>
      <c r="G28" s="23">
        <f t="shared" si="3"/>
        <v>682.30799999999999</v>
      </c>
      <c r="H28" s="98"/>
    </row>
    <row r="29" spans="1:8" s="29" customFormat="1" ht="18" customHeight="1" x14ac:dyDescent="0.2">
      <c r="A29" s="67">
        <f>IF(D29=0,"",1+MAX(A$7:A28))</f>
        <v>18</v>
      </c>
      <c r="B29" s="101"/>
      <c r="C29" s="27" t="s">
        <v>43</v>
      </c>
      <c r="D29" s="86">
        <f t="shared" si="4"/>
        <v>620.28</v>
      </c>
      <c r="E29" s="28" t="s">
        <v>40</v>
      </c>
      <c r="F29" s="90">
        <v>1.5</v>
      </c>
      <c r="G29" s="23">
        <f t="shared" si="3"/>
        <v>930.42</v>
      </c>
      <c r="H29" s="98"/>
    </row>
    <row r="30" spans="1:8" s="29" customFormat="1" ht="18" customHeight="1" x14ac:dyDescent="0.2">
      <c r="A30" s="67" t="str">
        <f>IF(D30=0,"",1+MAX(A$7:A29))</f>
        <v/>
      </c>
      <c r="B30" s="83" t="s">
        <v>69</v>
      </c>
      <c r="C30" s="83" t="s">
        <v>45</v>
      </c>
      <c r="D30" s="86"/>
      <c r="E30" s="28"/>
      <c r="F30" s="23" t="str">
        <f t="shared" ref="F30" si="5">IF(D30=0,"",0)</f>
        <v/>
      </c>
      <c r="G30" s="23" t="str">
        <f t="shared" si="3"/>
        <v/>
      </c>
      <c r="H30" s="98"/>
    </row>
    <row r="31" spans="1:8" s="29" customFormat="1" ht="18" customHeight="1" x14ac:dyDescent="0.2">
      <c r="A31" s="67">
        <f>IF(D31=0,"",1+MAX(A$7:A30))</f>
        <v>19</v>
      </c>
      <c r="B31" s="99"/>
      <c r="C31" s="27" t="s">
        <v>71</v>
      </c>
      <c r="D31" s="86">
        <f>25*30.33</f>
        <v>758.25</v>
      </c>
      <c r="E31" s="28" t="s">
        <v>35</v>
      </c>
      <c r="F31" s="23">
        <v>6</v>
      </c>
      <c r="G31" s="23">
        <f t="shared" si="3"/>
        <v>4549.5</v>
      </c>
      <c r="H31" s="98"/>
    </row>
    <row r="32" spans="1:8" s="29" customFormat="1" ht="18" customHeight="1" x14ac:dyDescent="0.2">
      <c r="A32" s="67">
        <f>IF(D32=0,"",1+MAX(A$7:A31))</f>
        <v>20</v>
      </c>
      <c r="B32" s="100"/>
      <c r="C32" s="27" t="s">
        <v>55</v>
      </c>
      <c r="D32" s="86">
        <v>16</v>
      </c>
      <c r="E32" s="28" t="s">
        <v>46</v>
      </c>
      <c r="F32" s="23">
        <v>300</v>
      </c>
      <c r="G32" s="23">
        <f t="shared" si="3"/>
        <v>4800</v>
      </c>
      <c r="H32" s="98"/>
    </row>
    <row r="33" spans="1:8" s="29" customFormat="1" ht="18" customHeight="1" x14ac:dyDescent="0.2">
      <c r="A33" s="67">
        <f>IF(D33=0,"",1+MAX(A$7:A32))</f>
        <v>21</v>
      </c>
      <c r="B33" s="100"/>
      <c r="C33" s="27" t="s">
        <v>36</v>
      </c>
      <c r="D33" s="86">
        <v>299</v>
      </c>
      <c r="E33" s="28" t="s">
        <v>35</v>
      </c>
      <c r="F33" s="23">
        <v>7</v>
      </c>
      <c r="G33" s="23">
        <f t="shared" si="3"/>
        <v>2093</v>
      </c>
      <c r="H33" s="98"/>
    </row>
    <row r="34" spans="1:8" s="29" customFormat="1" ht="18" customHeight="1" x14ac:dyDescent="0.2">
      <c r="A34" s="67">
        <f>IF(D34=0,"",1+MAX(A$7:A33))</f>
        <v>22</v>
      </c>
      <c r="B34" s="100"/>
      <c r="C34" s="27" t="s">
        <v>37</v>
      </c>
      <c r="D34" s="86">
        <v>299</v>
      </c>
      <c r="E34" s="28" t="s">
        <v>35</v>
      </c>
      <c r="F34" s="23">
        <v>3</v>
      </c>
      <c r="G34" s="23">
        <f t="shared" si="3"/>
        <v>897</v>
      </c>
      <c r="H34" s="98"/>
    </row>
    <row r="35" spans="1:8" s="29" customFormat="1" ht="18" customHeight="1" x14ac:dyDescent="0.2">
      <c r="A35" s="67">
        <f>IF(D35=0,"",1+MAX(A$7:A34))</f>
        <v>23</v>
      </c>
      <c r="B35" s="100"/>
      <c r="C35" s="27" t="s">
        <v>48</v>
      </c>
      <c r="D35" s="86">
        <f>162+299</f>
        <v>461</v>
      </c>
      <c r="E35" s="28" t="s">
        <v>35</v>
      </c>
      <c r="F35" s="23">
        <v>5</v>
      </c>
      <c r="G35" s="23">
        <f t="shared" si="3"/>
        <v>2305</v>
      </c>
      <c r="H35" s="98"/>
    </row>
    <row r="36" spans="1:8" s="29" customFormat="1" ht="18" customHeight="1" x14ac:dyDescent="0.2">
      <c r="A36" s="67">
        <f>IF(D36=0,"",1+MAX(A$7:A35))</f>
        <v>24</v>
      </c>
      <c r="B36" s="100"/>
      <c r="C36" s="27" t="s">
        <v>49</v>
      </c>
      <c r="D36" s="86">
        <v>299</v>
      </c>
      <c r="E36" s="28" t="s">
        <v>35</v>
      </c>
      <c r="F36" s="23">
        <v>4</v>
      </c>
      <c r="G36" s="23">
        <f t="shared" si="3"/>
        <v>1196</v>
      </c>
      <c r="H36" s="98"/>
    </row>
    <row r="37" spans="1:8" s="29" customFormat="1" ht="18" customHeight="1" x14ac:dyDescent="0.2">
      <c r="A37" s="67">
        <f>IF(D37=0,"",1+MAX(A$7:A36))</f>
        <v>25</v>
      </c>
      <c r="B37" s="100"/>
      <c r="C37" s="27" t="s">
        <v>53</v>
      </c>
      <c r="D37" s="86">
        <f>162+299+101</f>
        <v>562</v>
      </c>
      <c r="E37" s="28" t="s">
        <v>35</v>
      </c>
      <c r="F37" s="23">
        <v>2</v>
      </c>
      <c r="G37" s="23">
        <f t="shared" si="3"/>
        <v>1124</v>
      </c>
      <c r="H37" s="98"/>
    </row>
    <row r="38" spans="1:8" s="29" customFormat="1" ht="18" customHeight="1" x14ac:dyDescent="0.2">
      <c r="A38" s="67">
        <f>IF(D38=0,"",1+MAX(A$7:A37))</f>
        <v>26</v>
      </c>
      <c r="B38" s="100"/>
      <c r="C38" s="27" t="s">
        <v>38</v>
      </c>
      <c r="D38" s="86">
        <f>162+299</f>
        <v>461</v>
      </c>
      <c r="E38" s="28" t="s">
        <v>35</v>
      </c>
      <c r="F38" s="23">
        <v>5</v>
      </c>
      <c r="G38" s="23">
        <f t="shared" si="3"/>
        <v>2305</v>
      </c>
      <c r="H38" s="98"/>
    </row>
    <row r="39" spans="1:8" s="29" customFormat="1" ht="18" customHeight="1" x14ac:dyDescent="0.2">
      <c r="A39" s="67">
        <f>IF(D39=0,"",1+MAX(A$7:A38))</f>
        <v>27</v>
      </c>
      <c r="B39" s="100"/>
      <c r="C39" s="27" t="s">
        <v>50</v>
      </c>
      <c r="D39" s="86">
        <v>101</v>
      </c>
      <c r="E39" s="28" t="s">
        <v>35</v>
      </c>
      <c r="F39" s="23">
        <v>6</v>
      </c>
      <c r="G39" s="23">
        <f t="shared" si="3"/>
        <v>606</v>
      </c>
      <c r="H39" s="98"/>
    </row>
    <row r="40" spans="1:8" s="29" customFormat="1" ht="18" customHeight="1" x14ac:dyDescent="0.2">
      <c r="A40" s="67">
        <f>IF(D40=0,"",1+MAX(A$7:A39))</f>
        <v>28</v>
      </c>
      <c r="B40" s="100"/>
      <c r="C40" s="27" t="s">
        <v>60</v>
      </c>
      <c r="D40" s="86">
        <v>310</v>
      </c>
      <c r="E40" s="28" t="s">
        <v>35</v>
      </c>
      <c r="F40" s="23">
        <v>9</v>
      </c>
      <c r="G40" s="23">
        <f t="shared" si="3"/>
        <v>2790</v>
      </c>
      <c r="H40" s="98"/>
    </row>
    <row r="41" spans="1:8" s="29" customFormat="1" ht="18" customHeight="1" x14ac:dyDescent="0.2">
      <c r="A41" s="67">
        <f>IF(D41=0,"",1+MAX(A$7:A40))</f>
        <v>29</v>
      </c>
      <c r="B41" s="100"/>
      <c r="C41" s="27" t="s">
        <v>51</v>
      </c>
      <c r="D41" s="86">
        <v>826</v>
      </c>
      <c r="E41" s="28" t="s">
        <v>40</v>
      </c>
      <c r="F41" s="23">
        <v>25</v>
      </c>
      <c r="G41" s="23">
        <f t="shared" si="3"/>
        <v>20650</v>
      </c>
      <c r="H41" s="98"/>
    </row>
    <row r="42" spans="1:8" s="29" customFormat="1" ht="18" customHeight="1" x14ac:dyDescent="0.2">
      <c r="A42" s="67">
        <f>IF(D42=0,"",1+MAX(A$7:A41))</f>
        <v>30</v>
      </c>
      <c r="B42" s="100"/>
      <c r="C42" s="27" t="s">
        <v>52</v>
      </c>
      <c r="D42" s="86">
        <v>477</v>
      </c>
      <c r="E42" s="28" t="s">
        <v>40</v>
      </c>
      <c r="F42" s="23">
        <v>20</v>
      </c>
      <c r="G42" s="23">
        <f t="shared" si="3"/>
        <v>9540</v>
      </c>
      <c r="H42" s="98"/>
    </row>
    <row r="43" spans="1:8" s="29" customFormat="1" ht="18" customHeight="1" x14ac:dyDescent="0.2">
      <c r="A43" s="67">
        <f>IF(D43=0,"",1+MAX(A$7:A42))</f>
        <v>31</v>
      </c>
      <c r="B43" s="100"/>
      <c r="C43" s="27" t="s">
        <v>39</v>
      </c>
      <c r="D43" s="86">
        <v>9920</v>
      </c>
      <c r="E43" s="28" t="s">
        <v>40</v>
      </c>
      <c r="F43" s="23">
        <v>3</v>
      </c>
      <c r="G43" s="23">
        <f t="shared" si="3"/>
        <v>29760</v>
      </c>
      <c r="H43" s="98"/>
    </row>
    <row r="44" spans="1:8" s="29" customFormat="1" ht="18" customHeight="1" x14ac:dyDescent="0.2">
      <c r="A44" s="67">
        <f>IF(D44=0,"",1+MAX(A$7:A43))</f>
        <v>32</v>
      </c>
      <c r="B44" s="100"/>
      <c r="C44" s="27" t="s">
        <v>41</v>
      </c>
      <c r="D44" s="86">
        <v>9920</v>
      </c>
      <c r="E44" s="28" t="s">
        <v>40</v>
      </c>
      <c r="F44" s="23">
        <v>6</v>
      </c>
      <c r="G44" s="23">
        <f t="shared" si="3"/>
        <v>59520</v>
      </c>
      <c r="H44" s="98"/>
    </row>
    <row r="45" spans="1:8" s="29" customFormat="1" ht="18" customHeight="1" x14ac:dyDescent="0.2">
      <c r="A45" s="67">
        <f>IF(D45=0,"",1+MAX(A$7:A44))</f>
        <v>33</v>
      </c>
      <c r="B45" s="100"/>
      <c r="C45" s="27" t="s">
        <v>42</v>
      </c>
      <c r="D45" s="86">
        <v>9920</v>
      </c>
      <c r="E45" s="28" t="s">
        <v>40</v>
      </c>
      <c r="F45" s="90">
        <v>1.1000000000000001</v>
      </c>
      <c r="G45" s="23">
        <f t="shared" si="3"/>
        <v>10912</v>
      </c>
      <c r="H45" s="98"/>
    </row>
    <row r="46" spans="1:8" s="29" customFormat="1" ht="18" customHeight="1" x14ac:dyDescent="0.2">
      <c r="A46" s="67">
        <f>IF(D46=0,"",1+MAX(A$7:A45))</f>
        <v>34</v>
      </c>
      <c r="B46" s="101"/>
      <c r="C46" s="24" t="s">
        <v>43</v>
      </c>
      <c r="D46" s="86">
        <v>9920</v>
      </c>
      <c r="E46" s="28" t="s">
        <v>40</v>
      </c>
      <c r="F46" s="90">
        <v>1.5</v>
      </c>
      <c r="G46" s="23">
        <f t="shared" si="3"/>
        <v>14880</v>
      </c>
      <c r="H46" s="98"/>
    </row>
    <row r="47" spans="1:8" s="29" customFormat="1" ht="18" customHeight="1" x14ac:dyDescent="0.2">
      <c r="A47" s="67" t="str">
        <f>IF(D47=0,"",1+MAX(A$7:A46))</f>
        <v/>
      </c>
      <c r="B47" s="64"/>
      <c r="C47" s="9" t="s">
        <v>20</v>
      </c>
      <c r="D47" s="8"/>
      <c r="E47" s="4"/>
      <c r="F47" s="90"/>
      <c r="G47" s="23" t="str">
        <f t="shared" si="3"/>
        <v/>
      </c>
      <c r="H47" s="65">
        <f>(SUM(G18:G47))</f>
        <v>177811.48800000001</v>
      </c>
    </row>
    <row r="48" spans="1:8" s="29" customFormat="1" ht="18" customHeight="1" thickBot="1" x14ac:dyDescent="0.25">
      <c r="A48" s="31"/>
      <c r="B48" s="33"/>
      <c r="C48" s="7"/>
      <c r="D48" s="21"/>
      <c r="E48" s="21"/>
      <c r="F48" s="22"/>
      <c r="G48" s="22"/>
      <c r="H48" s="32"/>
    </row>
    <row r="49" spans="1:8" s="29" customFormat="1" ht="18" customHeight="1" x14ac:dyDescent="0.2">
      <c r="A49" s="79"/>
      <c r="B49" s="80" t="s">
        <v>18</v>
      </c>
      <c r="C49" s="17"/>
      <c r="D49" s="18"/>
      <c r="E49" s="18"/>
      <c r="F49" s="17"/>
      <c r="G49" s="17"/>
      <c r="H49" s="87">
        <f>SUM(H8:H48)</f>
        <v>177811.48800000001</v>
      </c>
    </row>
    <row r="50" spans="1:8" s="29" customFormat="1" ht="18" customHeight="1" x14ac:dyDescent="0.2">
      <c r="A50" s="77"/>
      <c r="B50" s="78" t="s">
        <v>30</v>
      </c>
      <c r="C50" s="11"/>
      <c r="D50" s="72">
        <v>0.2</v>
      </c>
      <c r="E50" s="14"/>
      <c r="F50" s="10"/>
      <c r="G50" s="10"/>
      <c r="H50" s="88">
        <f>(H49*D50)</f>
        <v>35562.297600000005</v>
      </c>
    </row>
    <row r="51" spans="1:8" s="29" customFormat="1" ht="18" customHeight="1" x14ac:dyDescent="0.2">
      <c r="A51" s="77"/>
      <c r="B51" s="78" t="s">
        <v>10</v>
      </c>
      <c r="C51" s="11"/>
      <c r="D51" s="72">
        <v>0.03</v>
      </c>
      <c r="E51" s="15"/>
      <c r="F51" s="12"/>
      <c r="G51" s="12"/>
      <c r="H51" s="88">
        <f>(H49*D51)</f>
        <v>5334.3446400000003</v>
      </c>
    </row>
    <row r="52" spans="1:8" s="29" customFormat="1" ht="18" customHeight="1" x14ac:dyDescent="0.2">
      <c r="A52" s="77"/>
      <c r="B52" s="78" t="s">
        <v>12</v>
      </c>
      <c r="C52" s="11"/>
      <c r="D52" s="72">
        <v>7.0000000000000007E-2</v>
      </c>
      <c r="E52" s="16"/>
      <c r="F52" s="13"/>
      <c r="G52" s="13"/>
      <c r="H52" s="88">
        <f>(H49*D52)</f>
        <v>12446.804160000002</v>
      </c>
    </row>
    <row r="53" spans="1:8" ht="24" customHeight="1" thickBot="1" x14ac:dyDescent="0.25">
      <c r="A53" s="102" t="s">
        <v>11</v>
      </c>
      <c r="B53" s="103"/>
      <c r="C53" s="19"/>
      <c r="D53" s="20"/>
      <c r="E53" s="20"/>
      <c r="F53" s="19"/>
      <c r="G53" s="19"/>
      <c r="H53" s="89">
        <f>SUM(H49:H52)</f>
        <v>231154.9344</v>
      </c>
    </row>
    <row r="54" spans="1:8" s="29" customFormat="1" ht="18" customHeight="1" thickBot="1" x14ac:dyDescent="0.25">
      <c r="A54" s="104" t="s">
        <v>15</v>
      </c>
      <c r="B54" s="105"/>
      <c r="C54" s="51"/>
      <c r="D54" s="52"/>
      <c r="E54" s="52"/>
      <c r="F54" s="51"/>
      <c r="G54" s="51"/>
      <c r="H54" s="53"/>
    </row>
    <row r="55" spans="1:8" s="29" customFormat="1" ht="18" customHeight="1" x14ac:dyDescent="0.2">
      <c r="A55" s="54" t="s">
        <v>115</v>
      </c>
      <c r="B55" s="93" t="s">
        <v>116</v>
      </c>
      <c r="C55" s="93"/>
      <c r="D55" s="52"/>
      <c r="E55" s="52"/>
      <c r="F55" s="51"/>
      <c r="G55" s="51"/>
      <c r="H55" s="53"/>
    </row>
    <row r="56" spans="1:8" s="29" customFormat="1" ht="18" customHeight="1" thickBot="1" x14ac:dyDescent="0.25">
      <c r="A56" s="55"/>
      <c r="B56" s="56"/>
      <c r="C56" s="57"/>
      <c r="D56" s="58"/>
      <c r="E56" s="58"/>
      <c r="F56" s="57"/>
      <c r="G56" s="57"/>
      <c r="H56" s="59"/>
    </row>
  </sheetData>
  <mergeCells count="12">
    <mergeCell ref="B55:C55"/>
    <mergeCell ref="A7:B7"/>
    <mergeCell ref="D7:H7"/>
    <mergeCell ref="B8:B14"/>
    <mergeCell ref="H8:H14"/>
    <mergeCell ref="A17:B17"/>
    <mergeCell ref="D17:H17"/>
    <mergeCell ref="H18:H46"/>
    <mergeCell ref="B19:B29"/>
    <mergeCell ref="B31:B46"/>
    <mergeCell ref="A53:B53"/>
    <mergeCell ref="A54:B54"/>
  </mergeCells>
  <printOptions horizontalCentered="1"/>
  <pageMargins left="0" right="0" top="0" bottom="0.17" header="0" footer="0"/>
  <pageSetup paperSize="9" scale="67" fitToHeight="0" orientation="portrait" r:id="rId1"/>
  <headerFooter scaleWithDoc="0"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F00"/>
    <pageSetUpPr fitToPage="1"/>
  </sheetPr>
  <dimension ref="A1:H59"/>
  <sheetViews>
    <sheetView showGridLines="0" zoomScaleNormal="100" zoomScaleSheetLayoutView="100" workbookViewId="0">
      <selection activeCell="C2" sqref="C2"/>
    </sheetView>
  </sheetViews>
  <sheetFormatPr baseColWidth="10" defaultColWidth="9.1640625" defaultRowHeight="15" x14ac:dyDescent="0.2"/>
  <cols>
    <col min="1" max="1" width="7" style="1" customWidth="1"/>
    <col min="2" max="2" width="12.1640625" style="34" customWidth="1"/>
    <col min="3" max="3" width="62.6640625" style="1" customWidth="1"/>
    <col min="4" max="4" width="11.6640625" style="5" customWidth="1"/>
    <col min="5" max="5" width="8.5" style="5" customWidth="1"/>
    <col min="6" max="6" width="15.33203125" style="1" customWidth="1"/>
    <col min="7" max="7" width="14.83203125" style="1" customWidth="1"/>
    <col min="8" max="8" width="16.1640625" style="1" customWidth="1"/>
    <col min="9" max="16384" width="9.1640625" style="1"/>
  </cols>
  <sheetData>
    <row r="1" spans="1:8" ht="18" customHeight="1" x14ac:dyDescent="0.2">
      <c r="A1" s="35"/>
      <c r="B1" s="36"/>
      <c r="C1" s="61"/>
      <c r="D1" s="37"/>
      <c r="E1" s="47"/>
      <c r="F1" s="62" t="s">
        <v>25</v>
      </c>
      <c r="G1" s="48"/>
      <c r="H1" s="38"/>
    </row>
    <row r="2" spans="1:8" ht="18" customHeight="1" x14ac:dyDescent="0.2">
      <c r="A2" s="68" t="s">
        <v>27</v>
      </c>
      <c r="B2" s="69"/>
      <c r="C2" s="74"/>
      <c r="D2" s="42"/>
      <c r="E2" s="44"/>
      <c r="F2" s="49" t="s">
        <v>16</v>
      </c>
      <c r="G2" s="50"/>
      <c r="H2" s="43"/>
    </row>
    <row r="3" spans="1:8" ht="18" customHeight="1" x14ac:dyDescent="0.2">
      <c r="A3" s="39"/>
      <c r="B3" s="40"/>
      <c r="C3" s="41"/>
      <c r="D3" s="42"/>
      <c r="E3" s="44"/>
      <c r="F3" s="49" t="s">
        <v>22</v>
      </c>
      <c r="G3" s="50"/>
      <c r="H3" s="43"/>
    </row>
    <row r="4" spans="1:8" ht="18" customHeight="1" x14ac:dyDescent="0.2">
      <c r="A4" s="63" t="s">
        <v>26</v>
      </c>
      <c r="B4" s="49"/>
      <c r="C4" s="75" t="s">
        <v>31</v>
      </c>
      <c r="D4" s="42"/>
      <c r="E4" s="44"/>
      <c r="F4" s="49" t="s">
        <v>23</v>
      </c>
      <c r="G4" s="50"/>
      <c r="H4" s="43"/>
    </row>
    <row r="5" spans="1:8" ht="18" customHeight="1" x14ac:dyDescent="0.2">
      <c r="A5" s="66"/>
      <c r="D5" s="45"/>
      <c r="E5" s="44"/>
      <c r="F5" s="49" t="s">
        <v>56</v>
      </c>
      <c r="G5" s="81"/>
      <c r="H5" s="46"/>
    </row>
    <row r="6" spans="1:8" ht="21" customHeight="1" x14ac:dyDescent="0.2">
      <c r="A6" s="73" t="s">
        <v>0</v>
      </c>
      <c r="B6" s="76" t="s">
        <v>1</v>
      </c>
      <c r="C6" s="76" t="s">
        <v>2</v>
      </c>
      <c r="D6" s="76" t="s">
        <v>3</v>
      </c>
      <c r="E6" s="76" t="s">
        <v>4</v>
      </c>
      <c r="F6" s="70" t="s">
        <v>28</v>
      </c>
      <c r="G6" s="70" t="s">
        <v>29</v>
      </c>
      <c r="H6" s="71" t="s">
        <v>32</v>
      </c>
    </row>
    <row r="7" spans="1:8" s="29" customFormat="1" ht="18" customHeight="1" x14ac:dyDescent="0.2">
      <c r="A7" s="94"/>
      <c r="B7" s="95"/>
      <c r="C7" s="25" t="s">
        <v>5</v>
      </c>
      <c r="D7" s="95"/>
      <c r="E7" s="95"/>
      <c r="F7" s="95"/>
      <c r="G7" s="95"/>
      <c r="H7" s="96"/>
    </row>
    <row r="8" spans="1:8" s="29" customFormat="1" ht="18" customHeight="1" x14ac:dyDescent="0.2">
      <c r="A8" s="30">
        <v>1</v>
      </c>
      <c r="B8" s="97"/>
      <c r="C8" s="2" t="s">
        <v>6</v>
      </c>
      <c r="D8" s="6">
        <v>1</v>
      </c>
      <c r="E8" s="6" t="s">
        <v>14</v>
      </c>
      <c r="F8" s="23">
        <f t="shared" ref="F8:F14" si="0">IF(D8=0,"",0)</f>
        <v>0</v>
      </c>
      <c r="G8" s="23">
        <f>IF(F8="","",D8*F8)</f>
        <v>0</v>
      </c>
      <c r="H8" s="98"/>
    </row>
    <row r="9" spans="1:8" s="29" customFormat="1" ht="18" customHeight="1" x14ac:dyDescent="0.2">
      <c r="A9" s="60">
        <f>IF(D9=0,"",1+MAX(A$8:A8))</f>
        <v>2</v>
      </c>
      <c r="B9" s="97"/>
      <c r="C9" s="27" t="s">
        <v>13</v>
      </c>
      <c r="D9" s="28">
        <v>1</v>
      </c>
      <c r="E9" s="28" t="s">
        <v>14</v>
      </c>
      <c r="F9" s="26">
        <f t="shared" si="0"/>
        <v>0</v>
      </c>
      <c r="G9" s="26">
        <f t="shared" ref="G9:G14" si="1">IF(F9="","",D9*F9)</f>
        <v>0</v>
      </c>
      <c r="H9" s="98"/>
    </row>
    <row r="10" spans="1:8" s="29" customFormat="1" ht="18" customHeight="1" x14ac:dyDescent="0.2">
      <c r="A10" s="60">
        <f>IF(D10=0,"",1+MAX(A$8:A9))</f>
        <v>3</v>
      </c>
      <c r="B10" s="97"/>
      <c r="C10" s="27" t="s">
        <v>21</v>
      </c>
      <c r="D10" s="28">
        <v>1</v>
      </c>
      <c r="E10" s="28" t="s">
        <v>14</v>
      </c>
      <c r="F10" s="26">
        <f t="shared" si="0"/>
        <v>0</v>
      </c>
      <c r="G10" s="26">
        <f t="shared" si="1"/>
        <v>0</v>
      </c>
      <c r="H10" s="98"/>
    </row>
    <row r="11" spans="1:8" s="29" customFormat="1" ht="18" customHeight="1" x14ac:dyDescent="0.2">
      <c r="A11" s="60">
        <f>IF(D11=0,"",1+MAX(A$8:A10))</f>
        <v>4</v>
      </c>
      <c r="B11" s="97"/>
      <c r="C11" s="27" t="s">
        <v>7</v>
      </c>
      <c r="D11" s="28">
        <v>1</v>
      </c>
      <c r="E11" s="28" t="s">
        <v>14</v>
      </c>
      <c r="F11" s="26">
        <f t="shared" si="0"/>
        <v>0</v>
      </c>
      <c r="G11" s="26">
        <f t="shared" si="1"/>
        <v>0</v>
      </c>
      <c r="H11" s="98"/>
    </row>
    <row r="12" spans="1:8" s="29" customFormat="1" ht="18" customHeight="1" x14ac:dyDescent="0.2">
      <c r="A12" s="60">
        <f>IF(D12=0,"",1+MAX(A$8:A11))</f>
        <v>5</v>
      </c>
      <c r="B12" s="97"/>
      <c r="C12" s="27" t="s">
        <v>8</v>
      </c>
      <c r="D12" s="28">
        <v>1</v>
      </c>
      <c r="E12" s="28" t="s">
        <v>14</v>
      </c>
      <c r="F12" s="26">
        <f t="shared" si="0"/>
        <v>0</v>
      </c>
      <c r="G12" s="26">
        <f t="shared" si="1"/>
        <v>0</v>
      </c>
      <c r="H12" s="98"/>
    </row>
    <row r="13" spans="1:8" s="29" customFormat="1" ht="18" customHeight="1" x14ac:dyDescent="0.2">
      <c r="A13" s="60">
        <f>IF(D13=0,"",1+MAX(A$8:A12))</f>
        <v>6</v>
      </c>
      <c r="B13" s="97"/>
      <c r="C13" s="27" t="s">
        <v>9</v>
      </c>
      <c r="D13" s="28">
        <v>1</v>
      </c>
      <c r="E13" s="28" t="s">
        <v>14</v>
      </c>
      <c r="F13" s="26">
        <f t="shared" si="0"/>
        <v>0</v>
      </c>
      <c r="G13" s="26">
        <f t="shared" si="1"/>
        <v>0</v>
      </c>
      <c r="H13" s="98"/>
    </row>
    <row r="14" spans="1:8" s="29" customFormat="1" ht="18" customHeight="1" x14ac:dyDescent="0.2">
      <c r="A14" s="60">
        <f>IF(D14=0,"",1+MAX(A$8:A13))</f>
        <v>7</v>
      </c>
      <c r="B14" s="97"/>
      <c r="C14" s="24" t="s">
        <v>24</v>
      </c>
      <c r="D14" s="28">
        <v>1</v>
      </c>
      <c r="E14" s="6" t="s">
        <v>14</v>
      </c>
      <c r="F14" s="26">
        <f t="shared" si="0"/>
        <v>0</v>
      </c>
      <c r="G14" s="26">
        <f t="shared" si="1"/>
        <v>0</v>
      </c>
      <c r="H14" s="98"/>
    </row>
    <row r="15" spans="1:8" s="29" customFormat="1" ht="18" customHeight="1" x14ac:dyDescent="0.2">
      <c r="A15" s="60" t="str">
        <f>IF(D15=0,"",1+MAX(A5:A14))</f>
        <v/>
      </c>
      <c r="B15" s="64"/>
      <c r="C15" s="9" t="s">
        <v>17</v>
      </c>
      <c r="D15" s="8"/>
      <c r="E15" s="4"/>
      <c r="F15" s="3"/>
      <c r="G15" s="23"/>
      <c r="H15" s="65">
        <f>(SUM(G8:G15))</f>
        <v>0</v>
      </c>
    </row>
    <row r="16" spans="1:8" s="29" customFormat="1" ht="18" customHeight="1" x14ac:dyDescent="0.2">
      <c r="A16" s="31"/>
      <c r="B16" s="33"/>
      <c r="C16" s="7"/>
      <c r="D16" s="21"/>
      <c r="E16" s="21"/>
      <c r="F16" s="22"/>
      <c r="G16" s="22"/>
      <c r="H16" s="32"/>
    </row>
    <row r="17" spans="1:8" s="29" customFormat="1" ht="18" customHeight="1" x14ac:dyDescent="0.2">
      <c r="A17" s="94"/>
      <c r="B17" s="95"/>
      <c r="C17" s="25" t="s">
        <v>19</v>
      </c>
      <c r="D17" s="95"/>
      <c r="E17" s="95"/>
      <c r="F17" s="95"/>
      <c r="G17" s="95"/>
      <c r="H17" s="96"/>
    </row>
    <row r="18" spans="1:8" s="29" customFormat="1" ht="18" customHeight="1" x14ac:dyDescent="0.2">
      <c r="A18" s="67" t="str">
        <f>IF(D18=0,"",1+MAX(A$7:A17))</f>
        <v/>
      </c>
      <c r="B18" s="84" t="s">
        <v>72</v>
      </c>
      <c r="C18" s="84" t="s">
        <v>45</v>
      </c>
      <c r="D18" s="6"/>
      <c r="E18" s="6"/>
      <c r="F18" s="23" t="str">
        <f t="shared" ref="F18" si="2">IF(D18=0,"",0)</f>
        <v/>
      </c>
      <c r="G18" s="23" t="str">
        <f t="shared" ref="G18" si="3">IF(F18="","",D18*F18)</f>
        <v/>
      </c>
      <c r="H18" s="98"/>
    </row>
    <row r="19" spans="1:8" s="29" customFormat="1" ht="18" customHeight="1" x14ac:dyDescent="0.2">
      <c r="A19" s="67">
        <f>IF(D19=0,"",1+MAX(A$7:A18))</f>
        <v>8</v>
      </c>
      <c r="B19" s="106"/>
      <c r="C19" s="85" t="s">
        <v>73</v>
      </c>
      <c r="D19" s="28">
        <v>130</v>
      </c>
      <c r="E19" s="28" t="s">
        <v>35</v>
      </c>
      <c r="F19" s="23">
        <v>7</v>
      </c>
      <c r="G19" s="23">
        <f t="shared" ref="G19:G50" si="4">IF(F19="","",D19*F19)</f>
        <v>910</v>
      </c>
      <c r="H19" s="98"/>
    </row>
    <row r="20" spans="1:8" s="29" customFormat="1" ht="18" customHeight="1" x14ac:dyDescent="0.2">
      <c r="A20" s="67">
        <f>IF(D20=0,"",1+MAX(A$7:A19))</f>
        <v>9</v>
      </c>
      <c r="B20" s="106"/>
      <c r="C20" s="85" t="s">
        <v>74</v>
      </c>
      <c r="D20" s="28">
        <v>4</v>
      </c>
      <c r="E20" s="28" t="s">
        <v>46</v>
      </c>
      <c r="F20" s="23">
        <v>650</v>
      </c>
      <c r="G20" s="23">
        <f t="shared" si="4"/>
        <v>2600</v>
      </c>
      <c r="H20" s="98"/>
    </row>
    <row r="21" spans="1:8" s="29" customFormat="1" ht="18" customHeight="1" x14ac:dyDescent="0.2">
      <c r="A21" s="67">
        <f>IF(D21=0,"",1+MAX(A$7:A20))</f>
        <v>10</v>
      </c>
      <c r="B21" s="106"/>
      <c r="C21" s="85" t="s">
        <v>91</v>
      </c>
      <c r="D21" s="28">
        <v>4</v>
      </c>
      <c r="E21" s="28" t="s">
        <v>46</v>
      </c>
      <c r="F21" s="23">
        <v>250</v>
      </c>
      <c r="G21" s="23">
        <f t="shared" si="4"/>
        <v>1000</v>
      </c>
      <c r="H21" s="98"/>
    </row>
    <row r="22" spans="1:8" s="29" customFormat="1" ht="18" customHeight="1" x14ac:dyDescent="0.2">
      <c r="A22" s="67">
        <f>IF(D22=0,"",1+MAX(A$7:A21))</f>
        <v>11</v>
      </c>
      <c r="B22" s="106"/>
      <c r="C22" s="85" t="s">
        <v>75</v>
      </c>
      <c r="D22" s="86">
        <v>54.39</v>
      </c>
      <c r="E22" s="28" t="s">
        <v>35</v>
      </c>
      <c r="F22" s="23">
        <v>7</v>
      </c>
      <c r="G22" s="23">
        <f t="shared" si="4"/>
        <v>380.73</v>
      </c>
      <c r="H22" s="98"/>
    </row>
    <row r="23" spans="1:8" s="29" customFormat="1" ht="18" customHeight="1" x14ac:dyDescent="0.2">
      <c r="A23" s="67">
        <f>IF(D23=0,"",1+MAX(A$7:A22))</f>
        <v>12</v>
      </c>
      <c r="B23" s="106"/>
      <c r="C23" s="85" t="s">
        <v>76</v>
      </c>
      <c r="D23" s="86">
        <f>186.26+22</f>
        <v>208.26</v>
      </c>
      <c r="E23" s="28" t="s">
        <v>35</v>
      </c>
      <c r="F23" s="23">
        <v>4</v>
      </c>
      <c r="G23" s="23">
        <f t="shared" si="4"/>
        <v>833.04</v>
      </c>
      <c r="H23" s="98"/>
    </row>
    <row r="24" spans="1:8" s="29" customFormat="1" ht="18" customHeight="1" x14ac:dyDescent="0.2">
      <c r="A24" s="67">
        <f>IF(D24=0,"",1+MAX(A$7:A23))</f>
        <v>13</v>
      </c>
      <c r="B24" s="106"/>
      <c r="C24" s="85" t="s">
        <v>77</v>
      </c>
      <c r="D24" s="86">
        <v>180.47</v>
      </c>
      <c r="E24" s="28" t="s">
        <v>35</v>
      </c>
      <c r="F24" s="23">
        <v>15</v>
      </c>
      <c r="G24" s="23">
        <f t="shared" si="4"/>
        <v>2707.05</v>
      </c>
      <c r="H24" s="98"/>
    </row>
    <row r="25" spans="1:8" s="29" customFormat="1" ht="18" customHeight="1" x14ac:dyDescent="0.2">
      <c r="A25" s="67">
        <f>IF(D25=0,"",1+MAX(A$7:A24))</f>
        <v>14</v>
      </c>
      <c r="B25" s="106"/>
      <c r="C25" s="85" t="s">
        <v>78</v>
      </c>
      <c r="D25" s="86">
        <f>180.47+22</f>
        <v>202.47</v>
      </c>
      <c r="E25" s="28" t="s">
        <v>35</v>
      </c>
      <c r="F25" s="23">
        <v>4</v>
      </c>
      <c r="G25" s="23">
        <f t="shared" si="4"/>
        <v>809.88</v>
      </c>
      <c r="H25" s="98"/>
    </row>
    <row r="26" spans="1:8" s="29" customFormat="1" ht="18" customHeight="1" x14ac:dyDescent="0.2">
      <c r="A26" s="67">
        <f>IF(D26=0,"",1+MAX(A$7:A25))</f>
        <v>15</v>
      </c>
      <c r="B26" s="106"/>
      <c r="C26" s="85" t="s">
        <v>79</v>
      </c>
      <c r="D26" s="86">
        <v>180.47</v>
      </c>
      <c r="E26" s="28" t="s">
        <v>35</v>
      </c>
      <c r="F26" s="23">
        <v>5</v>
      </c>
      <c r="G26" s="23">
        <f t="shared" si="4"/>
        <v>902.35</v>
      </c>
      <c r="H26" s="98"/>
    </row>
    <row r="27" spans="1:8" s="29" customFormat="1" ht="18" customHeight="1" x14ac:dyDescent="0.2">
      <c r="A27" s="67">
        <f>IF(D27=0,"",1+MAX(A$7:A26))</f>
        <v>16</v>
      </c>
      <c r="B27" s="106"/>
      <c r="C27" s="85" t="s">
        <v>80</v>
      </c>
      <c r="D27" s="86">
        <f>126.96+22</f>
        <v>148.95999999999998</v>
      </c>
      <c r="E27" s="28" t="s">
        <v>35</v>
      </c>
      <c r="F27" s="23">
        <v>7</v>
      </c>
      <c r="G27" s="23">
        <f t="shared" si="4"/>
        <v>1042.7199999999998</v>
      </c>
      <c r="H27" s="98"/>
    </row>
    <row r="28" spans="1:8" s="29" customFormat="1" ht="18" customHeight="1" x14ac:dyDescent="0.2">
      <c r="A28" s="67">
        <f>IF(D28=0,"",1+MAX(A$7:A27))</f>
        <v>17</v>
      </c>
      <c r="B28" s="106"/>
      <c r="C28" s="85" t="s">
        <v>81</v>
      </c>
      <c r="D28" s="86">
        <v>126.96</v>
      </c>
      <c r="E28" s="28" t="s">
        <v>35</v>
      </c>
      <c r="F28" s="23">
        <v>6</v>
      </c>
      <c r="G28" s="23">
        <f t="shared" si="4"/>
        <v>761.76</v>
      </c>
      <c r="H28" s="98"/>
    </row>
    <row r="29" spans="1:8" s="29" customFormat="1" ht="18" customHeight="1" x14ac:dyDescent="0.2">
      <c r="A29" s="67">
        <f>IF(D29=0,"",1+MAX(A$7:A28))</f>
        <v>18</v>
      </c>
      <c r="B29" s="106"/>
      <c r="C29" s="85" t="s">
        <v>82</v>
      </c>
      <c r="D29" s="86">
        <v>238.69</v>
      </c>
      <c r="E29" s="28" t="s">
        <v>40</v>
      </c>
      <c r="F29" s="23">
        <v>25</v>
      </c>
      <c r="G29" s="23">
        <f t="shared" si="4"/>
        <v>5967.25</v>
      </c>
      <c r="H29" s="98"/>
    </row>
    <row r="30" spans="1:8" s="29" customFormat="1" ht="18" customHeight="1" x14ac:dyDescent="0.2">
      <c r="A30" s="67">
        <f>IF(D30=0,"",1+MAX(A$7:A29))</f>
        <v>19</v>
      </c>
      <c r="B30" s="106"/>
      <c r="C30" s="85" t="s">
        <v>83</v>
      </c>
      <c r="D30" s="28">
        <v>32</v>
      </c>
      <c r="E30" s="28" t="s">
        <v>35</v>
      </c>
      <c r="F30" s="23">
        <v>3</v>
      </c>
      <c r="G30" s="23">
        <f t="shared" si="4"/>
        <v>96</v>
      </c>
      <c r="H30" s="98"/>
    </row>
    <row r="31" spans="1:8" s="29" customFormat="1" ht="18" customHeight="1" x14ac:dyDescent="0.2">
      <c r="A31" s="67">
        <f>IF(D31=0,"",1+MAX(A$7:A30))</f>
        <v>20</v>
      </c>
      <c r="B31" s="106"/>
      <c r="C31" s="85" t="s">
        <v>84</v>
      </c>
      <c r="D31" s="86">
        <v>1349.36</v>
      </c>
      <c r="E31" s="28" t="s">
        <v>40</v>
      </c>
      <c r="F31" s="23">
        <v>7</v>
      </c>
      <c r="G31" s="23">
        <f t="shared" si="4"/>
        <v>9445.5199999999986</v>
      </c>
      <c r="H31" s="98"/>
    </row>
    <row r="32" spans="1:8" s="29" customFormat="1" ht="18" customHeight="1" x14ac:dyDescent="0.2">
      <c r="A32" s="67">
        <f>IF(D32=0,"",1+MAX(A$7:A31))</f>
        <v>21</v>
      </c>
      <c r="B32" s="106"/>
      <c r="C32" s="85" t="s">
        <v>85</v>
      </c>
      <c r="D32" s="86">
        <v>2765.05</v>
      </c>
      <c r="E32" s="28" t="s">
        <v>40</v>
      </c>
      <c r="F32" s="90">
        <v>1.5</v>
      </c>
      <c r="G32" s="23">
        <f t="shared" si="4"/>
        <v>4147.5750000000007</v>
      </c>
      <c r="H32" s="98"/>
    </row>
    <row r="33" spans="1:8" s="29" customFormat="1" ht="18" customHeight="1" x14ac:dyDescent="0.2">
      <c r="A33" s="67">
        <f>IF(D33=0,"",1+MAX(A$7:A32))</f>
        <v>22</v>
      </c>
      <c r="B33" s="106"/>
      <c r="C33" s="85" t="s">
        <v>86</v>
      </c>
      <c r="D33" s="86">
        <f>2765.05+24</f>
        <v>2789.05</v>
      </c>
      <c r="E33" s="28" t="s">
        <v>40</v>
      </c>
      <c r="F33" s="23">
        <v>6</v>
      </c>
      <c r="G33" s="23">
        <f t="shared" si="4"/>
        <v>16734.300000000003</v>
      </c>
      <c r="H33" s="98"/>
    </row>
    <row r="34" spans="1:8" s="29" customFormat="1" ht="18" customHeight="1" x14ac:dyDescent="0.2">
      <c r="A34" s="67">
        <f>IF(D34=0,"",1+MAX(A$7:A33))</f>
        <v>23</v>
      </c>
      <c r="B34" s="106"/>
      <c r="C34" s="85" t="s">
        <v>87</v>
      </c>
      <c r="D34" s="86">
        <v>2443.75</v>
      </c>
      <c r="E34" s="28" t="s">
        <v>40</v>
      </c>
      <c r="F34" s="23">
        <v>6</v>
      </c>
      <c r="G34" s="23">
        <f t="shared" si="4"/>
        <v>14662.5</v>
      </c>
      <c r="H34" s="98"/>
    </row>
    <row r="35" spans="1:8" s="29" customFormat="1" ht="18" customHeight="1" x14ac:dyDescent="0.2">
      <c r="A35" s="67">
        <f>IF(D35=0,"",1+MAX(A$7:A34))</f>
        <v>24</v>
      </c>
      <c r="B35" s="106"/>
      <c r="C35" s="85" t="s">
        <v>88</v>
      </c>
      <c r="D35" s="86">
        <v>3793</v>
      </c>
      <c r="E35" s="28" t="s">
        <v>40</v>
      </c>
      <c r="F35" s="90">
        <v>1.1000000000000001</v>
      </c>
      <c r="G35" s="23">
        <f t="shared" si="4"/>
        <v>4172.3</v>
      </c>
      <c r="H35" s="98"/>
    </row>
    <row r="36" spans="1:8" s="29" customFormat="1" ht="18" customHeight="1" x14ac:dyDescent="0.2">
      <c r="A36" s="67">
        <f>IF(D36=0,"",1+MAX(A$7:A35))</f>
        <v>25</v>
      </c>
      <c r="B36" s="106"/>
      <c r="C36" s="85" t="s">
        <v>89</v>
      </c>
      <c r="D36" s="86">
        <v>3793</v>
      </c>
      <c r="E36" s="28" t="s">
        <v>40</v>
      </c>
      <c r="F36" s="90">
        <v>1.5</v>
      </c>
      <c r="G36" s="23">
        <f t="shared" si="4"/>
        <v>5689.5</v>
      </c>
      <c r="H36" s="98"/>
    </row>
    <row r="37" spans="1:8" s="29" customFormat="1" ht="18" customHeight="1" x14ac:dyDescent="0.2">
      <c r="A37" s="67">
        <f>IF(D37=0,"",1+MAX(A$7:A36))</f>
        <v>26</v>
      </c>
      <c r="B37" s="106"/>
      <c r="C37" s="85" t="s">
        <v>90</v>
      </c>
      <c r="D37" s="86">
        <f>6558+24</f>
        <v>6582</v>
      </c>
      <c r="E37" s="28" t="s">
        <v>40</v>
      </c>
      <c r="F37" s="23">
        <v>3</v>
      </c>
      <c r="G37" s="23">
        <f t="shared" si="4"/>
        <v>19746</v>
      </c>
      <c r="H37" s="98"/>
    </row>
    <row r="38" spans="1:8" s="29" customFormat="1" ht="18" customHeight="1" x14ac:dyDescent="0.2">
      <c r="A38" s="67" t="str">
        <f>IF(D38=0,"",1+MAX(A$7:A37))</f>
        <v/>
      </c>
      <c r="B38" s="83" t="s">
        <v>92</v>
      </c>
      <c r="C38" s="83" t="s">
        <v>93</v>
      </c>
      <c r="D38" s="28"/>
      <c r="E38" s="28"/>
      <c r="F38" s="23" t="str">
        <f t="shared" ref="F38:F50" si="5">IF(D38=0,"",0)</f>
        <v/>
      </c>
      <c r="G38" s="23" t="str">
        <f t="shared" si="4"/>
        <v/>
      </c>
      <c r="H38" s="98"/>
    </row>
    <row r="39" spans="1:8" s="29" customFormat="1" ht="18" customHeight="1" x14ac:dyDescent="0.2">
      <c r="A39" s="67" t="str">
        <f>IF(D39=0,"",1+MAX(A$7:A38))</f>
        <v/>
      </c>
      <c r="B39" s="107"/>
      <c r="C39" s="92" t="s">
        <v>45</v>
      </c>
      <c r="D39" s="28"/>
      <c r="E39" s="28"/>
      <c r="F39" s="23" t="str">
        <f t="shared" si="5"/>
        <v/>
      </c>
      <c r="G39" s="23" t="str">
        <f t="shared" si="4"/>
        <v/>
      </c>
      <c r="H39" s="98"/>
    </row>
    <row r="40" spans="1:8" s="29" customFormat="1" ht="18" customHeight="1" x14ac:dyDescent="0.2">
      <c r="A40" s="67">
        <f>IF(D40=0,"",1+MAX(A$7:A39))</f>
        <v>27</v>
      </c>
      <c r="B40" s="108"/>
      <c r="C40" s="85" t="s">
        <v>94</v>
      </c>
      <c r="D40" s="86">
        <v>61.44</v>
      </c>
      <c r="E40" s="28" t="s">
        <v>35</v>
      </c>
      <c r="F40" s="23">
        <v>4</v>
      </c>
      <c r="G40" s="23">
        <f t="shared" si="4"/>
        <v>245.76</v>
      </c>
      <c r="H40" s="98"/>
    </row>
    <row r="41" spans="1:8" s="29" customFormat="1" ht="18" customHeight="1" x14ac:dyDescent="0.2">
      <c r="A41" s="67">
        <f>IF(D41=0,"",1+MAX(A$7:A40))</f>
        <v>28</v>
      </c>
      <c r="B41" s="108"/>
      <c r="C41" s="85" t="s">
        <v>95</v>
      </c>
      <c r="D41" s="86">
        <v>61.44</v>
      </c>
      <c r="E41" s="28" t="s">
        <v>35</v>
      </c>
      <c r="F41" s="23">
        <v>15</v>
      </c>
      <c r="G41" s="23">
        <f t="shared" si="4"/>
        <v>921.59999999999991</v>
      </c>
      <c r="H41" s="98"/>
    </row>
    <row r="42" spans="1:8" s="29" customFormat="1" ht="18" customHeight="1" x14ac:dyDescent="0.2">
      <c r="A42" s="67">
        <f>IF(D42=0,"",1+MAX(A$7:A41))</f>
        <v>29</v>
      </c>
      <c r="B42" s="108"/>
      <c r="C42" s="85" t="s">
        <v>96</v>
      </c>
      <c r="D42" s="86">
        <v>122.63</v>
      </c>
      <c r="E42" s="28" t="s">
        <v>35</v>
      </c>
      <c r="F42" s="23">
        <v>5</v>
      </c>
      <c r="G42" s="23">
        <f t="shared" si="4"/>
        <v>613.15</v>
      </c>
      <c r="H42" s="98"/>
    </row>
    <row r="43" spans="1:8" s="29" customFormat="1" ht="18" customHeight="1" x14ac:dyDescent="0.2">
      <c r="A43" s="67">
        <f>IF(D43=0,"",1+MAX(A$7:A42))</f>
        <v>30</v>
      </c>
      <c r="B43" s="108"/>
      <c r="C43" s="85" t="s">
        <v>53</v>
      </c>
      <c r="D43" s="86">
        <v>122.63</v>
      </c>
      <c r="E43" s="28" t="s">
        <v>35</v>
      </c>
      <c r="F43" s="23">
        <v>2</v>
      </c>
      <c r="G43" s="23">
        <f t="shared" si="4"/>
        <v>245.26</v>
      </c>
      <c r="H43" s="98"/>
    </row>
    <row r="44" spans="1:8" s="29" customFormat="1" ht="18" customHeight="1" x14ac:dyDescent="0.2">
      <c r="A44" s="67">
        <f>IF(D44=0,"",1+MAX(A$7:A43))</f>
        <v>31</v>
      </c>
      <c r="B44" s="108"/>
      <c r="C44" s="85" t="s">
        <v>97</v>
      </c>
      <c r="D44" s="86">
        <v>122.63</v>
      </c>
      <c r="E44" s="28" t="s">
        <v>35</v>
      </c>
      <c r="F44" s="23">
        <v>7</v>
      </c>
      <c r="G44" s="23">
        <f t="shared" si="4"/>
        <v>858.41</v>
      </c>
      <c r="H44" s="98"/>
    </row>
    <row r="45" spans="1:8" s="29" customFormat="1" ht="18" customHeight="1" x14ac:dyDescent="0.2">
      <c r="A45" s="67">
        <f>IF(D45=0,"",1+MAX(A$7:A44))</f>
        <v>32</v>
      </c>
      <c r="B45" s="108"/>
      <c r="C45" s="85" t="s">
        <v>98</v>
      </c>
      <c r="D45" s="86">
        <v>93.13</v>
      </c>
      <c r="E45" s="28" t="s">
        <v>35</v>
      </c>
      <c r="F45" s="23">
        <v>5</v>
      </c>
      <c r="G45" s="23">
        <f t="shared" si="4"/>
        <v>465.65</v>
      </c>
      <c r="H45" s="98"/>
    </row>
    <row r="46" spans="1:8" s="29" customFormat="1" ht="18" customHeight="1" x14ac:dyDescent="0.2">
      <c r="A46" s="67">
        <f>IF(D46=0,"",1+MAX(A$7:A45))</f>
        <v>33</v>
      </c>
      <c r="B46" s="108"/>
      <c r="C46" s="85" t="s">
        <v>99</v>
      </c>
      <c r="D46" s="86">
        <v>575.01</v>
      </c>
      <c r="E46" s="28" t="s">
        <v>40</v>
      </c>
      <c r="F46" s="23">
        <v>25</v>
      </c>
      <c r="G46" s="23">
        <f t="shared" si="4"/>
        <v>14375.25</v>
      </c>
      <c r="H46" s="98"/>
    </row>
    <row r="47" spans="1:8" s="29" customFormat="1" ht="18" customHeight="1" x14ac:dyDescent="0.2">
      <c r="A47" s="67">
        <f>IF(D47=0,"",1+MAX(A$7:A46))</f>
        <v>34</v>
      </c>
      <c r="B47" s="108"/>
      <c r="C47" s="85" t="s">
        <v>87</v>
      </c>
      <c r="D47" s="86">
        <v>778.09</v>
      </c>
      <c r="E47" s="28" t="s">
        <v>40</v>
      </c>
      <c r="F47" s="23">
        <v>6</v>
      </c>
      <c r="G47" s="23">
        <f t="shared" si="4"/>
        <v>4668.54</v>
      </c>
      <c r="H47" s="98"/>
    </row>
    <row r="48" spans="1:8" s="29" customFormat="1" ht="18" customHeight="1" x14ac:dyDescent="0.2">
      <c r="A48" s="67">
        <f>IF(D48=0,"",1+MAX(A$7:A47))</f>
        <v>35</v>
      </c>
      <c r="B48" s="108"/>
      <c r="C48" s="85" t="s">
        <v>100</v>
      </c>
      <c r="D48" s="86">
        <v>778.09</v>
      </c>
      <c r="E48" s="28" t="s">
        <v>40</v>
      </c>
      <c r="F48" s="90">
        <v>1.1000000000000001</v>
      </c>
      <c r="G48" s="23">
        <f t="shared" si="4"/>
        <v>855.89900000000011</v>
      </c>
      <c r="H48" s="98"/>
    </row>
    <row r="49" spans="1:8" s="29" customFormat="1" ht="18" customHeight="1" x14ac:dyDescent="0.2">
      <c r="A49" s="67">
        <f>IF(D49=0,"",1+MAX(A$7:A48))</f>
        <v>36</v>
      </c>
      <c r="B49" s="109"/>
      <c r="C49" s="91" t="s">
        <v>101</v>
      </c>
      <c r="D49" s="86">
        <v>778.09</v>
      </c>
      <c r="E49" s="28" t="s">
        <v>40</v>
      </c>
      <c r="F49" s="23">
        <v>3</v>
      </c>
      <c r="G49" s="23">
        <f t="shared" si="4"/>
        <v>2334.27</v>
      </c>
      <c r="H49" s="98"/>
    </row>
    <row r="50" spans="1:8" s="29" customFormat="1" ht="18" customHeight="1" x14ac:dyDescent="0.2">
      <c r="A50" s="67" t="str">
        <f>IF(D50=0,"",1+MAX(A$7:A49))</f>
        <v/>
      </c>
      <c r="B50" s="64"/>
      <c r="C50" s="9" t="s">
        <v>20</v>
      </c>
      <c r="D50" s="8"/>
      <c r="E50" s="4"/>
      <c r="F50" s="23" t="str">
        <f t="shared" si="5"/>
        <v/>
      </c>
      <c r="G50" s="23" t="str">
        <f t="shared" si="4"/>
        <v/>
      </c>
      <c r="H50" s="65">
        <f>(SUM(G18:G50))</f>
        <v>118192.264</v>
      </c>
    </row>
    <row r="51" spans="1:8" s="29" customFormat="1" ht="18" customHeight="1" thickBot="1" x14ac:dyDescent="0.25">
      <c r="A51" s="31"/>
      <c r="B51" s="33"/>
      <c r="C51" s="7"/>
      <c r="D51" s="21"/>
      <c r="E51" s="21"/>
      <c r="F51" s="22"/>
      <c r="G51" s="22"/>
      <c r="H51" s="32"/>
    </row>
    <row r="52" spans="1:8" s="29" customFormat="1" ht="18" customHeight="1" x14ac:dyDescent="0.2">
      <c r="A52" s="79"/>
      <c r="B52" s="80" t="s">
        <v>18</v>
      </c>
      <c r="C52" s="17"/>
      <c r="D52" s="18"/>
      <c r="E52" s="18"/>
      <c r="F52" s="17"/>
      <c r="G52" s="17"/>
      <c r="H52" s="87">
        <f>SUM(H8:H51)</f>
        <v>118192.264</v>
      </c>
    </row>
    <row r="53" spans="1:8" s="29" customFormat="1" ht="18" customHeight="1" x14ac:dyDescent="0.2">
      <c r="A53" s="77"/>
      <c r="B53" s="78" t="s">
        <v>30</v>
      </c>
      <c r="C53" s="11"/>
      <c r="D53" s="72">
        <v>0.2</v>
      </c>
      <c r="E53" s="14"/>
      <c r="F53" s="10"/>
      <c r="G53" s="10"/>
      <c r="H53" s="88">
        <f>(H52*D53)</f>
        <v>23638.452799999999</v>
      </c>
    </row>
    <row r="54" spans="1:8" s="29" customFormat="1" ht="18" customHeight="1" x14ac:dyDescent="0.2">
      <c r="A54" s="77"/>
      <c r="B54" s="78" t="s">
        <v>10</v>
      </c>
      <c r="C54" s="11"/>
      <c r="D54" s="72">
        <v>0.03</v>
      </c>
      <c r="E54" s="15"/>
      <c r="F54" s="12"/>
      <c r="G54" s="12"/>
      <c r="H54" s="88">
        <f>(H52*D54)</f>
        <v>3545.7679199999998</v>
      </c>
    </row>
    <row r="55" spans="1:8" s="29" customFormat="1" ht="18" customHeight="1" x14ac:dyDescent="0.2">
      <c r="A55" s="77"/>
      <c r="B55" s="78" t="s">
        <v>12</v>
      </c>
      <c r="C55" s="11"/>
      <c r="D55" s="72">
        <v>7.0000000000000007E-2</v>
      </c>
      <c r="E55" s="16"/>
      <c r="F55" s="13"/>
      <c r="G55" s="13"/>
      <c r="H55" s="88">
        <f>(H52*D55)</f>
        <v>8273.4584800000011</v>
      </c>
    </row>
    <row r="56" spans="1:8" ht="24" customHeight="1" thickBot="1" x14ac:dyDescent="0.25">
      <c r="A56" s="102" t="s">
        <v>11</v>
      </c>
      <c r="B56" s="103"/>
      <c r="C56" s="19"/>
      <c r="D56" s="20"/>
      <c r="E56" s="20"/>
      <c r="F56" s="19"/>
      <c r="G56" s="19"/>
      <c r="H56" s="89">
        <f>SUM(H52:H55)</f>
        <v>153649.94320000001</v>
      </c>
    </row>
    <row r="57" spans="1:8" s="29" customFormat="1" ht="18" customHeight="1" thickBot="1" x14ac:dyDescent="0.25">
      <c r="A57" s="104" t="s">
        <v>15</v>
      </c>
      <c r="B57" s="105"/>
      <c r="C57" s="51"/>
      <c r="D57" s="52"/>
      <c r="E57" s="52"/>
      <c r="F57" s="51"/>
      <c r="G57" s="51"/>
      <c r="H57" s="53"/>
    </row>
    <row r="58" spans="1:8" s="29" customFormat="1" ht="18" customHeight="1" x14ac:dyDescent="0.2">
      <c r="A58" s="54" t="s">
        <v>115</v>
      </c>
      <c r="B58" s="93" t="s">
        <v>116</v>
      </c>
      <c r="C58" s="93"/>
      <c r="D58" s="52"/>
      <c r="E58" s="52"/>
      <c r="F58" s="51"/>
      <c r="G58" s="51"/>
      <c r="H58" s="53"/>
    </row>
    <row r="59" spans="1:8" s="29" customFormat="1" ht="18" customHeight="1" thickBot="1" x14ac:dyDescent="0.25">
      <c r="A59" s="55"/>
      <c r="B59" s="56"/>
      <c r="C59" s="57"/>
      <c r="D59" s="58"/>
      <c r="E59" s="58"/>
      <c r="F59" s="57"/>
      <c r="G59" s="57"/>
      <c r="H59" s="59"/>
    </row>
  </sheetData>
  <mergeCells count="12">
    <mergeCell ref="B58:C58"/>
    <mergeCell ref="H18:H49"/>
    <mergeCell ref="A56:B56"/>
    <mergeCell ref="A57:B57"/>
    <mergeCell ref="B19:B37"/>
    <mergeCell ref="B39:B49"/>
    <mergeCell ref="A7:B7"/>
    <mergeCell ref="D7:H7"/>
    <mergeCell ref="B8:B14"/>
    <mergeCell ref="H8:H14"/>
    <mergeCell ref="A17:B17"/>
    <mergeCell ref="D17:H17"/>
  </mergeCells>
  <printOptions horizontalCentered="1"/>
  <pageMargins left="0" right="0" top="0" bottom="0.17" header="0" footer="0"/>
  <pageSetup paperSize="9" scale="67" fitToHeight="0" orientation="portrait" r:id="rId1"/>
  <headerFooter scaleWithDoc="0"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F00"/>
    <pageSetUpPr fitToPage="1"/>
  </sheetPr>
  <dimension ref="A1:H54"/>
  <sheetViews>
    <sheetView showGridLines="0" zoomScaleNormal="100" zoomScaleSheetLayoutView="100" workbookViewId="0">
      <selection activeCell="C2" sqref="C2"/>
    </sheetView>
  </sheetViews>
  <sheetFormatPr baseColWidth="10" defaultColWidth="9.1640625" defaultRowHeight="15" x14ac:dyDescent="0.2"/>
  <cols>
    <col min="1" max="1" width="7" style="1" customWidth="1"/>
    <col min="2" max="2" width="12.1640625" style="34" customWidth="1"/>
    <col min="3" max="3" width="62.6640625" style="1" customWidth="1"/>
    <col min="4" max="4" width="11.6640625" style="5" customWidth="1"/>
    <col min="5" max="5" width="8.5" style="5" customWidth="1"/>
    <col min="6" max="6" width="15.33203125" style="1" customWidth="1"/>
    <col min="7" max="7" width="14.83203125" style="1" customWidth="1"/>
    <col min="8" max="8" width="16.1640625" style="1" customWidth="1"/>
    <col min="9" max="16384" width="9.1640625" style="1"/>
  </cols>
  <sheetData>
    <row r="1" spans="1:8" ht="18" customHeight="1" x14ac:dyDescent="0.2">
      <c r="A1" s="35"/>
      <c r="B1" s="36"/>
      <c r="C1" s="61"/>
      <c r="D1" s="37"/>
      <c r="E1" s="47"/>
      <c r="F1" s="62" t="s">
        <v>25</v>
      </c>
      <c r="G1" s="48"/>
      <c r="H1" s="38"/>
    </row>
    <row r="2" spans="1:8" ht="18" customHeight="1" x14ac:dyDescent="0.2">
      <c r="A2" s="68" t="s">
        <v>27</v>
      </c>
      <c r="B2" s="69"/>
      <c r="C2" s="74"/>
      <c r="D2" s="42"/>
      <c r="E2" s="44"/>
      <c r="F2" s="49" t="s">
        <v>16</v>
      </c>
      <c r="G2" s="50"/>
      <c r="H2" s="43"/>
    </row>
    <row r="3" spans="1:8" ht="18" customHeight="1" x14ac:dyDescent="0.2">
      <c r="A3" s="39"/>
      <c r="B3" s="40"/>
      <c r="C3" s="41"/>
      <c r="D3" s="42"/>
      <c r="E3" s="44"/>
      <c r="F3" s="49" t="s">
        <v>22</v>
      </c>
      <c r="G3" s="50"/>
      <c r="H3" s="43"/>
    </row>
    <row r="4" spans="1:8" ht="18" customHeight="1" x14ac:dyDescent="0.2">
      <c r="A4" s="63" t="s">
        <v>26</v>
      </c>
      <c r="B4" s="49"/>
      <c r="C4" s="75" t="s">
        <v>31</v>
      </c>
      <c r="D4" s="42"/>
      <c r="E4" s="44"/>
      <c r="F4" s="49" t="s">
        <v>23</v>
      </c>
      <c r="G4" s="50"/>
      <c r="H4" s="43"/>
    </row>
    <row r="5" spans="1:8" ht="18" customHeight="1" x14ac:dyDescent="0.2">
      <c r="A5" s="66"/>
      <c r="D5" s="45"/>
      <c r="E5" s="44"/>
      <c r="F5" s="49" t="s">
        <v>56</v>
      </c>
      <c r="G5" s="81"/>
      <c r="H5" s="46"/>
    </row>
    <row r="6" spans="1:8" ht="21" customHeight="1" x14ac:dyDescent="0.2">
      <c r="A6" s="73" t="s">
        <v>0</v>
      </c>
      <c r="B6" s="76" t="s">
        <v>1</v>
      </c>
      <c r="C6" s="76" t="s">
        <v>2</v>
      </c>
      <c r="D6" s="76" t="s">
        <v>3</v>
      </c>
      <c r="E6" s="76" t="s">
        <v>4</v>
      </c>
      <c r="F6" s="70" t="s">
        <v>28</v>
      </c>
      <c r="G6" s="70" t="s">
        <v>29</v>
      </c>
      <c r="H6" s="71" t="s">
        <v>32</v>
      </c>
    </row>
    <row r="7" spans="1:8" s="29" customFormat="1" ht="18" customHeight="1" x14ac:dyDescent="0.2">
      <c r="A7" s="94"/>
      <c r="B7" s="95"/>
      <c r="C7" s="25" t="s">
        <v>5</v>
      </c>
      <c r="D7" s="95"/>
      <c r="E7" s="95"/>
      <c r="F7" s="95"/>
      <c r="G7" s="95"/>
      <c r="H7" s="96"/>
    </row>
    <row r="8" spans="1:8" s="29" customFormat="1" ht="18" customHeight="1" x14ac:dyDescent="0.2">
      <c r="A8" s="30">
        <v>1</v>
      </c>
      <c r="B8" s="97"/>
      <c r="C8" s="2" t="s">
        <v>6</v>
      </c>
      <c r="D8" s="6">
        <v>1</v>
      </c>
      <c r="E8" s="6" t="s">
        <v>14</v>
      </c>
      <c r="F8" s="23">
        <f t="shared" ref="F8:F14" si="0">IF(D8=0,"",0)</f>
        <v>0</v>
      </c>
      <c r="G8" s="23">
        <f>IF(F8="","",D8*F8)</f>
        <v>0</v>
      </c>
      <c r="H8" s="98"/>
    </row>
    <row r="9" spans="1:8" s="29" customFormat="1" ht="18" customHeight="1" x14ac:dyDescent="0.2">
      <c r="A9" s="60">
        <f>IF(D9=0,"",1+MAX(A$8:A8))</f>
        <v>2</v>
      </c>
      <c r="B9" s="97"/>
      <c r="C9" s="27" t="s">
        <v>13</v>
      </c>
      <c r="D9" s="28">
        <v>1</v>
      </c>
      <c r="E9" s="28" t="s">
        <v>14</v>
      </c>
      <c r="F9" s="26">
        <f t="shared" si="0"/>
        <v>0</v>
      </c>
      <c r="G9" s="23">
        <f t="shared" ref="G9:G14" si="1">IF(F9="","",D9*F9)</f>
        <v>0</v>
      </c>
      <c r="H9" s="98"/>
    </row>
    <row r="10" spans="1:8" s="29" customFormat="1" ht="18" customHeight="1" x14ac:dyDescent="0.2">
      <c r="A10" s="60">
        <f>IF(D10=0,"",1+MAX(A$8:A9))</f>
        <v>3</v>
      </c>
      <c r="B10" s="97"/>
      <c r="C10" s="27" t="s">
        <v>21</v>
      </c>
      <c r="D10" s="28">
        <v>1</v>
      </c>
      <c r="E10" s="28" t="s">
        <v>14</v>
      </c>
      <c r="F10" s="26">
        <f t="shared" si="0"/>
        <v>0</v>
      </c>
      <c r="G10" s="23">
        <f t="shared" si="1"/>
        <v>0</v>
      </c>
      <c r="H10" s="98"/>
    </row>
    <row r="11" spans="1:8" s="29" customFormat="1" ht="18" customHeight="1" x14ac:dyDescent="0.2">
      <c r="A11" s="60">
        <f>IF(D11=0,"",1+MAX(A$8:A10))</f>
        <v>4</v>
      </c>
      <c r="B11" s="97"/>
      <c r="C11" s="27" t="s">
        <v>7</v>
      </c>
      <c r="D11" s="28">
        <v>1</v>
      </c>
      <c r="E11" s="28" t="s">
        <v>14</v>
      </c>
      <c r="F11" s="26">
        <f t="shared" si="0"/>
        <v>0</v>
      </c>
      <c r="G11" s="23">
        <f t="shared" si="1"/>
        <v>0</v>
      </c>
      <c r="H11" s="98"/>
    </row>
    <row r="12" spans="1:8" s="29" customFormat="1" ht="18" customHeight="1" x14ac:dyDescent="0.2">
      <c r="A12" s="60">
        <f>IF(D12=0,"",1+MAX(A$8:A11))</f>
        <v>5</v>
      </c>
      <c r="B12" s="97"/>
      <c r="C12" s="27" t="s">
        <v>8</v>
      </c>
      <c r="D12" s="28">
        <v>1</v>
      </c>
      <c r="E12" s="28" t="s">
        <v>14</v>
      </c>
      <c r="F12" s="26">
        <f t="shared" si="0"/>
        <v>0</v>
      </c>
      <c r="G12" s="23">
        <f t="shared" si="1"/>
        <v>0</v>
      </c>
      <c r="H12" s="98"/>
    </row>
    <row r="13" spans="1:8" s="29" customFormat="1" ht="18" customHeight="1" x14ac:dyDescent="0.2">
      <c r="A13" s="60">
        <f>IF(D13=0,"",1+MAX(A$8:A12))</f>
        <v>6</v>
      </c>
      <c r="B13" s="97"/>
      <c r="C13" s="27" t="s">
        <v>9</v>
      </c>
      <c r="D13" s="28">
        <v>1</v>
      </c>
      <c r="E13" s="28" t="s">
        <v>14</v>
      </c>
      <c r="F13" s="26">
        <f t="shared" si="0"/>
        <v>0</v>
      </c>
      <c r="G13" s="23">
        <f t="shared" si="1"/>
        <v>0</v>
      </c>
      <c r="H13" s="98"/>
    </row>
    <row r="14" spans="1:8" s="29" customFormat="1" ht="18" customHeight="1" x14ac:dyDescent="0.2">
      <c r="A14" s="60">
        <f>IF(D14=0,"",1+MAX(A$8:A13))</f>
        <v>7</v>
      </c>
      <c r="B14" s="97"/>
      <c r="C14" s="24" t="s">
        <v>24</v>
      </c>
      <c r="D14" s="28">
        <v>1</v>
      </c>
      <c r="E14" s="6" t="s">
        <v>14</v>
      </c>
      <c r="F14" s="26">
        <f t="shared" si="0"/>
        <v>0</v>
      </c>
      <c r="G14" s="23">
        <f t="shared" si="1"/>
        <v>0</v>
      </c>
      <c r="H14" s="98"/>
    </row>
    <row r="15" spans="1:8" s="29" customFormat="1" ht="18" customHeight="1" x14ac:dyDescent="0.2">
      <c r="A15" s="60" t="str">
        <f>IF(D15=0,"",1+MAX(A5:A14))</f>
        <v/>
      </c>
      <c r="B15" s="64"/>
      <c r="C15" s="9" t="s">
        <v>17</v>
      </c>
      <c r="D15" s="8"/>
      <c r="E15" s="4"/>
      <c r="F15" s="3"/>
      <c r="G15" s="23"/>
      <c r="H15" s="65">
        <f>(SUM(G8:G15))</f>
        <v>0</v>
      </c>
    </row>
    <row r="16" spans="1:8" s="29" customFormat="1" ht="18" customHeight="1" x14ac:dyDescent="0.2">
      <c r="A16" s="31"/>
      <c r="B16" s="33"/>
      <c r="C16" s="7"/>
      <c r="D16" s="21"/>
      <c r="E16" s="21"/>
      <c r="F16" s="22"/>
      <c r="G16" s="22"/>
      <c r="H16" s="32"/>
    </row>
    <row r="17" spans="1:8" s="29" customFormat="1" ht="18" customHeight="1" x14ac:dyDescent="0.2">
      <c r="A17" s="94"/>
      <c r="B17" s="95"/>
      <c r="C17" s="25" t="s">
        <v>19</v>
      </c>
      <c r="D17" s="95"/>
      <c r="E17" s="95"/>
      <c r="F17" s="95"/>
      <c r="G17" s="95"/>
      <c r="H17" s="96"/>
    </row>
    <row r="18" spans="1:8" s="29" customFormat="1" ht="18" customHeight="1" x14ac:dyDescent="0.2">
      <c r="A18" s="67" t="str">
        <f>IF(D18=0,"",1+MAX(A$7:A17))</f>
        <v/>
      </c>
      <c r="B18" s="84" t="s">
        <v>102</v>
      </c>
      <c r="C18" s="84" t="s">
        <v>113</v>
      </c>
      <c r="D18" s="6"/>
      <c r="E18" s="6"/>
      <c r="F18" s="23" t="str">
        <f t="shared" ref="F18:F45" si="2">IF(D18=0,"",0)</f>
        <v/>
      </c>
      <c r="G18" s="23" t="str">
        <f t="shared" ref="G18:G45" si="3">IF(F18="","",D18*F18)</f>
        <v/>
      </c>
      <c r="H18" s="98"/>
    </row>
    <row r="19" spans="1:8" s="29" customFormat="1" ht="18" customHeight="1" x14ac:dyDescent="0.2">
      <c r="A19" s="67">
        <f>IF(D19=0,"",1+MAX(A$7:A18))</f>
        <v>8</v>
      </c>
      <c r="B19" s="108"/>
      <c r="C19" s="85" t="s">
        <v>103</v>
      </c>
      <c r="D19" s="28">
        <f>6*9</f>
        <v>54</v>
      </c>
      <c r="E19" s="28" t="s">
        <v>35</v>
      </c>
      <c r="F19" s="23">
        <v>6</v>
      </c>
      <c r="G19" s="23">
        <f t="shared" si="3"/>
        <v>324</v>
      </c>
      <c r="H19" s="98"/>
    </row>
    <row r="20" spans="1:8" s="29" customFormat="1" ht="18" customHeight="1" x14ac:dyDescent="0.2">
      <c r="A20" s="67">
        <f>IF(D20=0,"",1+MAX(A$7:A19))</f>
        <v>9</v>
      </c>
      <c r="B20" s="108"/>
      <c r="C20" s="85" t="s">
        <v>104</v>
      </c>
      <c r="D20" s="86">
        <v>119.71</v>
      </c>
      <c r="E20" s="28" t="s">
        <v>35</v>
      </c>
      <c r="F20" s="23">
        <v>7</v>
      </c>
      <c r="G20" s="23">
        <f t="shared" si="3"/>
        <v>837.96999999999991</v>
      </c>
      <c r="H20" s="98"/>
    </row>
    <row r="21" spans="1:8" s="29" customFormat="1" ht="18" customHeight="1" x14ac:dyDescent="0.2">
      <c r="A21" s="67">
        <f>IF(D21=0,"",1+MAX(A$7:A20))</f>
        <v>10</v>
      </c>
      <c r="B21" s="108"/>
      <c r="C21" s="85" t="s">
        <v>53</v>
      </c>
      <c r="D21" s="86">
        <v>281</v>
      </c>
      <c r="E21" s="28" t="s">
        <v>35</v>
      </c>
      <c r="F21" s="23">
        <v>2</v>
      </c>
      <c r="G21" s="23">
        <f t="shared" si="3"/>
        <v>562</v>
      </c>
      <c r="H21" s="98"/>
    </row>
    <row r="22" spans="1:8" s="29" customFormat="1" ht="18" customHeight="1" x14ac:dyDescent="0.2">
      <c r="A22" s="67">
        <f>IF(D22=0,"",1+MAX(A$7:A21))</f>
        <v>11</v>
      </c>
      <c r="B22" s="108"/>
      <c r="C22" s="85" t="s">
        <v>105</v>
      </c>
      <c r="D22" s="86">
        <v>217</v>
      </c>
      <c r="E22" s="28" t="s">
        <v>35</v>
      </c>
      <c r="F22" s="23">
        <v>15</v>
      </c>
      <c r="G22" s="23">
        <f t="shared" si="3"/>
        <v>3255</v>
      </c>
      <c r="H22" s="98"/>
    </row>
    <row r="23" spans="1:8" s="29" customFormat="1" ht="18" customHeight="1" x14ac:dyDescent="0.2">
      <c r="A23" s="67">
        <f>IF(D23=0,"",1+MAX(A$7:A22))</f>
        <v>12</v>
      </c>
      <c r="B23" s="108"/>
      <c r="C23" s="85" t="s">
        <v>106</v>
      </c>
      <c r="D23" s="86">
        <v>217</v>
      </c>
      <c r="E23" s="28" t="s">
        <v>35</v>
      </c>
      <c r="F23" s="23">
        <v>5</v>
      </c>
      <c r="G23" s="23">
        <f t="shared" si="3"/>
        <v>1085</v>
      </c>
      <c r="H23" s="98"/>
    </row>
    <row r="24" spans="1:8" s="29" customFormat="1" ht="18" customHeight="1" x14ac:dyDescent="0.2">
      <c r="A24" s="67">
        <f>IF(D24=0,"",1+MAX(A$7:A23))</f>
        <v>13</v>
      </c>
      <c r="B24" s="108"/>
      <c r="C24" s="85" t="s">
        <v>107</v>
      </c>
      <c r="D24" s="86">
        <v>128</v>
      </c>
      <c r="E24" s="28" t="s">
        <v>35</v>
      </c>
      <c r="F24" s="23">
        <v>6</v>
      </c>
      <c r="G24" s="23">
        <f t="shared" si="3"/>
        <v>768</v>
      </c>
      <c r="H24" s="98"/>
    </row>
    <row r="25" spans="1:8" s="29" customFormat="1" ht="18" customHeight="1" x14ac:dyDescent="0.2">
      <c r="A25" s="67">
        <f>IF(D25=0,"",1+MAX(A$7:A24))</f>
        <v>14</v>
      </c>
      <c r="B25" s="108"/>
      <c r="C25" s="85" t="s">
        <v>60</v>
      </c>
      <c r="D25" s="86">
        <v>50.59</v>
      </c>
      <c r="E25" s="28" t="s">
        <v>35</v>
      </c>
      <c r="F25" s="23">
        <v>9</v>
      </c>
      <c r="G25" s="23">
        <f t="shared" si="3"/>
        <v>455.31000000000006</v>
      </c>
      <c r="H25" s="98"/>
    </row>
    <row r="26" spans="1:8" s="29" customFormat="1" ht="18" customHeight="1" x14ac:dyDescent="0.2">
      <c r="A26" s="67">
        <f>IF(D26=0,"",1+MAX(A$7:A25))</f>
        <v>15</v>
      </c>
      <c r="B26" s="108"/>
      <c r="C26" s="85" t="s">
        <v>95</v>
      </c>
      <c r="D26" s="86">
        <v>84.5</v>
      </c>
      <c r="E26" s="28" t="s">
        <v>35</v>
      </c>
      <c r="F26" s="23">
        <v>15</v>
      </c>
      <c r="G26" s="23">
        <f t="shared" si="3"/>
        <v>1267.5</v>
      </c>
      <c r="H26" s="98"/>
    </row>
    <row r="27" spans="1:8" s="29" customFormat="1" ht="18" customHeight="1" x14ac:dyDescent="0.2">
      <c r="A27" s="67">
        <f>IF(D27=0,"",1+MAX(A$7:A26))</f>
        <v>16</v>
      </c>
      <c r="B27" s="108"/>
      <c r="C27" s="85" t="s">
        <v>108</v>
      </c>
      <c r="D27" s="86">
        <v>271.94</v>
      </c>
      <c r="E27" s="28" t="s">
        <v>40</v>
      </c>
      <c r="F27" s="23">
        <v>25</v>
      </c>
      <c r="G27" s="23">
        <f t="shared" si="3"/>
        <v>6798.5</v>
      </c>
      <c r="H27" s="98"/>
    </row>
    <row r="28" spans="1:8" s="29" customFormat="1" ht="18" customHeight="1" x14ac:dyDescent="0.2">
      <c r="A28" s="67">
        <f>IF(D28=0,"",1+MAX(A$7:A27))</f>
        <v>17</v>
      </c>
      <c r="B28" s="108"/>
      <c r="C28" s="85" t="s">
        <v>109</v>
      </c>
      <c r="D28" s="86">
        <v>4391</v>
      </c>
      <c r="E28" s="28" t="s">
        <v>40</v>
      </c>
      <c r="F28" s="23">
        <v>6</v>
      </c>
      <c r="G28" s="23">
        <f t="shared" si="3"/>
        <v>26346</v>
      </c>
      <c r="H28" s="98"/>
    </row>
    <row r="29" spans="1:8" s="29" customFormat="1" ht="18" customHeight="1" x14ac:dyDescent="0.2">
      <c r="A29" s="67">
        <f>IF(D29=0,"",1+MAX(A$7:A28))</f>
        <v>18</v>
      </c>
      <c r="B29" s="108"/>
      <c r="C29" s="85" t="s">
        <v>88</v>
      </c>
      <c r="D29" s="86">
        <v>4391</v>
      </c>
      <c r="E29" s="28" t="s">
        <v>40</v>
      </c>
      <c r="F29" s="90">
        <v>1.1000000000000001</v>
      </c>
      <c r="G29" s="23">
        <f t="shared" si="3"/>
        <v>4830.1000000000004</v>
      </c>
      <c r="H29" s="98"/>
    </row>
    <row r="30" spans="1:8" s="29" customFormat="1" ht="18" customHeight="1" x14ac:dyDescent="0.2">
      <c r="A30" s="67">
        <f>IF(D30=0,"",1+MAX(A$7:A29))</f>
        <v>19</v>
      </c>
      <c r="B30" s="109"/>
      <c r="C30" s="85" t="s">
        <v>110</v>
      </c>
      <c r="D30" s="86">
        <v>4391</v>
      </c>
      <c r="E30" s="28" t="s">
        <v>40</v>
      </c>
      <c r="F30" s="23">
        <v>3</v>
      </c>
      <c r="G30" s="23">
        <f t="shared" si="3"/>
        <v>13173</v>
      </c>
      <c r="H30" s="98"/>
    </row>
    <row r="31" spans="1:8" s="29" customFormat="1" ht="18" customHeight="1" x14ac:dyDescent="0.2">
      <c r="A31" s="67" t="str">
        <f>IF(D31=0,"",1+MAX(A$7:A30))</f>
        <v/>
      </c>
      <c r="B31" s="83" t="s">
        <v>111</v>
      </c>
      <c r="C31" s="83" t="s">
        <v>114</v>
      </c>
      <c r="D31" s="28"/>
      <c r="E31" s="28"/>
      <c r="F31" s="23" t="str">
        <f t="shared" si="2"/>
        <v/>
      </c>
      <c r="G31" s="23" t="str">
        <f t="shared" si="3"/>
        <v/>
      </c>
      <c r="H31" s="98"/>
    </row>
    <row r="32" spans="1:8" s="29" customFormat="1" ht="18" customHeight="1" x14ac:dyDescent="0.2">
      <c r="A32" s="67">
        <f>IF(D32=0,"",1+MAX(A$7:A31))</f>
        <v>20</v>
      </c>
      <c r="B32" s="108"/>
      <c r="C32" s="85" t="s">
        <v>112</v>
      </c>
      <c r="D32" s="86">
        <f>6*10.33</f>
        <v>61.980000000000004</v>
      </c>
      <c r="E32" s="28" t="s">
        <v>35</v>
      </c>
      <c r="F32" s="23">
        <v>6</v>
      </c>
      <c r="G32" s="23">
        <f t="shared" si="3"/>
        <v>371.88</v>
      </c>
      <c r="H32" s="98"/>
    </row>
    <row r="33" spans="1:8" s="29" customFormat="1" ht="18" customHeight="1" x14ac:dyDescent="0.2">
      <c r="A33" s="67">
        <f>IF(D33=0,"",1+MAX(A$7:A32))</f>
        <v>21</v>
      </c>
      <c r="B33" s="108"/>
      <c r="C33" s="85" t="s">
        <v>104</v>
      </c>
      <c r="D33" s="86">
        <v>99</v>
      </c>
      <c r="E33" s="28" t="s">
        <v>35</v>
      </c>
      <c r="F33" s="23">
        <v>7</v>
      </c>
      <c r="G33" s="23">
        <f t="shared" si="3"/>
        <v>693</v>
      </c>
      <c r="H33" s="98"/>
    </row>
    <row r="34" spans="1:8" s="29" customFormat="1" ht="18" customHeight="1" x14ac:dyDescent="0.2">
      <c r="A34" s="67">
        <f>IF(D34=0,"",1+MAX(A$7:A33))</f>
        <v>22</v>
      </c>
      <c r="B34" s="108"/>
      <c r="C34" s="85" t="s">
        <v>105</v>
      </c>
      <c r="D34" s="86">
        <v>150</v>
      </c>
      <c r="E34" s="28" t="s">
        <v>35</v>
      </c>
      <c r="F34" s="23">
        <v>15</v>
      </c>
      <c r="G34" s="23">
        <f t="shared" si="3"/>
        <v>2250</v>
      </c>
      <c r="H34" s="98"/>
    </row>
    <row r="35" spans="1:8" s="29" customFormat="1" ht="18" customHeight="1" x14ac:dyDescent="0.2">
      <c r="A35" s="67">
        <f>IF(D35=0,"",1+MAX(A$7:A34))</f>
        <v>23</v>
      </c>
      <c r="B35" s="108"/>
      <c r="C35" s="85" t="s">
        <v>53</v>
      </c>
      <c r="D35" s="86">
        <v>63.74</v>
      </c>
      <c r="E35" s="28" t="s">
        <v>35</v>
      </c>
      <c r="F35" s="23">
        <v>2</v>
      </c>
      <c r="G35" s="23">
        <f t="shared" si="3"/>
        <v>127.48</v>
      </c>
      <c r="H35" s="98"/>
    </row>
    <row r="36" spans="1:8" s="29" customFormat="1" ht="18" customHeight="1" x14ac:dyDescent="0.2">
      <c r="A36" s="67">
        <f>IF(D36=0,"",1+MAX(A$7:A35))</f>
        <v>24</v>
      </c>
      <c r="B36" s="108"/>
      <c r="C36" s="85" t="s">
        <v>107</v>
      </c>
      <c r="D36" s="86">
        <v>128</v>
      </c>
      <c r="E36" s="28" t="s">
        <v>35</v>
      </c>
      <c r="F36" s="23">
        <v>6</v>
      </c>
      <c r="G36" s="23">
        <f t="shared" si="3"/>
        <v>768</v>
      </c>
      <c r="H36" s="98"/>
    </row>
    <row r="37" spans="1:8" s="29" customFormat="1" ht="18" customHeight="1" x14ac:dyDescent="0.2">
      <c r="A37" s="67">
        <f>IF(D37=0,"",1+MAX(A$7:A36))</f>
        <v>25</v>
      </c>
      <c r="B37" s="108"/>
      <c r="C37" s="85" t="s">
        <v>106</v>
      </c>
      <c r="D37" s="86">
        <v>150</v>
      </c>
      <c r="E37" s="28" t="s">
        <v>35</v>
      </c>
      <c r="F37" s="23">
        <v>5</v>
      </c>
      <c r="G37" s="23">
        <f t="shared" si="3"/>
        <v>750</v>
      </c>
      <c r="H37" s="98"/>
    </row>
    <row r="38" spans="1:8" s="29" customFormat="1" ht="18" customHeight="1" x14ac:dyDescent="0.2">
      <c r="A38" s="67">
        <f>IF(D38=0,"",1+MAX(A$7:A37))</f>
        <v>26</v>
      </c>
      <c r="B38" s="108"/>
      <c r="C38" s="85" t="s">
        <v>53</v>
      </c>
      <c r="D38" s="86">
        <v>150</v>
      </c>
      <c r="E38" s="28" t="s">
        <v>35</v>
      </c>
      <c r="F38" s="23">
        <v>2</v>
      </c>
      <c r="G38" s="23">
        <f t="shared" si="3"/>
        <v>300</v>
      </c>
      <c r="H38" s="98"/>
    </row>
    <row r="39" spans="1:8" s="29" customFormat="1" ht="18" customHeight="1" x14ac:dyDescent="0.2">
      <c r="A39" s="67">
        <f>IF(D39=0,"",1+MAX(A$7:A38))</f>
        <v>27</v>
      </c>
      <c r="B39" s="108"/>
      <c r="C39" s="85" t="s">
        <v>60</v>
      </c>
      <c r="D39" s="86">
        <v>62.1</v>
      </c>
      <c r="E39" s="28" t="s">
        <v>35</v>
      </c>
      <c r="F39" s="23">
        <v>9</v>
      </c>
      <c r="G39" s="23">
        <f t="shared" si="3"/>
        <v>558.9</v>
      </c>
      <c r="H39" s="98"/>
    </row>
    <row r="40" spans="1:8" s="29" customFormat="1" ht="18" customHeight="1" x14ac:dyDescent="0.2">
      <c r="A40" s="67">
        <f>IF(D40=0,"",1+MAX(A$7:A39))</f>
        <v>28</v>
      </c>
      <c r="B40" s="108"/>
      <c r="C40" s="85" t="s">
        <v>95</v>
      </c>
      <c r="D40" s="86">
        <v>64.48</v>
      </c>
      <c r="E40" s="28" t="s">
        <v>35</v>
      </c>
      <c r="F40" s="23">
        <v>15</v>
      </c>
      <c r="G40" s="23">
        <f t="shared" si="3"/>
        <v>967.2</v>
      </c>
      <c r="H40" s="98"/>
    </row>
    <row r="41" spans="1:8" s="29" customFormat="1" ht="18" customHeight="1" x14ac:dyDescent="0.2">
      <c r="A41" s="67">
        <f>IF(D41=0,"",1+MAX(A$7:A40))</f>
        <v>29</v>
      </c>
      <c r="B41" s="108"/>
      <c r="C41" s="85" t="s">
        <v>108</v>
      </c>
      <c r="D41" s="86">
        <v>204.62</v>
      </c>
      <c r="E41" s="28" t="s">
        <v>40</v>
      </c>
      <c r="F41" s="23">
        <v>25</v>
      </c>
      <c r="G41" s="23">
        <f t="shared" si="3"/>
        <v>5115.5</v>
      </c>
      <c r="H41" s="98"/>
    </row>
    <row r="42" spans="1:8" s="29" customFormat="1" ht="18" customHeight="1" x14ac:dyDescent="0.2">
      <c r="A42" s="67">
        <f>IF(D42=0,"",1+MAX(A$7:A41))</f>
        <v>30</v>
      </c>
      <c r="B42" s="108"/>
      <c r="C42" s="85" t="s">
        <v>109</v>
      </c>
      <c r="D42" s="86">
        <v>2020</v>
      </c>
      <c r="E42" s="28" t="s">
        <v>40</v>
      </c>
      <c r="F42" s="23">
        <v>6</v>
      </c>
      <c r="G42" s="23">
        <f t="shared" si="3"/>
        <v>12120</v>
      </c>
      <c r="H42" s="98"/>
    </row>
    <row r="43" spans="1:8" s="29" customFormat="1" ht="18" customHeight="1" x14ac:dyDescent="0.2">
      <c r="A43" s="67">
        <f>IF(D43=0,"",1+MAX(A$7:A42))</f>
        <v>31</v>
      </c>
      <c r="B43" s="108"/>
      <c r="C43" s="85" t="s">
        <v>88</v>
      </c>
      <c r="D43" s="86">
        <v>2020</v>
      </c>
      <c r="E43" s="28" t="s">
        <v>40</v>
      </c>
      <c r="F43" s="90">
        <v>1.1000000000000001</v>
      </c>
      <c r="G43" s="23">
        <f t="shared" si="3"/>
        <v>2222</v>
      </c>
      <c r="H43" s="98"/>
    </row>
    <row r="44" spans="1:8" s="29" customFormat="1" ht="18" customHeight="1" x14ac:dyDescent="0.2">
      <c r="A44" s="67">
        <f>IF(D44=0,"",1+MAX(A$7:A43))</f>
        <v>32</v>
      </c>
      <c r="B44" s="108"/>
      <c r="C44" s="91" t="s">
        <v>110</v>
      </c>
      <c r="D44" s="86">
        <v>2020</v>
      </c>
      <c r="E44" s="28" t="s">
        <v>40</v>
      </c>
      <c r="F44" s="23">
        <v>3</v>
      </c>
      <c r="G44" s="23">
        <f t="shared" si="3"/>
        <v>6060</v>
      </c>
      <c r="H44" s="98"/>
    </row>
    <row r="45" spans="1:8" s="29" customFormat="1" ht="18" customHeight="1" x14ac:dyDescent="0.2">
      <c r="A45" s="67" t="str">
        <f>IF(D45=0,"",1+MAX(A$7:A44))</f>
        <v/>
      </c>
      <c r="B45" s="64"/>
      <c r="C45" s="9" t="s">
        <v>20</v>
      </c>
      <c r="D45" s="8"/>
      <c r="E45" s="4"/>
      <c r="F45" s="23" t="str">
        <f t="shared" si="2"/>
        <v/>
      </c>
      <c r="G45" s="23" t="str">
        <f t="shared" si="3"/>
        <v/>
      </c>
      <c r="H45" s="65">
        <f>(SUM(G18:G45))</f>
        <v>92006.34</v>
      </c>
    </row>
    <row r="46" spans="1:8" s="29" customFormat="1" ht="18" customHeight="1" thickBot="1" x14ac:dyDescent="0.25">
      <c r="A46" s="31"/>
      <c r="B46" s="33"/>
      <c r="C46" s="7"/>
      <c r="D46" s="21"/>
      <c r="E46" s="21"/>
      <c r="F46" s="22"/>
      <c r="G46" s="22"/>
      <c r="H46" s="32"/>
    </row>
    <row r="47" spans="1:8" s="29" customFormat="1" ht="18" customHeight="1" x14ac:dyDescent="0.2">
      <c r="A47" s="79"/>
      <c r="B47" s="80" t="s">
        <v>18</v>
      </c>
      <c r="C47" s="17"/>
      <c r="D47" s="18"/>
      <c r="E47" s="18"/>
      <c r="F47" s="17"/>
      <c r="G47" s="17"/>
      <c r="H47" s="87">
        <f>SUM(H8:H46)</f>
        <v>92006.34</v>
      </c>
    </row>
    <row r="48" spans="1:8" s="29" customFormat="1" ht="18" customHeight="1" x14ac:dyDescent="0.2">
      <c r="A48" s="77"/>
      <c r="B48" s="78" t="s">
        <v>30</v>
      </c>
      <c r="C48" s="11"/>
      <c r="D48" s="72">
        <v>0.2</v>
      </c>
      <c r="E48" s="14"/>
      <c r="F48" s="10"/>
      <c r="G48" s="10"/>
      <c r="H48" s="88">
        <f>(H47*D48)</f>
        <v>18401.268</v>
      </c>
    </row>
    <row r="49" spans="1:8" s="29" customFormat="1" ht="18" customHeight="1" x14ac:dyDescent="0.2">
      <c r="A49" s="77"/>
      <c r="B49" s="78" t="s">
        <v>10</v>
      </c>
      <c r="C49" s="11"/>
      <c r="D49" s="72">
        <v>0.03</v>
      </c>
      <c r="E49" s="15"/>
      <c r="F49" s="12"/>
      <c r="G49" s="12"/>
      <c r="H49" s="88">
        <f>(H47*D49)</f>
        <v>2760.1902</v>
      </c>
    </row>
    <row r="50" spans="1:8" s="29" customFormat="1" ht="18" customHeight="1" x14ac:dyDescent="0.2">
      <c r="A50" s="77"/>
      <c r="B50" s="78" t="s">
        <v>12</v>
      </c>
      <c r="C50" s="11"/>
      <c r="D50" s="72">
        <v>7.0000000000000007E-2</v>
      </c>
      <c r="E50" s="16"/>
      <c r="F50" s="13"/>
      <c r="G50" s="13"/>
      <c r="H50" s="88">
        <f>(H47*D50)</f>
        <v>6440.4438</v>
      </c>
    </row>
    <row r="51" spans="1:8" ht="24" customHeight="1" thickBot="1" x14ac:dyDescent="0.25">
      <c r="A51" s="102" t="s">
        <v>11</v>
      </c>
      <c r="B51" s="103"/>
      <c r="C51" s="19"/>
      <c r="D51" s="20"/>
      <c r="E51" s="20"/>
      <c r="F51" s="19"/>
      <c r="G51" s="19"/>
      <c r="H51" s="89">
        <f>SUM(H47:H50)</f>
        <v>119608.24199999998</v>
      </c>
    </row>
    <row r="52" spans="1:8" s="29" customFormat="1" ht="18" customHeight="1" thickBot="1" x14ac:dyDescent="0.25">
      <c r="A52" s="104" t="s">
        <v>15</v>
      </c>
      <c r="B52" s="105"/>
      <c r="C52" s="51"/>
      <c r="D52" s="52"/>
      <c r="E52" s="52"/>
      <c r="F52" s="51"/>
      <c r="G52" s="51"/>
      <c r="H52" s="53"/>
    </row>
    <row r="53" spans="1:8" s="29" customFormat="1" ht="18" customHeight="1" x14ac:dyDescent="0.2">
      <c r="A53" s="54" t="s">
        <v>115</v>
      </c>
      <c r="B53" s="93" t="s">
        <v>116</v>
      </c>
      <c r="C53" s="93"/>
      <c r="D53" s="52"/>
      <c r="E53" s="52"/>
      <c r="F53" s="51"/>
      <c r="G53" s="51"/>
      <c r="H53" s="53"/>
    </row>
    <row r="54" spans="1:8" s="29" customFormat="1" ht="18" customHeight="1" thickBot="1" x14ac:dyDescent="0.25">
      <c r="A54" s="55"/>
      <c r="B54" s="56"/>
      <c r="C54" s="57"/>
      <c r="D54" s="58"/>
      <c r="E54" s="58"/>
      <c r="F54" s="57"/>
      <c r="G54" s="57"/>
      <c r="H54" s="59"/>
    </row>
  </sheetData>
  <mergeCells count="12">
    <mergeCell ref="B53:C53"/>
    <mergeCell ref="H18:H44"/>
    <mergeCell ref="A51:B51"/>
    <mergeCell ref="A52:B52"/>
    <mergeCell ref="B19:B30"/>
    <mergeCell ref="B32:B44"/>
    <mergeCell ref="A7:B7"/>
    <mergeCell ref="D7:H7"/>
    <mergeCell ref="B8:B14"/>
    <mergeCell ref="H8:H14"/>
    <mergeCell ref="A17:B17"/>
    <mergeCell ref="D17:H17"/>
  </mergeCells>
  <printOptions horizontalCentered="1"/>
  <pageMargins left="0" right="0" top="0" bottom="0.17" header="0" footer="0"/>
  <pageSetup paperSize="9" scale="67" fitToHeight="0" orientation="portrait" r:id="rId1"/>
  <headerFooter scaleWithDoc="0"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CA635-A4EB-F74E-AF11-13593CE40635}">
  <sheetPr>
    <tabColor rgb="FFFF0000"/>
  </sheetPr>
  <dimension ref="A1:Q36"/>
  <sheetViews>
    <sheetView workbookViewId="0">
      <selection activeCell="I20" sqref="I20"/>
    </sheetView>
  </sheetViews>
  <sheetFormatPr baseColWidth="10" defaultRowHeight="15" x14ac:dyDescent="0.2"/>
  <cols>
    <col min="1" max="1" width="5" style="110" customWidth="1"/>
    <col min="2" max="3" width="10.83203125" style="110"/>
    <col min="4" max="4" width="17.83203125" style="110" customWidth="1"/>
    <col min="5" max="8" width="10.83203125" style="110"/>
    <col min="9" max="9" width="30.6640625" style="110" customWidth="1"/>
    <col min="10" max="16384" width="10.83203125" style="110"/>
  </cols>
  <sheetData>
    <row r="1" spans="1:17" ht="23" x14ac:dyDescent="0.2">
      <c r="B1" s="111" t="s">
        <v>117</v>
      </c>
      <c r="C1" s="111"/>
      <c r="D1" s="111"/>
      <c r="E1" s="111"/>
      <c r="F1" s="111"/>
      <c r="G1" s="111"/>
      <c r="H1" s="111"/>
      <c r="I1" s="111"/>
    </row>
    <row r="2" spans="1:17" ht="20" x14ac:dyDescent="0.2">
      <c r="C2" s="112" t="s">
        <v>118</v>
      </c>
      <c r="D2" s="112"/>
      <c r="E2" s="112"/>
      <c r="F2" s="112"/>
      <c r="G2" s="112"/>
      <c r="H2" s="112"/>
      <c r="I2" s="112"/>
    </row>
    <row r="4" spans="1:17" ht="22" x14ac:dyDescent="0.3">
      <c r="B4" s="113" t="s">
        <v>119</v>
      </c>
      <c r="C4" s="113"/>
      <c r="D4" s="113"/>
      <c r="E4" s="113"/>
      <c r="F4" s="113"/>
      <c r="G4" s="113"/>
      <c r="H4" s="113"/>
      <c r="I4" s="113"/>
      <c r="J4" s="113"/>
      <c r="K4" s="113"/>
      <c r="L4" s="113"/>
      <c r="M4" s="113"/>
      <c r="N4" s="113"/>
      <c r="O4" s="113"/>
      <c r="P4" s="113"/>
      <c r="Q4" s="113"/>
    </row>
    <row r="5" spans="1:17" ht="22" x14ac:dyDescent="0.3">
      <c r="B5" s="114"/>
      <c r="C5" s="114"/>
      <c r="D5" s="114"/>
      <c r="E5" s="114"/>
      <c r="F5" s="114"/>
      <c r="G5" s="114"/>
      <c r="H5" s="114"/>
      <c r="I5" s="114"/>
      <c r="J5" s="114"/>
      <c r="K5" s="114"/>
      <c r="L5" s="114"/>
      <c r="M5" s="114"/>
      <c r="N5" s="114"/>
      <c r="O5" s="114"/>
      <c r="P5" s="114"/>
      <c r="Q5" s="114"/>
    </row>
    <row r="6" spans="1:17" ht="22" x14ac:dyDescent="0.3">
      <c r="A6" s="115">
        <v>1</v>
      </c>
      <c r="B6" s="114" t="s">
        <v>120</v>
      </c>
      <c r="C6" s="114"/>
      <c r="D6" s="114"/>
      <c r="E6" s="114"/>
      <c r="F6" s="114"/>
      <c r="G6" s="114"/>
      <c r="H6" s="114"/>
    </row>
    <row r="7" spans="1:17" ht="22" x14ac:dyDescent="0.3">
      <c r="A7" s="115">
        <v>2</v>
      </c>
      <c r="B7" s="114" t="s">
        <v>121</v>
      </c>
      <c r="C7" s="114"/>
      <c r="D7" s="114"/>
      <c r="E7" s="114"/>
      <c r="F7" s="114"/>
      <c r="G7" s="114"/>
      <c r="H7" s="114"/>
    </row>
    <row r="8" spans="1:17" ht="22" x14ac:dyDescent="0.3">
      <c r="A8" s="115">
        <v>3</v>
      </c>
      <c r="B8" s="114" t="s">
        <v>122</v>
      </c>
      <c r="C8" s="114"/>
      <c r="D8" s="114"/>
      <c r="E8" s="114"/>
      <c r="F8" s="114"/>
      <c r="G8" s="114"/>
      <c r="H8" s="114"/>
    </row>
    <row r="10" spans="1:17" ht="22" x14ac:dyDescent="0.3">
      <c r="B10" s="116" t="s">
        <v>123</v>
      </c>
      <c r="C10" s="113"/>
    </row>
    <row r="12" spans="1:17" ht="22" x14ac:dyDescent="0.3">
      <c r="A12" s="115">
        <v>1</v>
      </c>
      <c r="B12" s="114" t="s">
        <v>124</v>
      </c>
    </row>
    <row r="13" spans="1:17" ht="22" x14ac:dyDescent="0.3">
      <c r="A13" s="115">
        <v>2</v>
      </c>
      <c r="B13" s="114" t="s">
        <v>125</v>
      </c>
    </row>
    <row r="14" spans="1:17" ht="22" x14ac:dyDescent="0.3">
      <c r="A14" s="115">
        <v>3</v>
      </c>
      <c r="B14" s="114" t="s">
        <v>126</v>
      </c>
    </row>
    <row r="15" spans="1:17" ht="22" x14ac:dyDescent="0.3">
      <c r="A15" s="115">
        <v>4</v>
      </c>
      <c r="B15" s="114" t="s">
        <v>127</v>
      </c>
    </row>
    <row r="16" spans="1:17" ht="22" x14ac:dyDescent="0.3">
      <c r="A16" s="115">
        <v>5</v>
      </c>
      <c r="B16" s="114" t="s">
        <v>128</v>
      </c>
    </row>
    <row r="17" spans="1:2" ht="22" x14ac:dyDescent="0.3">
      <c r="A17" s="115">
        <v>6</v>
      </c>
      <c r="B17" s="114" t="s">
        <v>129</v>
      </c>
    </row>
    <row r="18" spans="1:2" ht="22" x14ac:dyDescent="0.3">
      <c r="A18" s="115">
        <v>7</v>
      </c>
      <c r="B18" s="114" t="s">
        <v>130</v>
      </c>
    </row>
    <row r="19" spans="1:2" ht="22" x14ac:dyDescent="0.3">
      <c r="A19" s="115">
        <v>8</v>
      </c>
      <c r="B19" s="114" t="s">
        <v>131</v>
      </c>
    </row>
    <row r="20" spans="1:2" ht="22" x14ac:dyDescent="0.3">
      <c r="A20" s="115">
        <v>9</v>
      </c>
      <c r="B20" s="114" t="s">
        <v>132</v>
      </c>
    </row>
    <row r="21" spans="1:2" ht="22" x14ac:dyDescent="0.3">
      <c r="A21" s="115">
        <v>10</v>
      </c>
      <c r="B21" s="114" t="s">
        <v>133</v>
      </c>
    </row>
    <row r="22" spans="1:2" ht="22" x14ac:dyDescent="0.3">
      <c r="A22" s="115">
        <v>11</v>
      </c>
      <c r="B22" s="114" t="s">
        <v>134</v>
      </c>
    </row>
    <row r="23" spans="1:2" ht="22" x14ac:dyDescent="0.3">
      <c r="A23" s="115">
        <v>12</v>
      </c>
      <c r="B23" s="114" t="s">
        <v>135</v>
      </c>
    </row>
    <row r="24" spans="1:2" ht="22" x14ac:dyDescent="0.3">
      <c r="B24" s="114" t="s">
        <v>136</v>
      </c>
    </row>
    <row r="25" spans="1:2" ht="22" x14ac:dyDescent="0.3">
      <c r="B25" s="114"/>
    </row>
    <row r="26" spans="1:2" ht="22" x14ac:dyDescent="0.3">
      <c r="B26" s="117" t="s">
        <v>137</v>
      </c>
    </row>
    <row r="27" spans="1:2" ht="22" x14ac:dyDescent="0.3">
      <c r="A27" s="115">
        <v>1</v>
      </c>
      <c r="B27" s="114" t="s">
        <v>138</v>
      </c>
    </row>
    <row r="28" spans="1:2" ht="22" x14ac:dyDescent="0.3">
      <c r="A28" s="115">
        <v>2</v>
      </c>
      <c r="B28" s="114" t="s">
        <v>139</v>
      </c>
    </row>
    <row r="29" spans="1:2" ht="22" x14ac:dyDescent="0.3">
      <c r="A29" s="115">
        <v>3</v>
      </c>
      <c r="B29" s="114" t="s">
        <v>140</v>
      </c>
    </row>
    <row r="31" spans="1:2" ht="24" x14ac:dyDescent="0.3">
      <c r="B31" s="118" t="s">
        <v>141</v>
      </c>
    </row>
    <row r="32" spans="1:2" ht="22" x14ac:dyDescent="0.3">
      <c r="A32" s="115">
        <v>1</v>
      </c>
      <c r="B32" s="114" t="s">
        <v>142</v>
      </c>
    </row>
    <row r="33" spans="1:2" ht="22" x14ac:dyDescent="0.3">
      <c r="A33" s="115">
        <v>2</v>
      </c>
      <c r="B33" s="114" t="s">
        <v>143</v>
      </c>
    </row>
    <row r="34" spans="1:2" ht="22" x14ac:dyDescent="0.3">
      <c r="A34" s="115">
        <v>3</v>
      </c>
      <c r="B34" s="114" t="s">
        <v>144</v>
      </c>
    </row>
    <row r="35" spans="1:2" ht="22" x14ac:dyDescent="0.3">
      <c r="A35" s="115">
        <v>4</v>
      </c>
      <c r="B35" s="114" t="s">
        <v>145</v>
      </c>
    </row>
    <row r="36" spans="1:2" ht="22" x14ac:dyDescent="0.3">
      <c r="A36" s="115">
        <v>5</v>
      </c>
      <c r="B36" s="114" t="s">
        <v>146</v>
      </c>
    </row>
  </sheetData>
  <mergeCells count="1">
    <mergeCell ref="B1:I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1618-783A-E043-9697-B63F64A946A3}">
  <sheetPr>
    <tabColor rgb="FF0000B3"/>
  </sheetPr>
  <dimension ref="A1:D22"/>
  <sheetViews>
    <sheetView workbookViewId="0">
      <selection activeCell="D28" sqref="D28"/>
    </sheetView>
  </sheetViews>
  <sheetFormatPr baseColWidth="10" defaultRowHeight="16" x14ac:dyDescent="0.2"/>
  <cols>
    <col min="1" max="3" width="10.83203125" style="119"/>
    <col min="4" max="4" width="53.83203125" style="119" customWidth="1"/>
    <col min="5" max="16384" width="10.83203125" style="119"/>
  </cols>
  <sheetData>
    <row r="1" spans="1:4" ht="23" x14ac:dyDescent="0.2">
      <c r="D1" s="120" t="s">
        <v>147</v>
      </c>
    </row>
    <row r="3" spans="1:4" ht="22" x14ac:dyDescent="0.3">
      <c r="A3" s="121" t="s">
        <v>148</v>
      </c>
    </row>
    <row r="4" spans="1:4" x14ac:dyDescent="0.2">
      <c r="A4"/>
    </row>
    <row r="5" spans="1:4" ht="22" x14ac:dyDescent="0.3">
      <c r="A5" s="113" t="s">
        <v>149</v>
      </c>
    </row>
    <row r="6" spans="1:4" x14ac:dyDescent="0.2">
      <c r="A6"/>
    </row>
    <row r="7" spans="1:4" ht="22" x14ac:dyDescent="0.3">
      <c r="A7" s="113" t="s">
        <v>150</v>
      </c>
    </row>
    <row r="8" spans="1:4" x14ac:dyDescent="0.2">
      <c r="A8"/>
    </row>
    <row r="9" spans="1:4" ht="22" x14ac:dyDescent="0.3">
      <c r="A9" s="113" t="s">
        <v>151</v>
      </c>
    </row>
    <row r="10" spans="1:4" x14ac:dyDescent="0.2">
      <c r="A10"/>
    </row>
    <row r="11" spans="1:4" ht="22" x14ac:dyDescent="0.3">
      <c r="A11" s="113" t="s">
        <v>152</v>
      </c>
    </row>
    <row r="12" spans="1:4" x14ac:dyDescent="0.2">
      <c r="A12"/>
    </row>
    <row r="13" spans="1:4" ht="22" x14ac:dyDescent="0.3">
      <c r="A13" s="113" t="s">
        <v>153</v>
      </c>
    </row>
    <row r="14" spans="1:4" x14ac:dyDescent="0.2">
      <c r="A14"/>
    </row>
    <row r="15" spans="1:4" ht="22" x14ac:dyDescent="0.3">
      <c r="A15" s="113" t="s">
        <v>154</v>
      </c>
    </row>
    <row r="16" spans="1:4" x14ac:dyDescent="0.2">
      <c r="A16"/>
    </row>
    <row r="17" spans="1:1" ht="22" x14ac:dyDescent="0.3">
      <c r="A17" s="113" t="s">
        <v>155</v>
      </c>
    </row>
    <row r="18" spans="1:1" x14ac:dyDescent="0.2">
      <c r="A18"/>
    </row>
    <row r="19" spans="1:1" ht="22" x14ac:dyDescent="0.3">
      <c r="A19" s="113" t="s">
        <v>156</v>
      </c>
    </row>
    <row r="20" spans="1:1" x14ac:dyDescent="0.2">
      <c r="A20"/>
    </row>
    <row r="21" spans="1:1" ht="22" x14ac:dyDescent="0.3">
      <c r="A21" s="113" t="s">
        <v>157</v>
      </c>
    </row>
    <row r="22" spans="1:1" ht="22" x14ac:dyDescent="0.3">
      <c r="A22" s="1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22</vt:i4>
      </vt:variant>
    </vt:vector>
  </HeadingPairs>
  <TitlesOfParts>
    <vt:vector size="35" baseType="lpstr">
      <vt:lpstr>Builiding#1</vt:lpstr>
      <vt:lpstr>Builiding#2</vt:lpstr>
      <vt:lpstr>Builiding#3</vt:lpstr>
      <vt:lpstr>Builiding#4</vt:lpstr>
      <vt:lpstr>Builiding#5</vt:lpstr>
      <vt:lpstr>Builiding#6</vt:lpstr>
      <vt:lpstr>Builiding#7</vt:lpstr>
      <vt:lpstr>Builiding#8</vt:lpstr>
      <vt:lpstr>Builiding#9</vt:lpstr>
      <vt:lpstr>Club House</vt:lpstr>
      <vt:lpstr>Garages</vt:lpstr>
      <vt:lpstr>Our Services</vt:lpstr>
      <vt:lpstr>Why Us</vt:lpstr>
      <vt:lpstr>'Builiding#1'!Print_Area</vt:lpstr>
      <vt:lpstr>'Builiding#2'!Print_Area</vt:lpstr>
      <vt:lpstr>'Builiding#3'!Print_Area</vt:lpstr>
      <vt:lpstr>'Builiding#4'!Print_Area</vt:lpstr>
      <vt:lpstr>'Builiding#5'!Print_Area</vt:lpstr>
      <vt:lpstr>'Builiding#6'!Print_Area</vt:lpstr>
      <vt:lpstr>'Builiding#7'!Print_Area</vt:lpstr>
      <vt:lpstr>'Builiding#8'!Print_Area</vt:lpstr>
      <vt:lpstr>'Builiding#9'!Print_Area</vt:lpstr>
      <vt:lpstr>'Club House'!Print_Area</vt:lpstr>
      <vt:lpstr>Garages!Print_Area</vt:lpstr>
      <vt:lpstr>'Builiding#1'!Print_Titles</vt:lpstr>
      <vt:lpstr>'Builiding#2'!Print_Titles</vt:lpstr>
      <vt:lpstr>'Builiding#3'!Print_Titles</vt:lpstr>
      <vt:lpstr>'Builiding#4'!Print_Titles</vt:lpstr>
      <vt:lpstr>'Builiding#5'!Print_Titles</vt:lpstr>
      <vt:lpstr>'Builiding#6'!Print_Titles</vt:lpstr>
      <vt:lpstr>'Builiding#7'!Print_Titles</vt:lpstr>
      <vt:lpstr>'Builiding#8'!Print_Titles</vt:lpstr>
      <vt:lpstr>'Builiding#9'!Print_Titles</vt:lpstr>
      <vt:lpstr>'Club House'!Print_Titles</vt:lpstr>
      <vt:lpstr>Garages!Print_Titles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Mfbzone</dc:creator>
  <cp:lastModifiedBy>Muhammad Fiaz Ahmed</cp:lastModifiedBy>
  <cp:lastPrinted>2018-02-13T09:57:28Z</cp:lastPrinted>
  <dcterms:created xsi:type="dcterms:W3CDTF">2016-03-30T11:57:46Z</dcterms:created>
  <dcterms:modified xsi:type="dcterms:W3CDTF">2025-06-03T21:27:41Z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9Connected">
    <vt:bool>true</vt:bool>
  </property>
</Properties>
</file>