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ea4b5749b31b4ffb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p161wcsstoprm01.file.core.windows.net\bdapp-installation-files\111099\REITS Excel Tool\Live Master\"/>
    </mc:Choice>
  </mc:AlternateContent>
  <xr:revisionPtr revIDLastSave="0" documentId="13_ncr:1_{EAF81B76-8130-47B2-923A-4E85AC3EC838}" xr6:coauthVersionLast="47" xr6:coauthVersionMax="47" xr10:uidLastSave="{00000000-0000-0000-0000-000000000000}"/>
  <bookViews>
    <workbookView showHorizontalScroll="0" showVerticalScroll="0" xWindow="-110" yWindow="-110" windowWidth="19420" windowHeight="10420" activeTab="2" xr2:uid="{00000000-000D-0000-FFFF-FFFF00000000}"/>
  </bookViews>
  <sheets>
    <sheet name="Admin" sheetId="12" r:id="rId1"/>
    <sheet name="Notes" sheetId="11" r:id="rId2"/>
    <sheet name="Start" sheetId="9" r:id="rId3"/>
    <sheet name="Entity" sheetId="1" r:id="rId4"/>
    <sheet name="Property" sheetId="3" r:id="rId5"/>
    <sheet name="Residual" sheetId="4" r:id="rId6"/>
    <sheet name="TaxExempt" sheetId="5" r:id="rId7"/>
    <sheet name="RatioTest" sheetId="6" r:id="rId8"/>
    <sheet name="BOBTest" sheetId="7" r:id="rId9"/>
    <sheet name="Guidance" sheetId="10" r:id="rId10"/>
    <sheet name="Lists" sheetId="2" r:id="rId11"/>
  </sheets>
  <functionGroups builtInGroupCount="19"/>
  <definedNames>
    <definedName name="Entity_Types">Lists!$B$2:$B$9</definedName>
    <definedName name="Form_Type">Admin!$A$2:$A$4</definedName>
    <definedName name="Jurisdiction">Lists!$C$2:$C$244</definedName>
    <definedName name="_xlnm.Print_Area" localSheetId="8">BOBTest!$A$1:$K$41</definedName>
    <definedName name="_xlnm.Print_Area" localSheetId="3">Entity!$A$1:$I$11</definedName>
    <definedName name="_xlnm.Print_Area" localSheetId="9">Guidance!$A$1:$P$49</definedName>
    <definedName name="_xlnm.Print_Area" localSheetId="1">Notes!$A$1:$B$1</definedName>
    <definedName name="_xlnm.Print_Area" localSheetId="4">Property!$A$1:$M$33</definedName>
    <definedName name="_xlnm.Print_Area" localSheetId="7">RatioTest!$A$1:$G$36</definedName>
    <definedName name="_xlnm.Print_Area" localSheetId="2">Start!$A$1:$L$30</definedName>
    <definedName name="_xlnm.Print_Titles" localSheetId="3">Entity!$7:$7</definedName>
    <definedName name="_xlnm.Print_Titles" localSheetId="4">Property!$B:$G,Property!$1:$6</definedName>
    <definedName name="_xlnm.Print_Titles" localSheetId="5">Residual!$B:$D,Residual!$1:$6</definedName>
    <definedName name="_xlnm.Print_Titles" localSheetId="6">TaxExempt!$B:$D,TaxExempt!$1:$6</definedName>
    <definedName name="Step3_Adjustments">Lists!$F$2:$F$13</definedName>
    <definedName name="Step3_Income">Lists!$E$2:$E$19</definedName>
    <definedName name="Step4_PostFC">Lists!$H$2:$H$13</definedName>
    <definedName name="Step4_PreFC">Lists!$G$2:$G$19</definedName>
    <definedName name="Step5_Adjustments">Lists!$J$2:$J$10</definedName>
    <definedName name="Step5_Disallowable">Lists!$I$2:$I$13</definedName>
    <definedName name="Step7_Reconcilation_PBT">Lists!$L$2:$L$9</definedName>
    <definedName name="Step7_Reconciliations">Lists!$K$2:$K$12</definedName>
    <definedName name="Yes_No">Lists!$A$2:$A$3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9" i="3" l="1"/>
  <c r="G19" i="3"/>
  <c r="F20" i="3"/>
  <c r="G20" i="3"/>
  <c r="A9" i="1"/>
  <c r="A10" i="1"/>
  <c r="A11" i="1"/>
  <c r="E20" i="3" l="1"/>
  <c r="F14" i="7" s="1"/>
  <c r="J14" i="7" s="1"/>
  <c r="E19" i="3"/>
  <c r="F13" i="7" s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J13" i="7" l="1"/>
  <c r="F13" i="3"/>
  <c r="G13" i="3"/>
  <c r="E13" i="3" l="1"/>
  <c r="F26" i="3"/>
  <c r="G26" i="3"/>
  <c r="E26" i="3" l="1"/>
  <c r="F24" i="3"/>
  <c r="G24" i="3"/>
  <c r="F25" i="3"/>
  <c r="G25" i="3"/>
  <c r="E25" i="3" l="1"/>
  <c r="E24" i="3"/>
  <c r="F23" i="3"/>
  <c r="G23" i="3"/>
  <c r="E23" i="3" l="1"/>
  <c r="L11" i="3"/>
  <c r="L9" i="3" s="1"/>
  <c r="F17" i="5" l="1"/>
  <c r="G17" i="5"/>
  <c r="F27" i="3"/>
  <c r="G27" i="3"/>
  <c r="E27" i="3" l="1"/>
  <c r="E17" i="5"/>
  <c r="F14" i="3" l="1"/>
  <c r="G14" i="3"/>
  <c r="E14" i="3" l="1"/>
  <c r="I11" i="3"/>
  <c r="F15" i="3"/>
  <c r="G15" i="3"/>
  <c r="E15" i="3" l="1"/>
  <c r="F12" i="3"/>
  <c r="G12" i="3"/>
  <c r="F30" i="5"/>
  <c r="G30" i="5"/>
  <c r="E30" i="5" l="1"/>
  <c r="E12" i="3"/>
  <c r="F16" i="3"/>
  <c r="F11" i="3" s="1"/>
  <c r="G16" i="3"/>
  <c r="G11" i="3" s="1"/>
  <c r="E16" i="3" l="1"/>
  <c r="E11" i="3" s="1"/>
  <c r="I31" i="4" l="1"/>
  <c r="I20" i="4"/>
  <c r="I11" i="4"/>
  <c r="I9" i="4" s="1"/>
  <c r="I17" i="4" s="1"/>
  <c r="I19" i="4" s="1"/>
  <c r="I28" i="5"/>
  <c r="I26" i="5" s="1"/>
  <c r="I22" i="5"/>
  <c r="I15" i="5"/>
  <c r="I12" i="5"/>
  <c r="I8" i="5"/>
  <c r="I33" i="3"/>
  <c r="I22" i="3"/>
  <c r="I9" i="3"/>
  <c r="I17" i="3" s="1"/>
  <c r="I21" i="3" s="1"/>
  <c r="I21" i="5" l="1"/>
  <c r="I35" i="5" s="1"/>
  <c r="I26" i="4"/>
  <c r="I28" i="3"/>
  <c r="L22" i="3"/>
  <c r="G9" i="9" l="1"/>
  <c r="G6" i="9" l="1"/>
  <c r="L12" i="5" l="1"/>
  <c r="L31" i="4"/>
  <c r="L20" i="4"/>
  <c r="L11" i="4"/>
  <c r="L9" i="4" s="1"/>
  <c r="L17" i="4" s="1"/>
  <c r="L19" i="4" s="1"/>
  <c r="L33" i="3"/>
  <c r="L17" i="3"/>
  <c r="L21" i="3" l="1"/>
  <c r="L28" i="3" s="1"/>
  <c r="L26" i="4"/>
  <c r="C3" i="3" l="1"/>
  <c r="C3" i="4" s="1"/>
  <c r="C3" i="5" s="1"/>
  <c r="C3" i="6" s="1"/>
  <c r="C3" i="7" s="1"/>
  <c r="C2" i="3"/>
  <c r="C2" i="4" s="1"/>
  <c r="C2" i="5" s="1"/>
  <c r="C2" i="6" s="1"/>
  <c r="C2" i="7" s="1"/>
  <c r="G8" i="9"/>
  <c r="A8" i="1" l="1"/>
  <c r="G34" i="5" l="1"/>
  <c r="F34" i="5"/>
  <c r="G33" i="5"/>
  <c r="F33" i="5"/>
  <c r="G32" i="5"/>
  <c r="F32" i="5"/>
  <c r="G31" i="5"/>
  <c r="F31" i="5"/>
  <c r="G29" i="5"/>
  <c r="F29" i="5"/>
  <c r="G27" i="5"/>
  <c r="F27" i="5"/>
  <c r="G25" i="5"/>
  <c r="F25" i="5"/>
  <c r="G24" i="5"/>
  <c r="F24" i="5"/>
  <c r="G23" i="5"/>
  <c r="F23" i="5"/>
  <c r="F18" i="5"/>
  <c r="G18" i="5"/>
  <c r="F19" i="5"/>
  <c r="G19" i="5"/>
  <c r="F20" i="5"/>
  <c r="G20" i="5"/>
  <c r="G16" i="5"/>
  <c r="F16" i="5"/>
  <c r="G14" i="5"/>
  <c r="F14" i="5"/>
  <c r="G13" i="5"/>
  <c r="F13" i="5"/>
  <c r="F10" i="5"/>
  <c r="G10" i="5"/>
  <c r="F11" i="5"/>
  <c r="G11" i="5"/>
  <c r="G9" i="5"/>
  <c r="F9" i="5"/>
  <c r="G7" i="5"/>
  <c r="F7" i="5"/>
  <c r="G30" i="4"/>
  <c r="F30" i="4"/>
  <c r="G29" i="4"/>
  <c r="F29" i="4"/>
  <c r="F22" i="4"/>
  <c r="G22" i="4"/>
  <c r="F23" i="4"/>
  <c r="G23" i="4"/>
  <c r="F24" i="4"/>
  <c r="G24" i="4"/>
  <c r="F25" i="4"/>
  <c r="G25" i="4"/>
  <c r="G21" i="4"/>
  <c r="F21" i="4"/>
  <c r="G18" i="4"/>
  <c r="F18" i="4"/>
  <c r="F13" i="4"/>
  <c r="G13" i="4"/>
  <c r="F14" i="4"/>
  <c r="G14" i="4"/>
  <c r="F15" i="4"/>
  <c r="G15" i="4"/>
  <c r="F16" i="4"/>
  <c r="G16" i="4"/>
  <c r="G12" i="4"/>
  <c r="F12" i="4"/>
  <c r="G10" i="4"/>
  <c r="F10" i="4"/>
  <c r="G8" i="4"/>
  <c r="F8" i="4"/>
  <c r="G8" i="5" l="1"/>
  <c r="F31" i="4"/>
  <c r="G31" i="4"/>
  <c r="E10" i="5"/>
  <c r="E11" i="5"/>
  <c r="E24" i="5"/>
  <c r="E25" i="5"/>
  <c r="G11" i="4"/>
  <c r="F11" i="4"/>
  <c r="G28" i="5"/>
  <c r="F28" i="5"/>
  <c r="G15" i="5"/>
  <c r="F15" i="5"/>
  <c r="G32" i="3"/>
  <c r="F32" i="3"/>
  <c r="G31" i="3"/>
  <c r="F31" i="3"/>
  <c r="G18" i="3"/>
  <c r="F18" i="3"/>
  <c r="G10" i="3"/>
  <c r="G37" i="5" s="1"/>
  <c r="F10" i="3"/>
  <c r="F37" i="5" s="1"/>
  <c r="F33" i="3" l="1"/>
  <c r="G33" i="3"/>
  <c r="G22" i="3"/>
  <c r="F22" i="3"/>
  <c r="F8" i="3" l="1"/>
  <c r="G8" i="3"/>
  <c r="E34" i="5" l="1"/>
  <c r="E23" i="6" l="1"/>
  <c r="E18" i="6"/>
  <c r="E19" i="6"/>
  <c r="E9" i="6"/>
  <c r="E10" i="6"/>
  <c r="G22" i="5"/>
  <c r="L22" i="5"/>
  <c r="L8" i="5"/>
  <c r="L28" i="5"/>
  <c r="L26" i="5" s="1"/>
  <c r="L15" i="5"/>
  <c r="F8" i="5"/>
  <c r="L21" i="5" l="1"/>
  <c r="L35" i="5" s="1"/>
  <c r="E22" i="4"/>
  <c r="E24" i="4"/>
  <c r="E29" i="4"/>
  <c r="E14" i="4"/>
  <c r="E16" i="4"/>
  <c r="E12" i="4"/>
  <c r="E13" i="4"/>
  <c r="E15" i="4"/>
  <c r="E18" i="4"/>
  <c r="H15" i="7" s="1"/>
  <c r="J15" i="7" s="1"/>
  <c r="E25" i="4"/>
  <c r="F20" i="4"/>
  <c r="G9" i="4"/>
  <c r="G17" i="4" s="1"/>
  <c r="E21" i="4"/>
  <c r="E10" i="4"/>
  <c r="E23" i="4"/>
  <c r="E30" i="4"/>
  <c r="H29" i="7" s="1"/>
  <c r="E27" i="5"/>
  <c r="F12" i="5"/>
  <c r="F21" i="5" s="1"/>
  <c r="E13" i="5"/>
  <c r="E12" i="6" s="1"/>
  <c r="E14" i="5"/>
  <c r="E13" i="6" s="1"/>
  <c r="E23" i="5"/>
  <c r="G12" i="5"/>
  <c r="G21" i="5" s="1"/>
  <c r="E32" i="5"/>
  <c r="F26" i="5"/>
  <c r="E31" i="5"/>
  <c r="E33" i="5"/>
  <c r="E29" i="5"/>
  <c r="F22" i="5"/>
  <c r="E20" i="5"/>
  <c r="E18" i="5"/>
  <c r="E19" i="5"/>
  <c r="E16" i="5"/>
  <c r="E9" i="5"/>
  <c r="G26" i="5"/>
  <c r="E7" i="5"/>
  <c r="G20" i="4"/>
  <c r="E8" i="4"/>
  <c r="G35" i="5" l="1"/>
  <c r="F35" i="5"/>
  <c r="E15" i="5"/>
  <c r="E6" i="6"/>
  <c r="H28" i="7"/>
  <c r="E31" i="4"/>
  <c r="E21" i="6"/>
  <c r="E11" i="4"/>
  <c r="H10" i="7" s="1"/>
  <c r="E12" i="5"/>
  <c r="E11" i="6" s="1"/>
  <c r="F9" i="4"/>
  <c r="F17" i="4" s="1"/>
  <c r="F19" i="4" s="1"/>
  <c r="F26" i="4" s="1"/>
  <c r="E20" i="4"/>
  <c r="H17" i="7" s="1"/>
  <c r="G19" i="4"/>
  <c r="H8" i="7"/>
  <c r="J8" i="7" s="1"/>
  <c r="H7" i="7"/>
  <c r="E22" i="5"/>
  <c r="E16" i="6" s="1"/>
  <c r="E17" i="6"/>
  <c r="E8" i="5"/>
  <c r="E7" i="6" s="1"/>
  <c r="E8" i="6"/>
  <c r="E28" i="5"/>
  <c r="E26" i="5" s="1"/>
  <c r="E21" i="5" l="1"/>
  <c r="E35" i="5" s="1"/>
  <c r="G26" i="4"/>
  <c r="E9" i="4"/>
  <c r="E17" i="4" s="1"/>
  <c r="E20" i="6"/>
  <c r="E22" i="6"/>
  <c r="E14" i="6"/>
  <c r="E15" i="6" s="1"/>
  <c r="E32" i="6" s="1"/>
  <c r="E24" i="6" l="1"/>
  <c r="E29" i="6" s="1"/>
  <c r="E19" i="4"/>
  <c r="E26" i="4" s="1"/>
  <c r="H11" i="7"/>
  <c r="E35" i="3" l="1"/>
  <c r="K18" i="9"/>
  <c r="H16" i="7"/>
  <c r="E18" i="3"/>
  <c r="F12" i="7" s="1"/>
  <c r="E32" i="3"/>
  <c r="F29" i="7" s="1"/>
  <c r="J29" i="7" s="1"/>
  <c r="E31" i="3"/>
  <c r="E10" i="3"/>
  <c r="E8" i="3"/>
  <c r="E34" i="6" l="1"/>
  <c r="K24" i="9" s="1"/>
  <c r="F7" i="7"/>
  <c r="J7" i="7" s="1"/>
  <c r="F9" i="7"/>
  <c r="J9" i="7" s="1"/>
  <c r="E37" i="5"/>
  <c r="F28" i="7"/>
  <c r="J28" i="7" s="1"/>
  <c r="E33" i="3"/>
  <c r="E22" i="3"/>
  <c r="J12" i="7"/>
  <c r="H30" i="7"/>
  <c r="H18" i="7"/>
  <c r="I24" i="9" l="1"/>
  <c r="E26" i="6"/>
  <c r="E30" i="6" s="1"/>
  <c r="E36" i="3"/>
  <c r="F17" i="7"/>
  <c r="J17" i="7" s="1"/>
  <c r="K20" i="9" l="1"/>
  <c r="G9" i="3"/>
  <c r="G17" i="3" s="1"/>
  <c r="G21" i="3" s="1"/>
  <c r="F9" i="3" l="1"/>
  <c r="F10" i="7"/>
  <c r="J10" i="7" s="1"/>
  <c r="F17" i="3" l="1"/>
  <c r="G28" i="3"/>
  <c r="E9" i="3"/>
  <c r="E17" i="3" s="1"/>
  <c r="E21" i="3" s="1"/>
  <c r="F21" i="3" l="1"/>
  <c r="F28" i="3" s="1"/>
  <c r="E28" i="3"/>
  <c r="E4" i="3" s="1"/>
  <c r="F11" i="7"/>
  <c r="J11" i="7" s="1"/>
  <c r="F16" i="7" l="1"/>
  <c r="J16" i="7" s="1"/>
  <c r="F30" i="7" l="1"/>
  <c r="F18" i="7"/>
  <c r="J18" i="7" l="1"/>
  <c r="J30" i="7"/>
  <c r="J37" i="7" l="1"/>
  <c r="F39" i="7"/>
  <c r="J23" i="7"/>
  <c r="F25" i="7"/>
  <c r="H25" i="7" l="1"/>
  <c r="K12" i="9" s="1"/>
  <c r="H39" i="7"/>
  <c r="K14" i="9" s="1"/>
  <c r="I12" i="9"/>
  <c r="I14" i="9"/>
</calcChain>
</file>

<file path=xl/sharedStrings.xml><?xml version="1.0" encoding="utf-8"?>
<sst xmlns="http://schemas.openxmlformats.org/spreadsheetml/2006/main" count="647" uniqueCount="503">
  <si>
    <t>Form type</t>
  </si>
  <si>
    <t>Version</t>
  </si>
  <si>
    <t>major</t>
  </si>
  <si>
    <t>minor</t>
  </si>
  <si>
    <t>build</t>
  </si>
  <si>
    <t>revision</t>
  </si>
  <si>
    <t>Is Not Clear State</t>
  </si>
  <si>
    <t>N/A</t>
  </si>
  <si>
    <t>Notes</t>
  </si>
  <si>
    <t>P</t>
  </si>
  <si>
    <t xml:space="preserve">Real Estate Investment Trusts </t>
  </si>
  <si>
    <t>Financial Statements - Summary</t>
  </si>
  <si>
    <t>REIT Name</t>
  </si>
  <si>
    <t>Accounting period ended</t>
  </si>
  <si>
    <t>Balance of Business Tests</t>
  </si>
  <si>
    <t>Income test</t>
  </si>
  <si>
    <t>Asset test</t>
  </si>
  <si>
    <t>Distribution Requirement</t>
  </si>
  <si>
    <t>90% PID distribution S530(1)(b) CTA 2010 (those attributed to S550(2)(aa))</t>
  </si>
  <si>
    <t>100% PID distribution S530(1)(b) CTA 2010 (those attributed to S550(2)(a))</t>
  </si>
  <si>
    <t>Interest Cover Test Ratio</t>
  </si>
  <si>
    <r>
      <t xml:space="preserve">Guidance on completion of this form is available via the </t>
    </r>
    <r>
      <rPr>
        <b/>
        <i/>
        <sz val="11"/>
        <color theme="1"/>
        <rFont val="Calibri"/>
        <family val="2"/>
      </rPr>
      <t xml:space="preserve">User Guide </t>
    </r>
    <r>
      <rPr>
        <b/>
        <sz val="11"/>
        <color theme="1"/>
        <rFont val="Calibri"/>
        <family val="2"/>
      </rPr>
      <t>button on the menu (above)</t>
    </r>
  </si>
  <si>
    <r>
      <t xml:space="preserve">REIT Name </t>
    </r>
    <r>
      <rPr>
        <b/>
        <sz val="11"/>
        <color rgb="FFFF0000"/>
        <rFont val="Calibri"/>
        <family val="2"/>
      </rPr>
      <t>*</t>
    </r>
  </si>
  <si>
    <r>
      <rPr>
        <sz val="11"/>
        <color rgb="FFFF0000"/>
        <rFont val="Calibri"/>
        <family val="2"/>
      </rPr>
      <t>*</t>
    </r>
    <r>
      <rPr>
        <sz val="11"/>
        <color theme="1"/>
        <rFont val="Calibri"/>
        <family val="2"/>
      </rPr>
      <t xml:space="preserve"> denotes a mandatory field</t>
    </r>
  </si>
  <si>
    <r>
      <t xml:space="preserve">Principal company UTR </t>
    </r>
    <r>
      <rPr>
        <b/>
        <sz val="11"/>
        <color rgb="FFFF0000"/>
        <rFont val="Calibri"/>
        <family val="2"/>
      </rPr>
      <t>*</t>
    </r>
  </si>
  <si>
    <r>
      <t xml:space="preserve">Accounting period ended (dd/mm/yyyy) </t>
    </r>
    <r>
      <rPr>
        <b/>
        <sz val="11"/>
        <color rgb="FFFF0000"/>
        <rFont val="Calibri"/>
        <family val="2"/>
      </rPr>
      <t>*</t>
    </r>
  </si>
  <si>
    <r>
      <t xml:space="preserve">Previous accounting period ended </t>
    </r>
    <r>
      <rPr>
        <b/>
        <sz val="11"/>
        <color rgb="FFFF0000"/>
        <rFont val="Calibri"/>
        <family val="2"/>
      </rPr>
      <t>*</t>
    </r>
  </si>
  <si>
    <r>
      <t xml:space="preserve">Entity Name </t>
    </r>
    <r>
      <rPr>
        <b/>
        <sz val="11"/>
        <color rgb="FFFF0000"/>
        <rFont val="Calibri"/>
        <family val="2"/>
      </rPr>
      <t>*</t>
    </r>
  </si>
  <si>
    <r>
      <t xml:space="preserve">Entity Type </t>
    </r>
    <r>
      <rPr>
        <b/>
        <sz val="11"/>
        <color rgb="FFFF0000"/>
        <rFont val="Calibri"/>
        <family val="2"/>
      </rPr>
      <t>*</t>
    </r>
  </si>
  <si>
    <t>UTR</t>
  </si>
  <si>
    <r>
      <t xml:space="preserve">%age </t>
    </r>
    <r>
      <rPr>
        <b/>
        <sz val="11"/>
        <color rgb="FFFF0000"/>
        <rFont val="Calibri"/>
        <family val="2"/>
      </rPr>
      <t>*</t>
    </r>
  </si>
  <si>
    <r>
      <t xml:space="preserve">Jurisdiction </t>
    </r>
    <r>
      <rPr>
        <b/>
        <sz val="11"/>
        <color rgb="FFFF0000"/>
        <rFont val="Calibri"/>
        <family val="2"/>
      </rPr>
      <t>*</t>
    </r>
  </si>
  <si>
    <r>
      <t xml:space="preserve">Tax-exempt? (Yes/No) </t>
    </r>
    <r>
      <rPr>
        <b/>
        <sz val="11"/>
        <color rgb="FFFF0000"/>
        <rFont val="Calibri"/>
        <family val="2"/>
      </rPr>
      <t>*</t>
    </r>
  </si>
  <si>
    <t>Reference</t>
  </si>
  <si>
    <t>Delete entity? (Yes)</t>
  </si>
  <si>
    <t>GUID</t>
  </si>
  <si>
    <t>Step 3 - Property rental business S532(2)(a) - Input entity details here</t>
  </si>
  <si>
    <t>select '+' or '-' signs above, to display or hide entity columns</t>
  </si>
  <si>
    <t>UK Entities</t>
  </si>
  <si>
    <t>UKEnd</t>
  </si>
  <si>
    <t>Non UK Entities</t>
  </si>
  <si>
    <t>NonUKEnd</t>
  </si>
  <si>
    <t>Accounting period ended:</t>
  </si>
  <si>
    <t>Combined</t>
  </si>
  <si>
    <t>Totals</t>
  </si>
  <si>
    <t>IAS - Profits/Expenses</t>
  </si>
  <si>
    <t xml:space="preserve">Revenue less cost of sales </t>
  </si>
  <si>
    <t>Other profit &amp; loss and comprehensive income</t>
  </si>
  <si>
    <t>PIDs from other UK REITs - UK REIT investment profits - S549A(1)</t>
  </si>
  <si>
    <t>SIB</t>
  </si>
  <si>
    <r>
      <t>Other income or expense (</t>
    </r>
    <r>
      <rPr>
        <i/>
        <sz val="11"/>
        <color rgb="FFFF0000"/>
        <rFont val="Calibri"/>
        <family val="2"/>
      </rPr>
      <t>specify in rows below - select '+' or '-' signs to left, to display or hide input rows</t>
    </r>
    <r>
      <rPr>
        <i/>
        <sz val="11"/>
        <color theme="1"/>
        <rFont val="Calibri"/>
        <family val="2"/>
      </rPr>
      <t>)</t>
    </r>
  </si>
  <si>
    <t>EIB</t>
  </si>
  <si>
    <t>PBT and other comprehensive income before finance costs (excluding intra-group)</t>
  </si>
  <si>
    <t>SIN1</t>
  </si>
  <si>
    <t>PBT and other comprehensive income after finance costs (excluding intra-group)</t>
  </si>
  <si>
    <t>SAB</t>
  </si>
  <si>
    <r>
      <t>Other adjustments (</t>
    </r>
    <r>
      <rPr>
        <i/>
        <sz val="11"/>
        <color rgb="FFFF0000"/>
        <rFont val="Calibri"/>
        <family val="2"/>
      </rPr>
      <t>specify in rows below - select '+' or '-' signs to left, to display or hide input rows</t>
    </r>
    <r>
      <rPr>
        <i/>
        <sz val="11"/>
        <color theme="1"/>
        <rFont val="Calibri"/>
        <family val="2"/>
      </rPr>
      <t>)</t>
    </r>
  </si>
  <si>
    <t>EAB</t>
  </si>
  <si>
    <t>PBT calculated in accordance with IAS after REIT  adjustments</t>
  </si>
  <si>
    <t>IAS - Assets</t>
  </si>
  <si>
    <t>SIN2</t>
  </si>
  <si>
    <t>Non-current assets (including shares held in a UK REIT company or principal company of a REIT group - S531(5))</t>
  </si>
  <si>
    <t>SIN3</t>
  </si>
  <si>
    <t>Current assets</t>
  </si>
  <si>
    <t>Grand Total</t>
  </si>
  <si>
    <t>Step 4 - Residual income S532(2)(c) - Input entity details here</t>
  </si>
  <si>
    <t>Revenue less cost of sales</t>
  </si>
  <si>
    <t>Beneficial interests income (from non-REIT group members - Reg 8 SI 2006/2865)</t>
  </si>
  <si>
    <t>Net finance costs residual (Reg 5(6)(b) SI 2006/2865) -exc intra group</t>
  </si>
  <si>
    <t>Non-current assets</t>
  </si>
  <si>
    <t>Step 5 - Tax Exempt S532(2)(b)  - Input entity details here</t>
  </si>
  <si>
    <t>PRB profit before tax</t>
  </si>
  <si>
    <t>PRB - Finance costs (adjustments to ensure these are reflected separately - Reg 12 SI 2006/2865)</t>
  </si>
  <si>
    <t>PRB-interest and other financial costs receivable</t>
  </si>
  <si>
    <t>PRB-interest and other financial costs payable</t>
  </si>
  <si>
    <t>PRB-fair value movement of hedging derivatives</t>
  </si>
  <si>
    <t>Adjustments to exclude any residual income and expenses included in accounting PBT</t>
  </si>
  <si>
    <t>Residual income</t>
  </si>
  <si>
    <t>Residual expenses</t>
  </si>
  <si>
    <r>
      <t>Adjustments to exclude other tax-disallowable expenditure included in accounting PBT (</t>
    </r>
    <r>
      <rPr>
        <b/>
        <i/>
        <sz val="11"/>
        <color rgb="FFFF0000"/>
        <rFont val="Calibri"/>
        <family val="2"/>
      </rPr>
      <t>specify below</t>
    </r>
    <r>
      <rPr>
        <b/>
        <i/>
        <sz val="11"/>
        <color theme="1"/>
        <rFont val="Calibri"/>
        <family val="2"/>
      </rPr>
      <t>)</t>
    </r>
  </si>
  <si>
    <t>`</t>
  </si>
  <si>
    <t>UK PRB profits (before capital allowances and finance costs &amp; hedging debits/credits)</t>
  </si>
  <si>
    <t>PRB - Finance costs (adjustments to restore items to be shown separately - Reg 12 SI 2006/2865)</t>
  </si>
  <si>
    <t>Interest and other finance costs receivable (including related transfer pricing adjustments)</t>
  </si>
  <si>
    <t>Interest and other finance costs payable (including related transfer pricing adjustments)</t>
  </si>
  <si>
    <t>Other claims/adjustments for tax purposes</t>
  </si>
  <si>
    <t>SIN4</t>
  </si>
  <si>
    <t>Capital Allowances - in full S599(8)</t>
  </si>
  <si>
    <r>
      <t>Other tax adjustments (</t>
    </r>
    <r>
      <rPr>
        <i/>
        <sz val="11"/>
        <color rgb="FFFF0000"/>
        <rFont val="Calibri"/>
        <family val="2"/>
      </rPr>
      <t>specify in rows below - select '+' or '-' signs to left, to display or hide input rows</t>
    </r>
    <r>
      <rPr>
        <i/>
        <sz val="11"/>
        <color theme="1"/>
        <rFont val="Calibri"/>
        <family val="2"/>
      </rPr>
      <t>)</t>
    </r>
  </si>
  <si>
    <t>Less UK Property losses brought forward</t>
  </si>
  <si>
    <t>Tax-exempt profits - excluding "UK REIT investment profits" from investments in UK REITs</t>
  </si>
  <si>
    <t>"UK REIT investment profits" - S549A CTA 2010 arising from members of a REIT which is a member of this REIT (S530(1)(a))</t>
  </si>
  <si>
    <t>Step 6 - Tax Exempt summary and financing cost ratio test and 90% PID distribution calculation</t>
  </si>
  <si>
    <t>Adjustments to exclude other tax-disallowable expenditure included in accounting PBT</t>
  </si>
  <si>
    <t>F</t>
  </si>
  <si>
    <t>Other tax adjustments</t>
  </si>
  <si>
    <t>Less - UK property losses brought forward</t>
  </si>
  <si>
    <t>G</t>
  </si>
  <si>
    <t>H</t>
  </si>
  <si>
    <t>90% of G</t>
  </si>
  <si>
    <t>100% PID distribution S530(1)(a) CTA 2010 (those attributed to S550(2)(a))</t>
  </si>
  <si>
    <t>100% of H</t>
  </si>
  <si>
    <t>Interest cover test ratio</t>
  </si>
  <si>
    <t>F/A</t>
  </si>
  <si>
    <r>
      <rPr>
        <b/>
        <sz val="12"/>
        <color theme="1"/>
        <rFont val="Calibri"/>
        <family val="2"/>
      </rPr>
      <t xml:space="preserve">A </t>
    </r>
    <r>
      <rPr>
        <sz val="12"/>
        <color theme="1"/>
        <rFont val="Calibri"/>
        <family val="2"/>
      </rPr>
      <t>(at Step 7)</t>
    </r>
    <r>
      <rPr>
        <sz val="11"/>
        <color theme="1"/>
        <rFont val="Calibri"/>
        <family val="2"/>
      </rPr>
      <t xml:space="preserve"> refers to 'external financing costs' of the UK business of G PRB</t>
    </r>
  </si>
  <si>
    <t>Step 7 - Property rental business and residual income summary and "Balance of Business" tests</t>
  </si>
  <si>
    <t>Totals
 (Property Rental Business)</t>
  </si>
  <si>
    <t>Totals
(Residual)</t>
  </si>
  <si>
    <t>Totals 
(Group)</t>
  </si>
  <si>
    <t>Revenue less cost of sales (excluding intra-group items - Reg 5(2) SI 2006/2865)</t>
  </si>
  <si>
    <t>Other income or expense</t>
  </si>
  <si>
    <t>A</t>
  </si>
  <si>
    <t>Net finance costs residual (Reg 5(6)(b) SI 2006/2865) -exc intra-group</t>
  </si>
  <si>
    <t>Other adjustments</t>
  </si>
  <si>
    <t>B</t>
  </si>
  <si>
    <t>C</t>
  </si>
  <si>
    <r>
      <t>Reconciliation to audited financial statements (</t>
    </r>
    <r>
      <rPr>
        <sz val="11"/>
        <color rgb="FFFF0000"/>
        <rFont val="Calibri"/>
        <family val="2"/>
      </rPr>
      <t>specify in rows below</t>
    </r>
    <r>
      <rPr>
        <sz val="11"/>
        <color theme="1"/>
        <rFont val="Calibri"/>
        <family val="2"/>
      </rPr>
      <t>)</t>
    </r>
  </si>
  <si>
    <t>PBT per audited financial statements</t>
  </si>
  <si>
    <t>Balance of Business income test</t>
  </si>
  <si>
    <t>B/C</t>
  </si>
  <si>
    <t>D</t>
  </si>
  <si>
    <t>E</t>
  </si>
  <si>
    <t>Assets per audited financial statements</t>
  </si>
  <si>
    <t>Balance of Business asset test</t>
  </si>
  <si>
    <t>D/E</t>
  </si>
  <si>
    <t>Guidance</t>
  </si>
  <si>
    <t>Summary</t>
  </si>
  <si>
    <t>This will be blank until you start inputting data.</t>
  </si>
  <si>
    <t>Once all data has been input, this will show the results of the tests performed on the data</t>
  </si>
  <si>
    <t>Balance of Business Income &amp; Asset tests</t>
  </si>
  <si>
    <t>Distribution requirements</t>
  </si>
  <si>
    <t>Interest Cover test</t>
  </si>
  <si>
    <t>If either Balance of Business test displays Gateway (where the percentage is at least 75% but below 80%),</t>
  </si>
  <si>
    <t>data in the relevant parts of Steps 3 and 5 must still be entered on an entity-by-entity basis for accounting periods starting from 1 April 2022.</t>
  </si>
  <si>
    <t>Step 1 - Entity Details - Input</t>
  </si>
  <si>
    <r>
      <t xml:space="preserve">Show your REIT Name and </t>
    </r>
    <r>
      <rPr>
        <i/>
        <sz val="11"/>
        <color theme="1"/>
        <rFont val="Calibri"/>
        <family val="2"/>
      </rPr>
      <t>Accounting periods</t>
    </r>
    <r>
      <rPr>
        <sz val="11"/>
        <color theme="1"/>
        <rFont val="Calibri"/>
        <family val="2"/>
      </rPr>
      <t xml:space="preserve"> here</t>
    </r>
  </si>
  <si>
    <t>If you are showing 'Consolidated' data, input this entity first</t>
  </si>
  <si>
    <r>
      <t xml:space="preserve">You cannot consolidate data for any entities that are </t>
    </r>
    <r>
      <rPr>
        <i/>
        <sz val="11"/>
        <color theme="1"/>
        <rFont val="Calibri"/>
        <family val="2"/>
      </rPr>
      <t>tax-exempt</t>
    </r>
  </si>
  <si>
    <r>
      <t xml:space="preserve">All columns marked with an asterisk </t>
    </r>
    <r>
      <rPr>
        <sz val="11"/>
        <color rgb="FFFF0000"/>
        <rFont val="Calibri"/>
        <family val="2"/>
      </rPr>
      <t>*</t>
    </r>
    <r>
      <rPr>
        <sz val="11"/>
        <color theme="1"/>
        <rFont val="Calibri"/>
        <family val="2"/>
      </rPr>
      <t xml:space="preserve"> must be completed for each entity (some will pre-populate based on entries selected)</t>
    </r>
  </si>
  <si>
    <t>For any company or partnership with ‘United Kingdom’ as the Jurisdiction, the 10-digit unique taxpayer reference must be entered in the UTR column.</t>
  </si>
  <si>
    <r>
      <t xml:space="preserve">You can add any internal identifier that you use in the </t>
    </r>
    <r>
      <rPr>
        <i/>
        <sz val="11"/>
        <color theme="1"/>
        <rFont val="Calibri"/>
        <family val="2"/>
      </rPr>
      <t xml:space="preserve">Reference </t>
    </r>
    <r>
      <rPr>
        <sz val="11"/>
        <color theme="1"/>
        <rFont val="Calibri"/>
        <family val="2"/>
      </rPr>
      <t>column</t>
    </r>
  </si>
  <si>
    <r>
      <t xml:space="preserve">To safeguard the integrity of the data inputted, certain fields will be locked </t>
    </r>
    <r>
      <rPr>
        <i/>
        <sz val="11"/>
        <color theme="1"/>
        <rFont val="Calibri"/>
        <family val="2"/>
      </rPr>
      <t xml:space="preserve">after </t>
    </r>
    <r>
      <rPr>
        <sz val="11"/>
        <color theme="1"/>
        <rFont val="Calibri"/>
        <family val="2"/>
      </rPr>
      <t xml:space="preserve">you select the </t>
    </r>
    <r>
      <rPr>
        <i/>
        <sz val="11"/>
        <color theme="1"/>
        <rFont val="Calibri"/>
        <family val="2"/>
      </rPr>
      <t xml:space="preserve">Step 2 </t>
    </r>
    <r>
      <rPr>
        <sz val="11"/>
        <color theme="1"/>
        <rFont val="Calibri"/>
        <family val="2"/>
      </rPr>
      <t>button, and you won't be able to delete entities.</t>
    </r>
  </si>
  <si>
    <r>
      <t xml:space="preserve">After selecting the </t>
    </r>
    <r>
      <rPr>
        <i/>
        <sz val="11"/>
        <color theme="1"/>
        <rFont val="Calibri"/>
        <family val="2"/>
      </rPr>
      <t xml:space="preserve">Step 2 </t>
    </r>
    <r>
      <rPr>
        <sz val="11"/>
        <color theme="1"/>
        <rFont val="Calibri"/>
        <family val="2"/>
      </rPr>
      <t>button for the first time</t>
    </r>
  </si>
  <si>
    <r>
      <t xml:space="preserve">You will only be able to change the entity name by double-clicking on it. This is to ensure that the </t>
    </r>
    <r>
      <rPr>
        <i/>
        <sz val="11"/>
        <color theme="1"/>
        <rFont val="Calibri"/>
        <family val="2"/>
      </rPr>
      <t xml:space="preserve">name </t>
    </r>
    <r>
      <rPr>
        <sz val="11"/>
        <color theme="1"/>
        <rFont val="Calibri"/>
        <family val="2"/>
      </rPr>
      <t>stays 'attached' to any income data you may have added for it</t>
    </r>
  </si>
  <si>
    <r>
      <t xml:space="preserve">If you find that you have included an entity in error, select </t>
    </r>
    <r>
      <rPr>
        <i/>
        <sz val="11"/>
        <color theme="1"/>
        <rFont val="Calibri"/>
        <family val="2"/>
      </rPr>
      <t xml:space="preserve">Yes </t>
    </r>
    <r>
      <rPr>
        <sz val="11"/>
        <color theme="1"/>
        <rFont val="Calibri"/>
        <family val="2"/>
      </rPr>
      <t xml:space="preserve">in the </t>
    </r>
    <r>
      <rPr>
        <i/>
        <sz val="11"/>
        <color theme="1"/>
        <rFont val="Calibri"/>
        <family val="2"/>
      </rPr>
      <t xml:space="preserve">Delete Entity </t>
    </r>
    <r>
      <rPr>
        <sz val="11"/>
        <color theme="1"/>
        <rFont val="Calibri"/>
        <family val="2"/>
      </rPr>
      <t xml:space="preserve">column. It will be deleted when you next select the </t>
    </r>
    <r>
      <rPr>
        <i/>
        <sz val="11"/>
        <color theme="1"/>
        <rFont val="Calibri"/>
        <family val="2"/>
      </rPr>
      <t xml:space="preserve">Step 2 </t>
    </r>
    <r>
      <rPr>
        <sz val="11"/>
        <color theme="1"/>
        <rFont val="Calibri"/>
        <family val="2"/>
      </rPr>
      <t>button</t>
    </r>
  </si>
  <si>
    <t>Step 2 - Copy entities to Steps 3-5</t>
  </si>
  <si>
    <t>Selecting this button will copy all of the entities input at Step 1 to the appropriate Steps 3-5</t>
  </si>
  <si>
    <t>All entities will be copied to Steps 3 and 4</t>
  </si>
  <si>
    <t>Tax-exempt entities will be copied to Step 5</t>
  </si>
  <si>
    <r>
      <t xml:space="preserve">Entities will be split into </t>
    </r>
    <r>
      <rPr>
        <i/>
        <sz val="11"/>
        <color theme="1"/>
        <rFont val="Calibri"/>
        <family val="2"/>
      </rPr>
      <t>UK</t>
    </r>
    <r>
      <rPr>
        <sz val="11"/>
        <color theme="1"/>
        <rFont val="Calibri"/>
        <family val="2"/>
      </rPr>
      <t xml:space="preserve"> and </t>
    </r>
    <r>
      <rPr>
        <i/>
        <sz val="11"/>
        <color theme="1"/>
        <rFont val="Calibri"/>
        <family val="2"/>
      </rPr>
      <t>Non-UK</t>
    </r>
    <r>
      <rPr>
        <sz val="11"/>
        <color theme="1"/>
        <rFont val="Calibri"/>
        <family val="2"/>
      </rPr>
      <t xml:space="preserve"> based on the </t>
    </r>
    <r>
      <rPr>
        <i/>
        <sz val="11"/>
        <color theme="1"/>
        <rFont val="Calibri"/>
        <family val="2"/>
      </rPr>
      <t>Jurisdiction</t>
    </r>
    <r>
      <rPr>
        <sz val="11"/>
        <color theme="1"/>
        <rFont val="Calibri"/>
        <family val="2"/>
      </rPr>
      <t xml:space="preserve"> input at Step 1</t>
    </r>
  </si>
  <si>
    <t>Steps 3 -5  - Inputs</t>
  </si>
  <si>
    <t>Show the profits/expenses incurred for each entity in the appropriate columns/rows</t>
  </si>
  <si>
    <t>Each Step includes blocks of 5 rows to input other income and expenses, and 5 rows to include other adjustments</t>
  </si>
  <si>
    <r>
      <t xml:space="preserve">If you need additional rows in either block, you can add a row by </t>
    </r>
    <r>
      <rPr>
        <i/>
        <sz val="11"/>
        <color theme="1"/>
        <rFont val="Calibri"/>
        <family val="2"/>
      </rPr>
      <t>double clicking</t>
    </r>
    <r>
      <rPr>
        <sz val="11"/>
        <color theme="1"/>
        <rFont val="Calibri"/>
        <family val="2"/>
      </rPr>
      <t xml:space="preserve"> in the block</t>
    </r>
  </si>
  <si>
    <r>
      <t>or by selecting the A</t>
    </r>
    <r>
      <rPr>
        <i/>
        <sz val="11"/>
        <color theme="1"/>
        <rFont val="Calibri"/>
        <family val="2"/>
      </rPr>
      <t>dd Block Row</t>
    </r>
    <r>
      <rPr>
        <sz val="11"/>
        <color theme="1"/>
        <rFont val="Calibri"/>
        <family val="2"/>
      </rPr>
      <t xml:space="preserve"> button on the menu above</t>
    </r>
  </si>
  <si>
    <r>
      <t xml:space="preserve">You can delete a row in a block by selecting the </t>
    </r>
    <r>
      <rPr>
        <i/>
        <sz val="11"/>
        <color theme="1"/>
        <rFont val="Calibri"/>
        <family val="2"/>
      </rPr>
      <t xml:space="preserve">Delete Block Row </t>
    </r>
    <r>
      <rPr>
        <sz val="11"/>
        <color theme="1"/>
        <rFont val="Calibri"/>
        <family val="2"/>
      </rPr>
      <t>button on the menu above</t>
    </r>
  </si>
  <si>
    <t>Blocks can be displayed or hidden by selecting the + or - signs to the left of the block</t>
  </si>
  <si>
    <t>Step 6 - Summary of Tax-exempt and finance cost ratio test</t>
  </si>
  <si>
    <r>
      <t xml:space="preserve">This shows the result of the </t>
    </r>
    <r>
      <rPr>
        <i/>
        <sz val="11"/>
        <color theme="1"/>
        <rFont val="Calibri"/>
        <family val="2"/>
      </rPr>
      <t>Interest Cover test</t>
    </r>
  </si>
  <si>
    <t>Step 7 - Summary and Balance of Business tests (including Reconciliation - Input)</t>
  </si>
  <si>
    <r>
      <t xml:space="preserve">This Step shows the results of both </t>
    </r>
    <r>
      <rPr>
        <i/>
        <sz val="11"/>
        <color theme="1"/>
        <rFont val="Calibri"/>
        <family val="2"/>
      </rPr>
      <t>Balance of Business tests</t>
    </r>
  </si>
  <si>
    <t>It includes input blocks for you to show any reconciliations to audited financial statements</t>
  </si>
  <si>
    <t>You can add or delete rows in these input blocks as per Steps 3-5 (above)</t>
  </si>
  <si>
    <t>How to convert REIT Financial Statements (RFS) Tool and send to HMRC.</t>
  </si>
  <si>
    <t>Once you have completed the RFS spreadsheet please convert the spreadsheet to an XML document.</t>
  </si>
  <si>
    <r>
      <t xml:space="preserve">To do this please click on the </t>
    </r>
    <r>
      <rPr>
        <i/>
        <sz val="11"/>
        <color theme="1"/>
        <rFont val="Calibri"/>
        <family val="2"/>
      </rPr>
      <t>'Create XML File'</t>
    </r>
    <r>
      <rPr>
        <sz val="11"/>
        <color theme="1"/>
        <rFont val="Calibri"/>
        <family val="2"/>
      </rPr>
      <t xml:space="preserve"> button in the Admin section on the tool bar (next to step 7),</t>
    </r>
  </si>
  <si>
    <r>
      <t xml:space="preserve">ensuring </t>
    </r>
    <r>
      <rPr>
        <i/>
        <sz val="11"/>
        <color theme="1"/>
        <rFont val="Calibri"/>
        <family val="2"/>
      </rPr>
      <t>Save as type</t>
    </r>
    <r>
      <rPr>
        <sz val="11"/>
        <color theme="1"/>
        <rFont val="Calibri"/>
        <family val="2"/>
      </rPr>
      <t xml:space="preserve"> is XML Data. Click Save.</t>
    </r>
  </si>
  <si>
    <t xml:space="preserve">Once it's been converted it will look similar to computer program/code. </t>
  </si>
  <si>
    <r>
      <t>It is in this format you are required to submit to HMRC via the LB REIT Mailbox (</t>
    </r>
    <r>
      <rPr>
        <u/>
        <sz val="11"/>
        <color theme="4" tint="-0.249977111117893"/>
        <rFont val="Calibri"/>
        <family val="2"/>
      </rPr>
      <t>reit.lb@hmrc.gov.uk</t>
    </r>
    <r>
      <rPr>
        <u/>
        <sz val="11"/>
        <color theme="8" tint="0.39997558519241921"/>
        <rFont val="Calibri"/>
        <family val="2"/>
      </rPr>
      <t>)</t>
    </r>
  </si>
  <si>
    <t>Yes_No</t>
  </si>
  <si>
    <t>Entity types</t>
  </si>
  <si>
    <t>Jurisdiction</t>
  </si>
  <si>
    <t>Step 3 - other income/expenses</t>
  </si>
  <si>
    <t>Step 3 - adjustments</t>
  </si>
  <si>
    <t>Step 4 - pre-FC</t>
  </si>
  <si>
    <t>Step 4 - post-FC</t>
  </si>
  <si>
    <t>Step 5 - exclude disallowable</t>
  </si>
  <si>
    <t>Step 5 - tax adjustments</t>
  </si>
  <si>
    <t>Step 7 - reconciliation to audited financial statements -Grand Total</t>
  </si>
  <si>
    <t>Step 7 - reconciliation to audited financial statements - PBT calculated</t>
  </si>
  <si>
    <t>Yes</t>
  </si>
  <si>
    <t>Principal Company</t>
  </si>
  <si>
    <t>United Kingdom</t>
  </si>
  <si>
    <t>Admin Expenses</t>
  </si>
  <si>
    <t>Allocation Of Interest To PRB</t>
  </si>
  <si>
    <t>Abortive Capital Expenditure</t>
  </si>
  <si>
    <t>Balancing Allowances</t>
  </si>
  <si>
    <t>Consolidation Adjustments</t>
  </si>
  <si>
    <t>No</t>
  </si>
  <si>
    <t>Consolidated</t>
  </si>
  <si>
    <t>Overseas</t>
  </si>
  <si>
    <t>Associated Costs</t>
  </si>
  <si>
    <t>Associate Profits</t>
  </si>
  <si>
    <t>Audit Fees</t>
  </si>
  <si>
    <t>Amount Treated As Residual Under S543(4) - Profit Financing Cost Ratio</t>
  </si>
  <si>
    <t>Balancing Charges</t>
  </si>
  <si>
    <t>Distributions Or Dividends</t>
  </si>
  <si>
    <t>Company</t>
  </si>
  <si>
    <t>Guernsey</t>
  </si>
  <si>
    <t>Change In Fair Value Of Derivative Instruments</t>
  </si>
  <si>
    <t>Bank Charges</t>
  </si>
  <si>
    <t>Amount Treated As Residual Under S551(5) - Distribution To Holder Of Excessive Rights</t>
  </si>
  <si>
    <t>Admin Recharge</t>
  </si>
  <si>
    <t>Capitalised Interest</t>
  </si>
  <si>
    <t>Impairment Or Amortisation</t>
  </si>
  <si>
    <t>JV Company Subject To Notice Under S586/587 CTA 2010</t>
  </si>
  <si>
    <t>Jersey</t>
  </si>
  <si>
    <t>Change In Fair Value Of Investment Property</t>
  </si>
  <si>
    <t>Cost Of Raising Finance</t>
  </si>
  <si>
    <t>Amount Treated As Residual Under S564(3) - Breach Of Distribution Condition</t>
  </si>
  <si>
    <t>CIR Allocated Disallowance</t>
  </si>
  <si>
    <t>Other Reconciliation</t>
  </si>
  <si>
    <t>Open Ended Investment Company</t>
  </si>
  <si>
    <t>Afghanistan</t>
  </si>
  <si>
    <t>Beneficial Interests Income</t>
  </si>
  <si>
    <t>Finance Interest Reallocated</t>
  </si>
  <si>
    <t>Distribution Expenses</t>
  </si>
  <si>
    <t>Capitalised Revenue Expenditure</t>
  </si>
  <si>
    <t>Fair Value Movement On Derivatives</t>
  </si>
  <si>
    <t>Profits Of Associated Entities</t>
  </si>
  <si>
    <t>Unit Trust</t>
  </si>
  <si>
    <t>Albania</t>
  </si>
  <si>
    <t>Other Comprehensive Income/Loss</t>
  </si>
  <si>
    <t>Fund Manager Fees</t>
  </si>
  <si>
    <t>Income Reallocation From PRB</t>
  </si>
  <si>
    <t>Corporate Entertaining</t>
  </si>
  <si>
    <t>Land Remediation</t>
  </si>
  <si>
    <t>Realised Gains Or Losses On Property</t>
  </si>
  <si>
    <t>Partnership</t>
  </si>
  <si>
    <t>Algeria</t>
  </si>
  <si>
    <t>Outside The Ordinary Course Of Business</t>
  </si>
  <si>
    <t>Depreciation</t>
  </si>
  <si>
    <t>Non-Trade Loan Relationships</t>
  </si>
  <si>
    <t>Revaluation</t>
  </si>
  <si>
    <t>Other Non-Corporate Entity</t>
  </si>
  <si>
    <t>American Samoa</t>
  </si>
  <si>
    <t>Partnership Profit Share</t>
  </si>
  <si>
    <t>Intra-Group Expenses</t>
  </si>
  <si>
    <t>Legal And Letting Fees</t>
  </si>
  <si>
    <t>Other Tax Adjustment</t>
  </si>
  <si>
    <t>Unrealised Gains Or Losses On Property</t>
  </si>
  <si>
    <t>Andorra</t>
  </si>
  <si>
    <t>Intra-Group Income</t>
  </si>
  <si>
    <t>Other Capital Income/Expense</t>
  </si>
  <si>
    <t>Transfer Pricing Adjustment</t>
  </si>
  <si>
    <t>Assets held solely in connection with hedging derivative contracts</t>
  </si>
  <si>
    <t>Angola</t>
  </si>
  <si>
    <t>Reallocation From Residual</t>
  </si>
  <si>
    <t>Legal And Professional Fees</t>
  </si>
  <si>
    <t>Reallocation From PRB</t>
  </si>
  <si>
    <t>Other Tax Disallowable Item</t>
  </si>
  <si>
    <t>Assets held solely in connection with items outside the ordinary course of business</t>
  </si>
  <si>
    <t>Anguilla</t>
  </si>
  <si>
    <t>Reallocation To Residual</t>
  </si>
  <si>
    <t>Listing Fees</t>
  </si>
  <si>
    <t>P/L On Disposal Of Assets</t>
  </si>
  <si>
    <t>Assets of residual business held solely in compliance with S106 obligations</t>
  </si>
  <si>
    <t>Antigua and Barbuda</t>
  </si>
  <si>
    <t>Management Charges</t>
  </si>
  <si>
    <t>S106 Obligations</t>
  </si>
  <si>
    <t>Revaluation Movements</t>
  </si>
  <si>
    <t>Argentina</t>
  </si>
  <si>
    <t>Armenia</t>
  </si>
  <si>
    <t>Other Expenses</t>
  </si>
  <si>
    <t>Aruba</t>
  </si>
  <si>
    <t>Other Operating Income</t>
  </si>
  <si>
    <t>Australia</t>
  </si>
  <si>
    <t>Other Profit Or Loss</t>
  </si>
  <si>
    <t>Austria</t>
  </si>
  <si>
    <t>Share Based Payments</t>
  </si>
  <si>
    <t>Azerbaijan</t>
  </si>
  <si>
    <t>Staff Costs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</si>
  <si>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</si>
  <si>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</si>
  <si>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</si>
  <si>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</si>
  <si>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</si>
  <si>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</si>
  <si>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</si>
  <si>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</si>
  <si>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</si>
  <si>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</t>
  </si>
  <si>
    <t>Bosnia and Herzegovina</t>
  </si>
  <si>
    <t>Botswana</t>
  </si>
  <si>
    <t>Brazil</t>
  </si>
  <si>
    <t>British Virgin Islands</t>
  </si>
  <si>
    <t>Brunei</t>
  </si>
  <si>
    <t>Bulgaria</t>
  </si>
  <si>
    <t>Burkina Faso</t>
  </si>
  <si>
    <t>Burundi</t>
  </si>
  <si>
    <t>Cambodia</t>
  </si>
  <si>
    <t>Cameroon</t>
  </si>
  <si>
    <t>Canada</t>
  </si>
  <si>
    <t>Cape Verde</t>
  </si>
  <si>
    <t>Cayman Islands</t>
  </si>
  <si>
    <t>Central African Republic</t>
  </si>
  <si>
    <t>Chad</t>
  </si>
  <si>
    <t>Chile</t>
  </si>
  <si>
    <t>Christmas Island</t>
  </si>
  <si>
    <t>Cocos(Keeling) Islands</t>
  </si>
  <si>
    <t>Colombia</t>
  </si>
  <si>
    <t>Comoros</t>
  </si>
  <si>
    <t>Congo</t>
  </si>
  <si>
    <t>Cook Islands</t>
  </si>
  <si>
    <t>Costa Rica</t>
  </si>
  <si>
    <t>Cote d'Ivoire</t>
  </si>
  <si>
    <t>Croatia</t>
  </si>
  <si>
    <t>Cuba</t>
  </si>
  <si>
    <t>Cyprus</t>
  </si>
  <si>
    <t>Czech Republic</t>
  </si>
  <si>
    <t>Denmark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</si>
  <si>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</si>
  <si>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</si>
  <si>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</si>
  <si>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</si>
  <si>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</si>
  <si>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</si>
  <si>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</si>
  <si>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</si>
  <si>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</si>
  <si>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Ethiopia</t>
  </si>
  <si>
    <t>Falkland Islands</t>
  </si>
  <si>
    <t>Faroe Islands</t>
  </si>
  <si>
    <t>Fiji</t>
  </si>
  <si>
    <t>Finland</t>
  </si>
  <si>
    <t>France</t>
  </si>
  <si>
    <t>French Polynesia</t>
  </si>
  <si>
    <t>Gabon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</si>
  <si>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</si>
  <si>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</si>
  <si>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</si>
  <si>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</si>
  <si>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</si>
  <si>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</si>
  <si>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</si>
  <si>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</si>
  <si>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</si>
  <si>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</si>
  <si>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Guinea</t>
  </si>
  <si>
    <t>Guinea - Bissau</t>
  </si>
  <si>
    <t>Guyana</t>
  </si>
  <si>
    <t>Haiti</t>
  </si>
  <si>
    <t>Honduras</t>
  </si>
  <si>
    <t>Hong Kong</t>
  </si>
  <si>
    <t>Hungary</t>
  </si>
  <si>
    <t>Iceland</t>
  </si>
  <si>
    <t>India</t>
  </si>
  <si>
    <t>Indonesia</t>
  </si>
  <si>
    <t>Iran</t>
  </si>
  <si>
    <t>Iraq</t>
  </si>
  <si>
    <t>Ireland</t>
  </si>
  <si>
    <t>Isle of Man</t>
  </si>
  <si>
    <t>Israel</t>
  </si>
  <si>
    <t>Italy</t>
  </si>
  <si>
    <t>Jamaica</t>
  </si>
  <si>
    <t>Japan</t>
  </si>
  <si>
    <t>Jordan</t>
  </si>
  <si>
    <t>Kazakhstan</t>
  </si>
  <si>
    <t>Kenya</t>
  </si>
  <si>
    <t>Kiribati</t>
  </si>
  <si>
    <t>Kosovo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</si>
  <si>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</si>
  <si>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</si>
  <si>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</si>
  <si>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</si>
  <si>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</si>
  <si>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</si>
  <si>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</si>
  <si>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</si>
  <si>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</si>
  <si>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</si>
  <si>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</si>
  <si>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Macau</t>
  </si>
  <si>
    <t>Macedonia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</si>
  <si>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</si>
  <si>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</si>
  <si>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</si>
  <si>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</si>
  <si>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</si>
  <si>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</si>
  <si>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</si>
  <si>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</si>
  <si>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</si>
  <si>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</si>
  <si>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</si>
  <si>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Mexico</t>
  </si>
  <si>
    <t>Micronesia</t>
  </si>
  <si>
    <t>Moldova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</si>
  <si>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</si>
  <si>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</si>
  <si>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</si>
  <si>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</si>
  <si>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</si>
  <si>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</si>
  <si>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</si>
  <si>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</si>
  <si>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</si>
  <si>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</si>
  <si>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</si>
  <si>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Netherlands Antilles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</si>
  <si>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</si>
  <si>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</si>
  <si>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</si>
  <si>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</si>
  <si>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</si>
  <si>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</si>
  <si>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</si>
  <si>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 Korea</t>
  </si>
  <si>
    <t>Northern Mariana Islands</t>
  </si>
  <si>
    <t>Norway</t>
  </si>
  <si>
    <t>Oman</t>
  </si>
  <si>
    <t>Pakistan</t>
  </si>
  <si>
    <t>Palau</t>
  </si>
  <si>
    <t>Palestine</t>
  </si>
  <si>
    <t>Panama</t>
  </si>
  <si>
    <t>Papua New Guinea</t>
  </si>
  <si>
    <t>Paraguay</t>
  </si>
  <si>
    <t>People 's Republic of China</t>
  </si>
  <si>
    <t>Peru</t>
  </si>
  <si>
    <t>Philippines</t>
  </si>
  <si>
    <t>Pitcairn Islands</t>
  </si>
  <si>
    <t>Poland</t>
  </si>
  <si>
    <t>Portugal</t>
  </si>
  <si>
    <t>Puerto Rico</t>
  </si>
  <si>
    <t>Qatar</t>
  </si>
  <si>
    <t>Republic of China</t>
  </si>
  <si>
    <t>Romania</t>
  </si>
  <si>
    <t>Russia</t>
  </si>
  <si>
    <t>Rwanda</t>
  </si>
  <si>
    <t>Saint Barthelemy</t>
  </si>
  <si>
    <t>Saint Helena</t>
  </si>
  <si>
    <t>Saint Kitts and Nevis</t>
  </si>
  <si>
    <t>Saint Lucia</t>
  </si>
  <si>
    <t>Saint Martin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</si>
  <si>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</si>
  <si>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</si>
  <si>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</si>
  <si>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</si>
  <si>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</si>
  <si>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</si>
  <si>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</si>
  <si>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</si>
  <si>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</si>
  <si>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</si>
  <si>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</si>
  <si>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Slovakia</t>
  </si>
  <si>
    <t>Slovenia</t>
  </si>
  <si>
    <t>Solomon Islands</t>
  </si>
  <si>
    <t>Somalia</t>
  </si>
  <si>
    <t>Somaliland</t>
  </si>
  <si>
    <t>South Africa</t>
  </si>
  <si>
    <t>South Korea</t>
  </si>
  <si>
    <t>South Ossetia</t>
  </si>
  <si>
    <t>Spain</t>
  </si>
  <si>
    <t>Sri Lanka</t>
  </si>
  <si>
    <t>Sudan</t>
  </si>
  <si>
    <t>Suriname</t>
  </si>
  <si>
    <t>Svalbard</t>
  </si>
  <si>
    <t>Swaziland</t>
  </si>
  <si>
    <t>Sweden</t>
  </si>
  <si>
    <t>Switzerland</t>
  </si>
  <si>
    <t>Syria</t>
  </si>
  <si>
    <t>Taiwan</t>
  </si>
  <si>
    <t>Tajikistan</t>
  </si>
  <si>
    <t>Tanzania</t>
  </si>
  <si>
    <t>Thailand</t>
  </si>
  <si>
    <t>The Bahamas</t>
  </si>
  <si>
    <t>The Gambia</t>
  </si>
  <si>
    <t>Timor - Leste</t>
  </si>
  <si>
    <t>Togo</t>
  </si>
  <si>
    <t>Tokelau</t>
  </si>
  <si>
    <t>Tonga</t>
  </si>
  <si>
    <t>Transnistria Pridnestrovie</t>
  </si>
  <si>
    <t>Trinidad and Tobago</t>
  </si>
  <si>
    <t>Tristan da Cunha</t>
  </si>
  <si>
    <t>Tunisia</t>
  </si>
  <si>
    <t>Turkey</t>
  </si>
  <si>
    <t>Turkish Republic of Northern Cyprus</t>
  </si>
  <si>
    <t>Turkmenistan</t>
  </si>
  <si>
    <t>Turks and Caicos Islands</t>
  </si>
  <si>
    <t>Tuvalu</t>
  </si>
  <si>
    <t>Uganda</t>
  </si>
  <si>
    <t>Ukraine</t>
  </si>
  <si>
    <t>United Arab Emirates</t>
  </si>
  <si>
    <t>United States</t>
  </si>
  <si>
    <t>Uruguay</t>
  </si>
  <si>
    <t>US Virgin Islands</t>
  </si>
  <si>
    <t>Uzbekistan</t>
  </si>
  <si>
    <t>Vanuatu</t>
  </si>
  <si>
    <t>Vatican City</t>
  </si>
  <si>
    <t>Venezuela</t>
  </si>
  <si>
    <t>Vietnam</t>
  </si>
  <si>
    <t>Wallis and Futuna</t>
  </si>
  <si>
    <t>Western Sahara</t>
  </si>
  <si>
    <t>Yemen</t>
  </si>
  <si>
    <t>Zambia</t>
  </si>
  <si>
    <t>Zimbabwe</t>
  </si>
  <si>
    <t>Amounts Excluded Under S544(4a) Cta 2010</t>
  </si>
  <si>
    <t xml:space="preserve">Other Financing Costs Of Uk PRB </t>
  </si>
  <si>
    <t xml:space="preserve">Other Financing Costs Of Uk Prb </t>
  </si>
  <si>
    <t>Non-Uk Outside Financing Costs</t>
  </si>
  <si>
    <t>Non-uk Outside Financing Costs</t>
  </si>
  <si>
    <t>2.0.1.10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</si>
</sst>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&quot;£&quot;#,##0;[Red]\-&quot;£&quot;#,##0"/>
    <numFmt numFmtId="165" formatCode="_-&quot;£&quot;* #,##0_-;\-&quot;£&quot;* #,##0_-;_-&quot;£&quot;* &quot;-&quot;_-;_-@_-"/>
    <numFmt numFmtId="166" formatCode="_-&quot;£&quot;* #,##0.00_-;\-&quot;£&quot;* #,##0.00_-;_-&quot;£&quot;* &quot;-&quot;??_-;_-@_-"/>
    <numFmt numFmtId="167" formatCode="dd/mm/yyyy;@"/>
    <numFmt numFmtId="168" formatCode="_-&quot;£&quot;* #,##0.00_-;[Red]\-&quot;£&quot;* #,##0.00_-;_-&quot;£&quot;* &quot;-&quot;??_-;_-@_-"/>
    <numFmt numFmtId="169" formatCode="0000"/>
    <numFmt numFmtId="170" formatCode="_-&quot;£&quot;* #,##0_-;[Red]\-&quot;£&quot;* #,##0_-;_-&quot;£&quot;* &quot;-&quot;??_-;_-@_-"/>
  </numFmts>
  <fonts count="28" x14ac:knownFonts="1"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</font>
    <font>
      <b/>
      <i/>
      <sz val="11"/>
      <color theme="1"/>
      <name val="Calibri"/>
      <family val="2"/>
    </font>
    <font>
      <sz val="12"/>
      <color theme="1"/>
      <name val="Calibri"/>
      <family val="2"/>
    </font>
    <font>
      <sz val="11"/>
      <color rgb="FFFF0000"/>
      <name val="Calibri"/>
      <family val="2"/>
    </font>
    <font>
      <b/>
      <sz val="11"/>
      <name val="Calibri"/>
      <family val="2"/>
    </font>
    <font>
      <i/>
      <sz val="11"/>
      <color rgb="FFFF0000"/>
      <name val="Calibri"/>
      <family val="2"/>
    </font>
    <font>
      <b/>
      <i/>
      <sz val="11"/>
      <color rgb="FFFF0000"/>
      <name val="Calibri"/>
      <family val="2"/>
    </font>
    <font>
      <b/>
      <sz val="11"/>
      <color theme="2"/>
      <name val="Calibri"/>
      <family val="2"/>
    </font>
    <font>
      <b/>
      <sz val="36"/>
      <color rgb="FF0085E5"/>
      <name val="Arial"/>
      <family val="2"/>
    </font>
    <font>
      <b/>
      <sz val="16"/>
      <color theme="4"/>
      <name val="Calibri"/>
      <family val="2"/>
    </font>
    <font>
      <sz val="11"/>
      <color theme="2"/>
      <name val="Calibri"/>
      <family val="2"/>
    </font>
    <font>
      <b/>
      <sz val="14"/>
      <color theme="0"/>
      <name val="Calibri"/>
      <family val="2"/>
    </font>
    <font>
      <sz val="11"/>
      <color theme="0"/>
      <name val="Calibri"/>
      <family val="2"/>
    </font>
    <font>
      <b/>
      <sz val="11"/>
      <color rgb="FFFF0000"/>
      <name val="Calibri"/>
      <family val="2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</font>
    <font>
      <b/>
      <sz val="20"/>
      <color theme="1"/>
      <name val="Calibri"/>
      <family val="2"/>
    </font>
    <font>
      <u/>
      <sz val="11"/>
      <color theme="4" tint="-0.249977111117893"/>
      <name val="Calibri"/>
      <family val="2"/>
    </font>
    <font>
      <u/>
      <sz val="11"/>
      <color theme="8" tint="0.39997558519241921"/>
      <name val="Calibri"/>
      <family val="2"/>
    </font>
    <font>
      <sz val="11"/>
      <color theme="4" tint="-0.249977111117893"/>
      <name val="Calibri"/>
      <family val="2"/>
    </font>
    <font>
      <b/>
      <sz val="18"/>
      <color theme="1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gray0625">
        <bgColor theme="6" tint="0.79995117038483843"/>
      </patternFill>
    </fill>
    <fill>
      <patternFill patternType="solid">
        <fgColor theme="2" tint="-0.249977111117893"/>
        <bgColor indexed="64"/>
      </patternFill>
    </fill>
    <fill>
      <patternFill patternType="gray0625">
        <bgColor theme="9" tint="0.79998168889431442"/>
      </patternFill>
    </fill>
    <fill>
      <patternFill patternType="gray0625">
        <bgColor theme="4" tint="0.79998168889431442"/>
      </patternFill>
    </fill>
    <fill>
      <patternFill patternType="gray0625">
        <bgColor theme="0" tint="-4.9989318521683403E-2"/>
      </patternFill>
    </fill>
    <fill>
      <patternFill patternType="solid">
        <fgColor theme="9" tint="0.59999389629810485"/>
        <bgColor indexed="64"/>
      </patternFill>
    </fill>
    <fill>
      <patternFill patternType="gray0625">
        <bgColor theme="2"/>
      </patternFill>
    </fill>
    <fill>
      <patternFill patternType="solid">
        <fgColor theme="2"/>
        <bgColor theme="2"/>
      </patternFill>
    </fill>
    <fill>
      <patternFill patternType="gray0625">
        <fgColor theme="2"/>
        <bgColor theme="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tted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 style="thin">
        <color indexed="64"/>
      </top>
      <bottom/>
      <diagonal/>
    </border>
    <border>
      <left/>
      <right style="dotted">
        <color indexed="64"/>
      </right>
      <top/>
      <bottom/>
      <diagonal/>
    </border>
    <border>
      <left/>
      <right/>
      <top style="dotted">
        <color indexed="64"/>
      </top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/>
      <right style="dotted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tted">
        <color indexed="64"/>
      </right>
      <top style="double">
        <color indexed="64"/>
      </top>
      <bottom style="thin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/>
      <top/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uble">
        <color indexed="64"/>
      </top>
      <bottom style="dotted">
        <color indexed="64"/>
      </bottom>
      <diagonal/>
    </border>
    <border>
      <left/>
      <right/>
      <top style="double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dotted">
        <color indexed="64"/>
      </right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tted">
        <color indexed="64"/>
      </left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/>
      <diagonal/>
    </border>
    <border>
      <left/>
      <right style="dotted">
        <color indexed="64"/>
      </right>
      <top style="double">
        <color indexed="64"/>
      </top>
      <bottom/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uble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ashDot">
        <color indexed="64"/>
      </bottom>
      <diagonal/>
    </border>
    <border>
      <left/>
      <right style="hair">
        <color indexed="64"/>
      </right>
      <top style="double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tted">
        <color indexed="64"/>
      </left>
      <right style="hair">
        <color indexed="64"/>
      </right>
      <top/>
      <bottom style="dotted">
        <color indexed="64"/>
      </bottom>
      <diagonal/>
    </border>
    <border>
      <left style="dotted">
        <color indexed="64"/>
      </left>
      <right style="hair">
        <color indexed="64"/>
      </right>
      <top style="dotted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1" fillId="0" borderId="0"/>
  </cellStyleXfs>
  <cellXfs count="440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0" fillId="4" borderId="0" xfId="0" applyFill="1"/>
    <xf numFmtId="0" fontId="0" fillId="3" borderId="5" xfId="0" applyFill="1" applyBorder="1"/>
    <xf numFmtId="9" fontId="0" fillId="0" borderId="0" xfId="0" applyNumberFormat="1" applyAlignment="1">
      <alignment horizontal="right"/>
    </xf>
    <xf numFmtId="0" fontId="0" fillId="0" borderId="5" xfId="0" applyBorder="1"/>
    <xf numFmtId="0" fontId="6" fillId="2" borderId="0" xfId="0" applyFont="1" applyFill="1" applyAlignment="1">
      <alignment horizontal="left" indent="1"/>
    </xf>
    <xf numFmtId="0" fontId="6" fillId="2" borderId="9" xfId="0" applyFont="1" applyFill="1" applyBorder="1" applyAlignment="1">
      <alignment horizontal="left" indent="1"/>
    </xf>
    <xf numFmtId="0" fontId="0" fillId="2" borderId="10" xfId="0" applyFill="1" applyBorder="1"/>
    <xf numFmtId="0" fontId="0" fillId="2" borderId="12" xfId="0" applyFill="1" applyBorder="1"/>
    <xf numFmtId="0" fontId="7" fillId="2" borderId="0" xfId="0" applyFont="1" applyFill="1" applyAlignment="1">
      <alignment horizontal="left"/>
    </xf>
    <xf numFmtId="0" fontId="0" fillId="2" borderId="0" xfId="0" applyFill="1"/>
    <xf numFmtId="0" fontId="2" fillId="6" borderId="7" xfId="0" applyFont="1" applyFill="1" applyBorder="1"/>
    <xf numFmtId="0" fontId="0" fillId="6" borderId="6" xfId="0" applyFill="1" applyBorder="1"/>
    <xf numFmtId="0" fontId="0" fillId="6" borderId="16" xfId="0" applyFill="1" applyBorder="1"/>
    <xf numFmtId="0" fontId="2" fillId="7" borderId="17" xfId="0" applyFont="1" applyFill="1" applyBorder="1" applyAlignment="1">
      <alignment horizontal="center"/>
    </xf>
    <xf numFmtId="0" fontId="2" fillId="7" borderId="4" xfId="0" applyFont="1" applyFill="1" applyBorder="1" applyAlignment="1">
      <alignment horizontal="center"/>
    </xf>
    <xf numFmtId="0" fontId="2" fillId="9" borderId="17" xfId="0" applyFont="1" applyFill="1" applyBorder="1" applyAlignment="1">
      <alignment horizontal="center"/>
    </xf>
    <xf numFmtId="0" fontId="2" fillId="9" borderId="4" xfId="0" applyFont="1" applyFill="1" applyBorder="1" applyAlignment="1">
      <alignment horizontal="center"/>
    </xf>
    <xf numFmtId="0" fontId="2" fillId="8" borderId="18" xfId="0" applyFont="1" applyFill="1" applyBorder="1" applyAlignment="1">
      <alignment horizontal="center"/>
    </xf>
    <xf numFmtId="9" fontId="2" fillId="8" borderId="19" xfId="0" applyNumberFormat="1" applyFont="1" applyFill="1" applyBorder="1" applyAlignment="1">
      <alignment horizontal="center"/>
    </xf>
    <xf numFmtId="164" fontId="0" fillId="7" borderId="22" xfId="0" applyNumberFormat="1" applyFill="1" applyBorder="1"/>
    <xf numFmtId="164" fontId="2" fillId="6" borderId="20" xfId="0" applyNumberFormat="1" applyFont="1" applyFill="1" applyBorder="1"/>
    <xf numFmtId="0" fontId="0" fillId="2" borderId="11" xfId="0" applyFill="1" applyBorder="1"/>
    <xf numFmtId="0" fontId="0" fillId="2" borderId="8" xfId="0" applyFill="1" applyBorder="1"/>
    <xf numFmtId="0" fontId="0" fillId="4" borderId="24" xfId="0" applyFill="1" applyBorder="1"/>
    <xf numFmtId="164" fontId="0" fillId="4" borderId="24" xfId="0" applyNumberFormat="1" applyFill="1" applyBorder="1"/>
    <xf numFmtId="0" fontId="0" fillId="4" borderId="5" xfId="0" applyFill="1" applyBorder="1"/>
    <xf numFmtId="164" fontId="0" fillId="4" borderId="5" xfId="0" applyNumberFormat="1" applyFill="1" applyBorder="1"/>
    <xf numFmtId="0" fontId="2" fillId="6" borderId="6" xfId="0" applyFont="1" applyFill="1" applyBorder="1"/>
    <xf numFmtId="0" fontId="2" fillId="6" borderId="16" xfId="0" applyFont="1" applyFill="1" applyBorder="1"/>
    <xf numFmtId="0" fontId="7" fillId="10" borderId="0" xfId="0" applyFont="1" applyFill="1" applyAlignment="1">
      <alignment horizontal="left"/>
    </xf>
    <xf numFmtId="0" fontId="0" fillId="10" borderId="0" xfId="0" applyFill="1"/>
    <xf numFmtId="0" fontId="0" fillId="10" borderId="12" xfId="0" applyFill="1" applyBorder="1"/>
    <xf numFmtId="0" fontId="6" fillId="10" borderId="0" xfId="0" applyFont="1" applyFill="1" applyAlignment="1">
      <alignment horizontal="left" indent="1"/>
    </xf>
    <xf numFmtId="0" fontId="6" fillId="10" borderId="9" xfId="0" applyFont="1" applyFill="1" applyBorder="1" applyAlignment="1">
      <alignment horizontal="left" indent="1"/>
    </xf>
    <xf numFmtId="0" fontId="0" fillId="10" borderId="10" xfId="0" applyFill="1" applyBorder="1"/>
    <xf numFmtId="0" fontId="0" fillId="10" borderId="25" xfId="0" applyFill="1" applyBorder="1"/>
    <xf numFmtId="0" fontId="0" fillId="11" borderId="0" xfId="0" applyFill="1"/>
    <xf numFmtId="0" fontId="0" fillId="13" borderId="12" xfId="0" applyFill="1" applyBorder="1"/>
    <xf numFmtId="0" fontId="0" fillId="13" borderId="10" xfId="0" applyFill="1" applyBorder="1"/>
    <xf numFmtId="164" fontId="0" fillId="7" borderId="36" xfId="0" applyNumberFormat="1" applyFill="1" applyBorder="1"/>
    <xf numFmtId="164" fontId="7" fillId="7" borderId="10" xfId="0" applyNumberFormat="1" applyFont="1" applyFill="1" applyBorder="1"/>
    <xf numFmtId="0" fontId="7" fillId="13" borderId="0" xfId="0" applyFont="1" applyFill="1" applyAlignment="1">
      <alignment horizontal="left"/>
    </xf>
    <xf numFmtId="0" fontId="0" fillId="13" borderId="0" xfId="0" applyFill="1"/>
    <xf numFmtId="164" fontId="0" fillId="7" borderId="35" xfId="0" applyNumberFormat="1" applyFill="1" applyBorder="1"/>
    <xf numFmtId="164" fontId="0" fillId="7" borderId="29" xfId="0" applyNumberFormat="1" applyFill="1" applyBorder="1"/>
    <xf numFmtId="164" fontId="2" fillId="7" borderId="22" xfId="0" applyNumberFormat="1" applyFont="1" applyFill="1" applyBorder="1"/>
    <xf numFmtId="0" fontId="3" fillId="0" borderId="0" xfId="0" applyFont="1" applyAlignment="1">
      <alignment horizontal="center"/>
    </xf>
    <xf numFmtId="0" fontId="7" fillId="13" borderId="30" xfId="0" applyFont="1" applyFill="1" applyBorder="1" applyAlignment="1">
      <alignment horizontal="left"/>
    </xf>
    <xf numFmtId="0" fontId="6" fillId="13" borderId="0" xfId="0" applyFont="1" applyFill="1" applyAlignment="1">
      <alignment horizontal="left" indent="1"/>
    </xf>
    <xf numFmtId="0" fontId="6" fillId="13" borderId="37" xfId="0" applyFont="1" applyFill="1" applyBorder="1" applyAlignment="1">
      <alignment horizontal="left" indent="1"/>
    </xf>
    <xf numFmtId="0" fontId="6" fillId="13" borderId="9" xfId="0" applyFont="1" applyFill="1" applyBorder="1" applyAlignment="1">
      <alignment horizontal="left" indent="1"/>
    </xf>
    <xf numFmtId="0" fontId="2" fillId="13" borderId="0" xfId="0" applyFont="1" applyFill="1" applyAlignment="1">
      <alignment horizontal="left"/>
    </xf>
    <xf numFmtId="0" fontId="7" fillId="13" borderId="30" xfId="0" applyFont="1" applyFill="1" applyBorder="1" applyAlignment="1" applyProtection="1">
      <alignment horizontal="left"/>
      <protection locked="0"/>
    </xf>
    <xf numFmtId="0" fontId="6" fillId="13" borderId="0" xfId="0" applyFont="1" applyFill="1" applyAlignment="1" applyProtection="1">
      <alignment horizontal="left" indent="1"/>
      <protection locked="0"/>
    </xf>
    <xf numFmtId="0" fontId="6" fillId="13" borderId="12" xfId="0" applyFont="1" applyFill="1" applyBorder="1" applyAlignment="1" applyProtection="1">
      <alignment horizontal="left" indent="1"/>
      <protection locked="0"/>
    </xf>
    <xf numFmtId="0" fontId="2" fillId="15" borderId="7" xfId="0" applyFont="1" applyFill="1" applyBorder="1"/>
    <xf numFmtId="0" fontId="0" fillId="15" borderId="6" xfId="0" applyFill="1" applyBorder="1"/>
    <xf numFmtId="0" fontId="0" fillId="15" borderId="16" xfId="0" applyFill="1" applyBorder="1"/>
    <xf numFmtId="164" fontId="2" fillId="15" borderId="20" xfId="0" applyNumberFormat="1" applyFont="1" applyFill="1" applyBorder="1"/>
    <xf numFmtId="0" fontId="2" fillId="15" borderId="6" xfId="0" applyFont="1" applyFill="1" applyBorder="1"/>
    <xf numFmtId="0" fontId="2" fillId="15" borderId="16" xfId="0" applyFont="1" applyFill="1" applyBorder="1"/>
    <xf numFmtId="0" fontId="0" fillId="10" borderId="11" xfId="0" applyFill="1" applyBorder="1"/>
    <xf numFmtId="0" fontId="0" fillId="10" borderId="8" xfId="0" applyFill="1" applyBorder="1"/>
    <xf numFmtId="0" fontId="2" fillId="9" borderId="44" xfId="0" applyFont="1" applyFill="1" applyBorder="1" applyAlignment="1">
      <alignment horizontal="center"/>
    </xf>
    <xf numFmtId="0" fontId="2" fillId="7" borderId="44" xfId="0" applyFont="1" applyFill="1" applyBorder="1" applyAlignment="1">
      <alignment horizontal="center"/>
    </xf>
    <xf numFmtId="9" fontId="2" fillId="8" borderId="45" xfId="0" applyNumberFormat="1" applyFont="1" applyFill="1" applyBorder="1" applyAlignment="1">
      <alignment horizontal="center"/>
    </xf>
    <xf numFmtId="0" fontId="7" fillId="13" borderId="0" xfId="0" applyFont="1" applyFill="1" applyAlignment="1">
      <alignment horizontal="left" indent="1"/>
    </xf>
    <xf numFmtId="0" fontId="2" fillId="13" borderId="12" xfId="0" applyFont="1" applyFill="1" applyBorder="1"/>
    <xf numFmtId="0" fontId="7" fillId="13" borderId="9" xfId="0" applyFont="1" applyFill="1" applyBorder="1" applyAlignment="1">
      <alignment horizontal="left" indent="1"/>
    </xf>
    <xf numFmtId="0" fontId="2" fillId="13" borderId="10" xfId="0" applyFont="1" applyFill="1" applyBorder="1"/>
    <xf numFmtId="0" fontId="2" fillId="14" borderId="7" xfId="0" applyFont="1" applyFill="1" applyBorder="1"/>
    <xf numFmtId="0" fontId="0" fillId="14" borderId="6" xfId="0" applyFill="1" applyBorder="1"/>
    <xf numFmtId="0" fontId="0" fillId="14" borderId="16" xfId="0" applyFill="1" applyBorder="1"/>
    <xf numFmtId="0" fontId="0" fillId="13" borderId="37" xfId="0" applyFill="1" applyBorder="1" applyAlignment="1" applyProtection="1">
      <alignment horizontal="left"/>
      <protection locked="0"/>
    </xf>
    <xf numFmtId="0" fontId="6" fillId="13" borderId="9" xfId="0" applyFont="1" applyFill="1" applyBorder="1" applyAlignment="1" applyProtection="1">
      <alignment horizontal="left" indent="1"/>
      <protection locked="0"/>
    </xf>
    <xf numFmtId="0" fontId="6" fillId="13" borderId="10" xfId="0" applyFont="1" applyFill="1" applyBorder="1" applyAlignment="1" applyProtection="1">
      <alignment horizontal="left" indent="1"/>
      <protection locked="0"/>
    </xf>
    <xf numFmtId="0" fontId="0" fillId="8" borderId="0" xfId="0" applyFill="1"/>
    <xf numFmtId="0" fontId="0" fillId="0" borderId="0" xfId="0" applyAlignment="1">
      <alignment vertical="center"/>
    </xf>
    <xf numFmtId="0" fontId="0" fillId="11" borderId="3" xfId="0" applyFill="1" applyBorder="1"/>
    <xf numFmtId="0" fontId="2" fillId="0" borderId="0" xfId="0" applyFont="1" applyAlignment="1">
      <alignment horizontal="center"/>
    </xf>
    <xf numFmtId="0" fontId="0" fillId="4" borderId="45" xfId="0" applyFill="1" applyBorder="1"/>
    <xf numFmtId="0" fontId="0" fillId="4" borderId="19" xfId="0" applyFill="1" applyBorder="1"/>
    <xf numFmtId="0" fontId="0" fillId="4" borderId="51" xfId="0" applyFill="1" applyBorder="1"/>
    <xf numFmtId="0" fontId="0" fillId="4" borderId="3" xfId="0" applyFill="1" applyBorder="1"/>
    <xf numFmtId="0" fontId="2" fillId="4" borderId="3" xfId="0" applyFont="1" applyFill="1" applyBorder="1" applyAlignment="1">
      <alignment horizontal="center"/>
    </xf>
    <xf numFmtId="0" fontId="2" fillId="4" borderId="0" xfId="0" applyFont="1" applyFill="1" applyAlignment="1">
      <alignment horizontal="left"/>
    </xf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2" fillId="4" borderId="47" xfId="0" applyFont="1" applyFill="1" applyBorder="1" applyAlignment="1">
      <alignment horizontal="center"/>
    </xf>
    <xf numFmtId="0" fontId="2" fillId="4" borderId="49" xfId="0" applyFont="1" applyFill="1" applyBorder="1" applyAlignment="1">
      <alignment horizontal="center"/>
    </xf>
    <xf numFmtId="0" fontId="2" fillId="4" borderId="53" xfId="0" applyFont="1" applyFill="1" applyBorder="1" applyAlignment="1">
      <alignment horizontal="center"/>
    </xf>
    <xf numFmtId="0" fontId="2" fillId="4" borderId="5" xfId="0" applyFont="1" applyFill="1" applyBorder="1"/>
    <xf numFmtId="0" fontId="2" fillId="11" borderId="17" xfId="0" applyFont="1" applyFill="1" applyBorder="1"/>
    <xf numFmtId="0" fontId="0" fillId="4" borderId="18" xfId="0" applyFill="1" applyBorder="1" applyAlignment="1">
      <alignment vertical="center"/>
    </xf>
    <xf numFmtId="0" fontId="5" fillId="4" borderId="3" xfId="0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0" fontId="3" fillId="4" borderId="3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vertical="center"/>
    </xf>
    <xf numFmtId="0" fontId="8" fillId="4" borderId="0" xfId="0" applyFont="1" applyFill="1" applyAlignment="1">
      <alignment horizontal="left" indent="2"/>
    </xf>
    <xf numFmtId="0" fontId="2" fillId="4" borderId="0" xfId="0" applyFont="1" applyFill="1" applyAlignment="1">
      <alignment horizontal="left" indent="1"/>
    </xf>
    <xf numFmtId="0" fontId="0" fillId="4" borderId="0" xfId="0" applyFill="1" applyAlignment="1">
      <alignment horizontal="left" indent="2"/>
    </xf>
    <xf numFmtId="167" fontId="0" fillId="4" borderId="0" xfId="0" applyNumberFormat="1" applyFill="1"/>
    <xf numFmtId="167" fontId="0" fillId="4" borderId="0" xfId="0" applyNumberFormat="1" applyFill="1" applyAlignment="1">
      <alignment horizontal="center"/>
    </xf>
    <xf numFmtId="9" fontId="2" fillId="4" borderId="3" xfId="0" applyNumberFormat="1" applyFont="1" applyFill="1" applyBorder="1" applyAlignment="1">
      <alignment horizontal="center"/>
    </xf>
    <xf numFmtId="0" fontId="2" fillId="4" borderId="0" xfId="0" applyFont="1" applyFill="1" applyAlignment="1">
      <alignment horizontal="center" textRotation="180"/>
    </xf>
    <xf numFmtId="0" fontId="2" fillId="4" borderId="49" xfId="0" applyFont="1" applyFill="1" applyBorder="1" applyAlignment="1">
      <alignment horizontal="center" textRotation="180"/>
    </xf>
    <xf numFmtId="0" fontId="3" fillId="4" borderId="0" xfId="0" applyFont="1" applyFill="1" applyAlignment="1">
      <alignment horizontal="center"/>
    </xf>
    <xf numFmtId="0" fontId="0" fillId="4" borderId="49" xfId="0" applyFill="1" applyBorder="1"/>
    <xf numFmtId="0" fontId="3" fillId="4" borderId="45" xfId="0" applyFont="1" applyFill="1" applyBorder="1" applyAlignment="1">
      <alignment horizontal="center"/>
    </xf>
    <xf numFmtId="0" fontId="3" fillId="4" borderId="0" xfId="0" applyFont="1" applyFill="1" applyAlignment="1">
      <alignment horizontal="left" indent="1"/>
    </xf>
    <xf numFmtId="0" fontId="3" fillId="4" borderId="5" xfId="0" applyFont="1" applyFill="1" applyBorder="1" applyAlignment="1">
      <alignment horizontal="center"/>
    </xf>
    <xf numFmtId="0" fontId="0" fillId="4" borderId="53" xfId="0" applyFill="1" applyBorder="1"/>
    <xf numFmtId="0" fontId="0" fillId="4" borderId="0" xfId="0" applyFill="1" applyAlignment="1" applyProtection="1">
      <alignment horizontal="left"/>
      <protection locked="0"/>
    </xf>
    <xf numFmtId="0" fontId="6" fillId="4" borderId="0" xfId="0" applyFont="1" applyFill="1" applyAlignment="1" applyProtection="1">
      <alignment horizontal="left" indent="1"/>
      <protection locked="0"/>
    </xf>
    <xf numFmtId="9" fontId="0" fillId="4" borderId="0" xfId="0" applyNumberFormat="1" applyFill="1" applyAlignment="1">
      <alignment horizontal="right"/>
    </xf>
    <xf numFmtId="0" fontId="0" fillId="4" borderId="0" xfId="0" applyFill="1" applyAlignment="1">
      <alignment horizontal="center"/>
    </xf>
    <xf numFmtId="9" fontId="2" fillId="4" borderId="0" xfId="0" applyNumberFormat="1" applyFont="1" applyFill="1" applyAlignment="1">
      <alignment horizontal="right"/>
    </xf>
    <xf numFmtId="9" fontId="0" fillId="4" borderId="5" xfId="0" applyNumberFormat="1" applyFill="1" applyBorder="1" applyAlignment="1">
      <alignment horizontal="right"/>
    </xf>
    <xf numFmtId="0" fontId="0" fillId="4" borderId="5" xfId="0" applyFill="1" applyBorder="1" applyAlignment="1">
      <alignment horizontal="center"/>
    </xf>
    <xf numFmtId="0" fontId="0" fillId="4" borderId="2" xfId="0" applyFill="1" applyBorder="1"/>
    <xf numFmtId="0" fontId="2" fillId="4" borderId="2" xfId="0" applyFont="1" applyFill="1" applyBorder="1" applyAlignment="1">
      <alignment horizontal="center"/>
    </xf>
    <xf numFmtId="9" fontId="2" fillId="4" borderId="2" xfId="0" applyNumberFormat="1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 textRotation="180"/>
    </xf>
    <xf numFmtId="164" fontId="0" fillId="4" borderId="0" xfId="0" applyNumberFormat="1" applyFill="1"/>
    <xf numFmtId="0" fontId="2" fillId="10" borderId="1" xfId="0" applyFont="1" applyFill="1" applyBorder="1"/>
    <xf numFmtId="0" fontId="2" fillId="2" borderId="1" xfId="0" applyFont="1" applyFill="1" applyBorder="1"/>
    <xf numFmtId="0" fontId="2" fillId="11" borderId="30" xfId="0" applyFont="1" applyFill="1" applyBorder="1"/>
    <xf numFmtId="0" fontId="0" fillId="11" borderId="12" xfId="0" applyFill="1" applyBorder="1"/>
    <xf numFmtId="0" fontId="0" fillId="4" borderId="56" xfId="0" applyFill="1" applyBorder="1"/>
    <xf numFmtId="0" fontId="2" fillId="12" borderId="1" xfId="0" applyFont="1" applyFill="1" applyBorder="1" applyAlignment="1">
      <alignment horizontal="center"/>
    </xf>
    <xf numFmtId="0" fontId="2" fillId="13" borderId="48" xfId="0" applyFont="1" applyFill="1" applyBorder="1"/>
    <xf numFmtId="0" fontId="0" fillId="13" borderId="39" xfId="0" applyFill="1" applyBorder="1"/>
    <xf numFmtId="0" fontId="0" fillId="13" borderId="46" xfId="0" applyFill="1" applyBorder="1"/>
    <xf numFmtId="0" fontId="2" fillId="12" borderId="7" xfId="0" applyFont="1" applyFill="1" applyBorder="1"/>
    <xf numFmtId="0" fontId="0" fillId="12" borderId="6" xfId="0" applyFill="1" applyBorder="1"/>
    <xf numFmtId="0" fontId="0" fillId="12" borderId="16" xfId="0" applyFill="1" applyBorder="1"/>
    <xf numFmtId="164" fontId="2" fillId="4" borderId="0" xfId="0" applyNumberFormat="1" applyFont="1" applyFill="1"/>
    <xf numFmtId="0" fontId="0" fillId="4" borderId="52" xfId="0" applyFill="1" applyBorder="1"/>
    <xf numFmtId="0" fontId="2" fillId="4" borderId="52" xfId="0" applyFont="1" applyFill="1" applyBorder="1"/>
    <xf numFmtId="0" fontId="0" fillId="4" borderId="54" xfId="0" applyFill="1" applyBorder="1"/>
    <xf numFmtId="0" fontId="0" fillId="4" borderId="47" xfId="0" applyFill="1" applyBorder="1" applyAlignment="1">
      <alignment horizontal="center" vertical="center" textRotation="180" shrinkToFit="1"/>
    </xf>
    <xf numFmtId="0" fontId="2" fillId="4" borderId="49" xfId="0" applyFont="1" applyFill="1" applyBorder="1"/>
    <xf numFmtId="0" fontId="0" fillId="8" borderId="30" xfId="0" applyFill="1" applyBorder="1"/>
    <xf numFmtId="164" fontId="7" fillId="8" borderId="9" xfId="0" applyNumberFormat="1" applyFont="1" applyFill="1" applyBorder="1"/>
    <xf numFmtId="0" fontId="0" fillId="8" borderId="14" xfId="0" applyFill="1" applyBorder="1"/>
    <xf numFmtId="0" fontId="0" fillId="6" borderId="7" xfId="0" applyFill="1" applyBorder="1"/>
    <xf numFmtId="0" fontId="2" fillId="13" borderId="30" xfId="0" applyFont="1" applyFill="1" applyBorder="1" applyAlignment="1">
      <alignment horizontal="left"/>
    </xf>
    <xf numFmtId="0" fontId="6" fillId="13" borderId="12" xfId="0" applyFont="1" applyFill="1" applyBorder="1" applyAlignment="1">
      <alignment horizontal="left" indent="1"/>
    </xf>
    <xf numFmtId="0" fontId="0" fillId="13" borderId="37" xfId="0" applyFill="1" applyBorder="1" applyAlignment="1">
      <alignment horizontal="left"/>
    </xf>
    <xf numFmtId="0" fontId="6" fillId="13" borderId="10" xfId="0" applyFont="1" applyFill="1" applyBorder="1" applyAlignment="1">
      <alignment horizontal="left" indent="1"/>
    </xf>
    <xf numFmtId="0" fontId="4" fillId="4" borderId="0" xfId="0" applyFont="1" applyFill="1" applyAlignment="1">
      <alignment vertical="center"/>
    </xf>
    <xf numFmtId="0" fontId="2" fillId="12" borderId="3" xfId="0" applyFont="1" applyFill="1" applyBorder="1"/>
    <xf numFmtId="9" fontId="2" fillId="12" borderId="3" xfId="0" applyNumberFormat="1" applyFont="1" applyFill="1" applyBorder="1" applyAlignment="1">
      <alignment horizontal="left"/>
    </xf>
    <xf numFmtId="0" fontId="2" fillId="12" borderId="3" xfId="0" applyFont="1" applyFill="1" applyBorder="1" applyAlignment="1">
      <alignment horizontal="center"/>
    </xf>
    <xf numFmtId="0" fontId="0" fillId="4" borderId="22" xfId="0" applyFill="1" applyBorder="1"/>
    <xf numFmtId="0" fontId="10" fillId="4" borderId="5" xfId="0" applyFont="1" applyFill="1" applyBorder="1"/>
    <xf numFmtId="165" fontId="0" fillId="4" borderId="5" xfId="0" applyNumberFormat="1" applyFill="1" applyBorder="1"/>
    <xf numFmtId="165" fontId="2" fillId="4" borderId="5" xfId="0" applyNumberFormat="1" applyFont="1" applyFill="1" applyBorder="1" applyAlignment="1">
      <alignment horizontal="center"/>
    </xf>
    <xf numFmtId="165" fontId="2" fillId="4" borderId="5" xfId="0" applyNumberFormat="1" applyFont="1" applyFill="1" applyBorder="1"/>
    <xf numFmtId="164" fontId="2" fillId="4" borderId="0" xfId="0" applyNumberFormat="1" applyFont="1" applyFill="1" applyAlignment="1">
      <alignment horizontal="center"/>
    </xf>
    <xf numFmtId="10" fontId="2" fillId="14" borderId="40" xfId="0" applyNumberFormat="1" applyFont="1" applyFill="1" applyBorder="1"/>
    <xf numFmtId="164" fontId="2" fillId="14" borderId="40" xfId="0" applyNumberFormat="1" applyFont="1" applyFill="1" applyBorder="1" applyAlignment="1">
      <alignment horizontal="center"/>
    </xf>
    <xf numFmtId="0" fontId="2" fillId="14" borderId="40" xfId="0" applyFont="1" applyFill="1" applyBorder="1" applyAlignment="1">
      <alignment horizontal="center"/>
    </xf>
    <xf numFmtId="168" fontId="2" fillId="4" borderId="0" xfId="0" applyNumberFormat="1" applyFont="1" applyFill="1"/>
    <xf numFmtId="4" fontId="2" fillId="14" borderId="40" xfId="0" applyNumberFormat="1" applyFont="1" applyFill="1" applyBorder="1"/>
    <xf numFmtId="0" fontId="0" fillId="8" borderId="37" xfId="0" applyFill="1" applyBorder="1"/>
    <xf numFmtId="164" fontId="2" fillId="7" borderId="38" xfId="0" applyNumberFormat="1" applyFont="1" applyFill="1" applyBorder="1"/>
    <xf numFmtId="0" fontId="2" fillId="8" borderId="48" xfId="0" applyFont="1" applyFill="1" applyBorder="1"/>
    <xf numFmtId="0" fontId="0" fillId="0" borderId="0" xfId="0" applyAlignment="1">
      <alignment horizontal="left"/>
    </xf>
    <xf numFmtId="0" fontId="14" fillId="0" borderId="0" xfId="0" applyFont="1"/>
    <xf numFmtId="0" fontId="15" fillId="0" borderId="0" xfId="0" applyFont="1"/>
    <xf numFmtId="10" fontId="0" fillId="5" borderId="1" xfId="0" applyNumberFormat="1" applyFill="1" applyBorder="1"/>
    <xf numFmtId="4" fontId="0" fillId="5" borderId="1" xfId="0" applyNumberFormat="1" applyFill="1" applyBorder="1"/>
    <xf numFmtId="0" fontId="4" fillId="0" borderId="0" xfId="0" applyFont="1"/>
    <xf numFmtId="14" fontId="2" fillId="0" borderId="0" xfId="0" applyNumberFormat="1" applyFont="1"/>
    <xf numFmtId="0" fontId="0" fillId="4" borderId="0" xfId="0" applyFill="1" applyAlignment="1">
      <alignment vertical="center"/>
    </xf>
    <xf numFmtId="0" fontId="16" fillId="0" borderId="0" xfId="0" applyFont="1"/>
    <xf numFmtId="0" fontId="0" fillId="0" borderId="40" xfId="0" applyBorder="1" applyAlignment="1" applyProtection="1">
      <alignment wrapText="1"/>
      <protection locked="0"/>
    </xf>
    <xf numFmtId="0" fontId="16" fillId="4" borderId="18" xfId="0" applyFont="1" applyFill="1" applyBorder="1" applyAlignment="1">
      <alignment vertical="center"/>
    </xf>
    <xf numFmtId="0" fontId="16" fillId="4" borderId="45" xfId="0" applyFont="1" applyFill="1" applyBorder="1"/>
    <xf numFmtId="0" fontId="16" fillId="4" borderId="19" xfId="0" applyFont="1" applyFill="1" applyBorder="1"/>
    <xf numFmtId="0" fontId="16" fillId="4" borderId="18" xfId="0" applyFont="1" applyFill="1" applyBorder="1"/>
    <xf numFmtId="0" fontId="16" fillId="4" borderId="51" xfId="0" applyFont="1" applyFill="1" applyBorder="1"/>
    <xf numFmtId="0" fontId="13" fillId="4" borderId="51" xfId="0" applyFont="1" applyFill="1" applyBorder="1"/>
    <xf numFmtId="0" fontId="16" fillId="4" borderId="17" xfId="0" applyFont="1" applyFill="1" applyBorder="1"/>
    <xf numFmtId="0" fontId="16" fillId="4" borderId="50" xfId="0" applyFont="1" applyFill="1" applyBorder="1"/>
    <xf numFmtId="0" fontId="16" fillId="4" borderId="55" xfId="0" applyFont="1" applyFill="1" applyBorder="1"/>
    <xf numFmtId="0" fontId="2" fillId="0" borderId="0" xfId="0" applyFont="1" applyAlignment="1">
      <alignment horizontal="left"/>
    </xf>
    <xf numFmtId="0" fontId="0" fillId="0" borderId="0" xfId="0" applyAlignment="1">
      <alignment horizontal="left" indent="2"/>
    </xf>
    <xf numFmtId="0" fontId="3" fillId="0" borderId="0" xfId="0" applyFont="1" applyAlignment="1">
      <alignment horizontal="left"/>
    </xf>
    <xf numFmtId="14" fontId="4" fillId="0" borderId="0" xfId="0" applyNumberFormat="1" applyFont="1"/>
    <xf numFmtId="0" fontId="4" fillId="4" borderId="0" xfId="0" applyFont="1" applyFill="1" applyAlignment="1">
      <alignment horizontal="center" vertical="center"/>
    </xf>
    <xf numFmtId="0" fontId="2" fillId="12" borderId="3" xfId="0" applyFont="1" applyFill="1" applyBorder="1" applyAlignment="1">
      <alignment horizontal="left"/>
    </xf>
    <xf numFmtId="0" fontId="0" fillId="4" borderId="45" xfId="0" applyFill="1" applyBorder="1" applyAlignment="1">
      <alignment horizontal="center"/>
    </xf>
    <xf numFmtId="0" fontId="2" fillId="4" borderId="45" xfId="0" applyFont="1" applyFill="1" applyBorder="1"/>
    <xf numFmtId="0" fontId="2" fillId="4" borderId="0" xfId="0" applyFont="1" applyFill="1" applyAlignment="1">
      <alignment horizontal="left" indent="2"/>
    </xf>
    <xf numFmtId="0" fontId="0" fillId="7" borderId="3" xfId="0" applyFill="1" applyBorder="1" applyAlignment="1">
      <alignment vertical="center"/>
    </xf>
    <xf numFmtId="0" fontId="0" fillId="8" borderId="3" xfId="0" applyFill="1" applyBorder="1" applyAlignment="1">
      <alignment vertical="center"/>
    </xf>
    <xf numFmtId="0" fontId="0" fillId="8" borderId="57" xfId="0" applyFill="1" applyBorder="1" applyAlignment="1">
      <alignment vertical="center"/>
    </xf>
    <xf numFmtId="0" fontId="2" fillId="8" borderId="30" xfId="0" applyFont="1" applyFill="1" applyBorder="1"/>
    <xf numFmtId="0" fontId="0" fillId="4" borderId="3" xfId="0" applyFill="1" applyBorder="1" applyAlignment="1">
      <alignment horizontal="center" vertical="center" textRotation="180" shrinkToFit="1"/>
    </xf>
    <xf numFmtId="0" fontId="0" fillId="4" borderId="2" xfId="0" applyFill="1" applyBorder="1" applyAlignment="1">
      <alignment horizontal="center"/>
    </xf>
    <xf numFmtId="164" fontId="7" fillId="4" borderId="10" xfId="0" applyNumberFormat="1" applyFont="1" applyFill="1" applyBorder="1"/>
    <xf numFmtId="164" fontId="0" fillId="4" borderId="13" xfId="0" applyNumberFormat="1" applyFill="1" applyBorder="1"/>
    <xf numFmtId="164" fontId="0" fillId="4" borderId="10" xfId="0" applyNumberFormat="1" applyFill="1" applyBorder="1"/>
    <xf numFmtId="164" fontId="2" fillId="4" borderId="6" xfId="0" applyNumberFormat="1" applyFont="1" applyFill="1" applyBorder="1"/>
    <xf numFmtId="164" fontId="2" fillId="4" borderId="39" xfId="0" applyNumberFormat="1" applyFont="1" applyFill="1" applyBorder="1"/>
    <xf numFmtId="164" fontId="0" fillId="4" borderId="12" xfId="0" applyNumberFormat="1" applyFill="1" applyBorder="1"/>
    <xf numFmtId="164" fontId="0" fillId="4" borderId="58" xfId="0" applyNumberFormat="1" applyFill="1" applyBorder="1"/>
    <xf numFmtId="164" fontId="0" fillId="4" borderId="8" xfId="0" applyNumberFormat="1" applyFill="1" applyBorder="1"/>
    <xf numFmtId="0" fontId="0" fillId="4" borderId="21" xfId="0" applyFill="1" applyBorder="1"/>
    <xf numFmtId="164" fontId="2" fillId="5" borderId="1" xfId="0" applyNumberFormat="1" applyFont="1" applyFill="1" applyBorder="1" applyAlignment="1">
      <alignment horizontal="center"/>
    </xf>
    <xf numFmtId="0" fontId="16" fillId="4" borderId="0" xfId="0" applyFont="1" applyFill="1"/>
    <xf numFmtId="169" fontId="0" fillId="0" borderId="0" xfId="0" applyNumberFormat="1"/>
    <xf numFmtId="0" fontId="2" fillId="13" borderId="0" xfId="0" applyFont="1" applyFill="1" applyAlignment="1">
      <alignment horizontal="right"/>
    </xf>
    <xf numFmtId="169" fontId="0" fillId="8" borderId="30" xfId="0" applyNumberFormat="1" applyFill="1" applyBorder="1"/>
    <xf numFmtId="0" fontId="2" fillId="12" borderId="33" xfId="0" applyFont="1" applyFill="1" applyBorder="1" applyAlignment="1">
      <alignment horizontal="center"/>
    </xf>
    <xf numFmtId="166" fontId="2" fillId="5" borderId="1" xfId="0" applyNumberFormat="1" applyFont="1" applyFill="1" applyBorder="1" applyAlignment="1">
      <alignment horizontal="center"/>
    </xf>
    <xf numFmtId="14" fontId="17" fillId="0" borderId="0" xfId="0" applyNumberFormat="1" applyFont="1"/>
    <xf numFmtId="0" fontId="16" fillId="4" borderId="0" xfId="0" applyFont="1" applyFill="1" applyProtection="1">
      <protection hidden="1"/>
    </xf>
    <xf numFmtId="0" fontId="16" fillId="4" borderId="5" xfId="0" applyFont="1" applyFill="1" applyBorder="1" applyProtection="1">
      <protection hidden="1"/>
    </xf>
    <xf numFmtId="0" fontId="13" fillId="12" borderId="2" xfId="0" applyFont="1" applyFill="1" applyBorder="1" applyProtection="1">
      <protection hidden="1"/>
    </xf>
    <xf numFmtId="0" fontId="2" fillId="12" borderId="0" xfId="0" applyFont="1" applyFill="1" applyAlignment="1">
      <alignment horizontal="center"/>
    </xf>
    <xf numFmtId="0" fontId="13" fillId="4" borderId="47" xfId="0" applyFont="1" applyFill="1" applyBorder="1" applyAlignment="1">
      <alignment horizontal="center" vertical="center"/>
    </xf>
    <xf numFmtId="0" fontId="18" fillId="0" borderId="0" xfId="0" applyFont="1"/>
    <xf numFmtId="0" fontId="18" fillId="4" borderId="47" xfId="0" applyFont="1" applyFill="1" applyBorder="1" applyAlignment="1">
      <alignment vertical="center"/>
    </xf>
    <xf numFmtId="0" fontId="16" fillId="4" borderId="0" xfId="0" applyFont="1" applyFill="1" applyAlignment="1">
      <alignment horizontal="center"/>
    </xf>
    <xf numFmtId="170" fontId="2" fillId="2" borderId="35" xfId="0" applyNumberFormat="1" applyFont="1" applyFill="1" applyBorder="1"/>
    <xf numFmtId="170" fontId="2" fillId="2" borderId="10" xfId="0" applyNumberFormat="1" applyFont="1" applyFill="1" applyBorder="1"/>
    <xf numFmtId="170" fontId="6" fillId="2" borderId="22" xfId="0" applyNumberFormat="1" applyFont="1" applyFill="1" applyBorder="1"/>
    <xf numFmtId="170" fontId="6" fillId="2" borderId="36" xfId="0" applyNumberFormat="1" applyFont="1" applyFill="1" applyBorder="1"/>
    <xf numFmtId="170" fontId="6" fillId="2" borderId="15" xfId="0" applyNumberFormat="1" applyFont="1" applyFill="1" applyBorder="1"/>
    <xf numFmtId="170" fontId="0" fillId="2" borderId="35" xfId="0" applyNumberFormat="1" applyFill="1" applyBorder="1"/>
    <xf numFmtId="170" fontId="6" fillId="11" borderId="12" xfId="0" applyNumberFormat="1" applyFont="1" applyFill="1" applyBorder="1"/>
    <xf numFmtId="170" fontId="6" fillId="11" borderId="22" xfId="0" applyNumberFormat="1" applyFont="1" applyFill="1" applyBorder="1"/>
    <xf numFmtId="170" fontId="6" fillId="11" borderId="0" xfId="0" applyNumberFormat="1" applyFont="1" applyFill="1"/>
    <xf numFmtId="170" fontId="2" fillId="6" borderId="20" xfId="0" applyNumberFormat="1" applyFont="1" applyFill="1" applyBorder="1"/>
    <xf numFmtId="170" fontId="0" fillId="2" borderId="12" xfId="0" applyNumberFormat="1" applyFill="1" applyBorder="1"/>
    <xf numFmtId="170" fontId="0" fillId="2" borderId="22" xfId="0" applyNumberFormat="1" applyFill="1" applyBorder="1"/>
    <xf numFmtId="170" fontId="0" fillId="2" borderId="0" xfId="0" applyNumberFormat="1" applyFill="1"/>
    <xf numFmtId="170" fontId="2" fillId="6" borderId="6" xfId="0" applyNumberFormat="1" applyFont="1" applyFill="1" applyBorder="1"/>
    <xf numFmtId="170" fontId="2" fillId="2" borderId="38" xfId="0" applyNumberFormat="1" applyFont="1" applyFill="1" applyBorder="1"/>
    <xf numFmtId="170" fontId="0" fillId="4" borderId="24" xfId="0" applyNumberFormat="1" applyFill="1" applyBorder="1"/>
    <xf numFmtId="170" fontId="0" fillId="4" borderId="5" xfId="0" applyNumberFormat="1" applyFill="1" applyBorder="1"/>
    <xf numFmtId="170" fontId="0" fillId="2" borderId="29" xfId="0" applyNumberFormat="1" applyFill="1" applyBorder="1"/>
    <xf numFmtId="170" fontId="0" fillId="2" borderId="11" xfId="0" applyNumberFormat="1" applyFill="1" applyBorder="1"/>
    <xf numFmtId="170" fontId="0" fillId="2" borderId="23" xfId="0" applyNumberFormat="1" applyFill="1" applyBorder="1"/>
    <xf numFmtId="170" fontId="0" fillId="2" borderId="8" xfId="0" applyNumberFormat="1" applyFill="1" applyBorder="1"/>
    <xf numFmtId="170" fontId="0" fillId="0" borderId="31" xfId="0" applyNumberFormat="1" applyBorder="1" applyProtection="1">
      <protection locked="0"/>
    </xf>
    <xf numFmtId="170" fontId="7" fillId="2" borderId="40" xfId="0" applyNumberFormat="1" applyFont="1" applyFill="1" applyBorder="1"/>
    <xf numFmtId="170" fontId="0" fillId="0" borderId="40" xfId="0" applyNumberFormat="1" applyBorder="1" applyProtection="1">
      <protection locked="0"/>
    </xf>
    <xf numFmtId="170" fontId="0" fillId="0" borderId="22" xfId="0" applyNumberFormat="1" applyBorder="1" applyProtection="1">
      <protection locked="0"/>
    </xf>
    <xf numFmtId="170" fontId="0" fillId="0" borderId="41" xfId="0" applyNumberFormat="1" applyBorder="1" applyProtection="1">
      <protection locked="0"/>
    </xf>
    <xf numFmtId="170" fontId="0" fillId="4" borderId="60" xfId="0" applyNumberFormat="1" applyFill="1" applyBorder="1"/>
    <xf numFmtId="170" fontId="0" fillId="4" borderId="23" xfId="0" applyNumberFormat="1" applyFill="1" applyBorder="1"/>
    <xf numFmtId="170" fontId="0" fillId="4" borderId="0" xfId="0" applyNumberFormat="1" applyFill="1"/>
    <xf numFmtId="170" fontId="0" fillId="8" borderId="22" xfId="0" applyNumberFormat="1" applyFill="1" applyBorder="1"/>
    <xf numFmtId="170" fontId="2" fillId="10" borderId="40" xfId="0" applyNumberFormat="1" applyFont="1" applyFill="1" applyBorder="1"/>
    <xf numFmtId="170" fontId="2" fillId="4" borderId="12" xfId="0" applyNumberFormat="1" applyFont="1" applyFill="1" applyBorder="1"/>
    <xf numFmtId="170" fontId="0" fillId="10" borderId="40" xfId="0" applyNumberFormat="1" applyFill="1" applyBorder="1"/>
    <xf numFmtId="170" fontId="0" fillId="4" borderId="10" xfId="0" applyNumberFormat="1" applyFill="1" applyBorder="1"/>
    <xf numFmtId="170" fontId="0" fillId="8" borderId="35" xfId="0" applyNumberFormat="1" applyFill="1" applyBorder="1"/>
    <xf numFmtId="170" fontId="2" fillId="4" borderId="6" xfId="0" applyNumberFormat="1" applyFont="1" applyFill="1" applyBorder="1"/>
    <xf numFmtId="170" fontId="0" fillId="15" borderId="20" xfId="0" applyNumberFormat="1" applyFill="1" applyBorder="1"/>
    <xf numFmtId="170" fontId="2" fillId="15" borderId="20" xfId="0" applyNumberFormat="1" applyFont="1" applyFill="1" applyBorder="1"/>
    <xf numFmtId="170" fontId="2" fillId="4" borderId="39" xfId="0" applyNumberFormat="1" applyFont="1" applyFill="1" applyBorder="1"/>
    <xf numFmtId="170" fontId="2" fillId="8" borderId="38" xfId="0" applyNumberFormat="1" applyFont="1" applyFill="1" applyBorder="1"/>
    <xf numFmtId="170" fontId="2" fillId="10" borderId="38" xfId="0" applyNumberFormat="1" applyFont="1" applyFill="1" applyBorder="1"/>
    <xf numFmtId="170" fontId="2" fillId="10" borderId="28" xfId="0" applyNumberFormat="1" applyFont="1" applyFill="1" applyBorder="1"/>
    <xf numFmtId="170" fontId="2" fillId="16" borderId="40" xfId="0" applyNumberFormat="1" applyFont="1" applyFill="1" applyBorder="1"/>
    <xf numFmtId="170" fontId="6" fillId="10" borderId="36" xfId="0" applyNumberFormat="1" applyFont="1" applyFill="1" applyBorder="1"/>
    <xf numFmtId="170" fontId="6" fillId="10" borderId="15" xfId="0" applyNumberFormat="1" applyFont="1" applyFill="1" applyBorder="1"/>
    <xf numFmtId="170" fontId="0" fillId="10" borderId="35" xfId="0" applyNumberFormat="1" applyFill="1" applyBorder="1"/>
    <xf numFmtId="170" fontId="6" fillId="3" borderId="12" xfId="0" applyNumberFormat="1" applyFont="1" applyFill="1" applyBorder="1"/>
    <xf numFmtId="170" fontId="6" fillId="3" borderId="22" xfId="0" applyNumberFormat="1" applyFont="1" applyFill="1" applyBorder="1"/>
    <xf numFmtId="170" fontId="6" fillId="3" borderId="0" xfId="0" applyNumberFormat="1" applyFont="1" applyFill="1"/>
    <xf numFmtId="170" fontId="2" fillId="15" borderId="6" xfId="0" applyNumberFormat="1" applyFont="1" applyFill="1" applyBorder="1"/>
    <xf numFmtId="170" fontId="0" fillId="10" borderId="12" xfId="0" applyNumberFormat="1" applyFill="1" applyBorder="1"/>
    <xf numFmtId="170" fontId="0" fillId="10" borderId="22" xfId="0" applyNumberFormat="1" applyFill="1" applyBorder="1"/>
    <xf numFmtId="170" fontId="0" fillId="10" borderId="0" xfId="0" applyNumberFormat="1" applyFill="1"/>
    <xf numFmtId="170" fontId="0" fillId="10" borderId="29" xfId="0" applyNumberFormat="1" applyFill="1" applyBorder="1"/>
    <xf numFmtId="170" fontId="0" fillId="10" borderId="11" xfId="0" applyNumberFormat="1" applyFill="1" applyBorder="1"/>
    <xf numFmtId="170" fontId="0" fillId="10" borderId="23" xfId="0" applyNumberFormat="1" applyFill="1" applyBorder="1"/>
    <xf numFmtId="170" fontId="0" fillId="10" borderId="8" xfId="0" applyNumberFormat="1" applyFill="1" applyBorder="1"/>
    <xf numFmtId="170" fontId="0" fillId="4" borderId="62" xfId="0" applyNumberFormat="1" applyFill="1" applyBorder="1"/>
    <xf numFmtId="170" fontId="0" fillId="4" borderId="63" xfId="0" applyNumberFormat="1" applyFill="1" applyBorder="1"/>
    <xf numFmtId="170" fontId="0" fillId="0" borderId="64" xfId="0" applyNumberFormat="1" applyBorder="1" applyProtection="1">
      <protection locked="0"/>
    </xf>
    <xf numFmtId="170" fontId="0" fillId="0" borderId="65" xfId="0" applyNumberFormat="1" applyBorder="1" applyProtection="1">
      <protection locked="0"/>
    </xf>
    <xf numFmtId="170" fontId="2" fillId="15" borderId="66" xfId="0" applyNumberFormat="1" applyFont="1" applyFill="1" applyBorder="1"/>
    <xf numFmtId="170" fontId="2" fillId="13" borderId="31" xfId="0" applyNumberFormat="1" applyFont="1" applyFill="1" applyBorder="1"/>
    <xf numFmtId="170" fontId="2" fillId="13" borderId="34" xfId="0" applyNumberFormat="1" applyFont="1" applyFill="1" applyBorder="1"/>
    <xf numFmtId="170" fontId="2" fillId="13" borderId="35" xfId="0" applyNumberFormat="1" applyFont="1" applyFill="1" applyBorder="1"/>
    <xf numFmtId="170" fontId="2" fillId="13" borderId="10" xfId="0" applyNumberFormat="1" applyFont="1" applyFill="1" applyBorder="1"/>
    <xf numFmtId="170" fontId="6" fillId="13" borderId="22" xfId="0" applyNumberFormat="1" applyFont="1" applyFill="1" applyBorder="1"/>
    <xf numFmtId="170" fontId="6" fillId="13" borderId="12" xfId="0" applyNumberFormat="1" applyFont="1" applyFill="1" applyBorder="1"/>
    <xf numFmtId="170" fontId="2" fillId="13" borderId="40" xfId="0" applyNumberFormat="1" applyFont="1" applyFill="1" applyBorder="1"/>
    <xf numFmtId="170" fontId="2" fillId="14" borderId="20" xfId="0" applyNumberFormat="1" applyFont="1" applyFill="1" applyBorder="1"/>
    <xf numFmtId="170" fontId="2" fillId="13" borderId="28" xfId="0" applyNumberFormat="1" applyFont="1" applyFill="1" applyBorder="1"/>
    <xf numFmtId="170" fontId="6" fillId="13" borderId="35" xfId="0" applyNumberFormat="1" applyFont="1" applyFill="1" applyBorder="1"/>
    <xf numFmtId="170" fontId="6" fillId="13" borderId="10" xfId="0" applyNumberFormat="1" applyFont="1" applyFill="1" applyBorder="1"/>
    <xf numFmtId="170" fontId="6" fillId="13" borderId="36" xfId="0" applyNumberFormat="1" applyFont="1" applyFill="1" applyBorder="1"/>
    <xf numFmtId="170" fontId="2" fillId="13" borderId="41" xfId="0" applyNumberFormat="1" applyFont="1" applyFill="1" applyBorder="1"/>
    <xf numFmtId="170" fontId="2" fillId="13" borderId="42" xfId="0" applyNumberFormat="1" applyFont="1" applyFill="1" applyBorder="1"/>
    <xf numFmtId="170" fontId="2" fillId="21" borderId="48" xfId="0" applyNumberFormat="1" applyFont="1" applyFill="1" applyBorder="1"/>
    <xf numFmtId="170" fontId="2" fillId="21" borderId="39" xfId="0" applyNumberFormat="1" applyFont="1" applyFill="1" applyBorder="1"/>
    <xf numFmtId="170" fontId="2" fillId="21" borderId="46" xfId="0" applyNumberFormat="1" applyFont="1" applyFill="1" applyBorder="1"/>
    <xf numFmtId="170" fontId="0" fillId="13" borderId="40" xfId="0" applyNumberFormat="1" applyFill="1" applyBorder="1"/>
    <xf numFmtId="170" fontId="9" fillId="4" borderId="5" xfId="0" applyNumberFormat="1" applyFont="1" applyFill="1" applyBorder="1"/>
    <xf numFmtId="170" fontId="0" fillId="4" borderId="12" xfId="0" applyNumberFormat="1" applyFill="1" applyBorder="1"/>
    <xf numFmtId="170" fontId="0" fillId="8" borderId="12" xfId="0" applyNumberFormat="1" applyFill="1" applyBorder="1"/>
    <xf numFmtId="170" fontId="2" fillId="8" borderId="22" xfId="0" applyNumberFormat="1" applyFont="1" applyFill="1" applyBorder="1"/>
    <xf numFmtId="170" fontId="2" fillId="4" borderId="22" xfId="0" applyNumberFormat="1" applyFont="1" applyFill="1" applyBorder="1"/>
    <xf numFmtId="170" fontId="2" fillId="4" borderId="0" xfId="0" applyNumberFormat="1" applyFont="1" applyFill="1"/>
    <xf numFmtId="170" fontId="2" fillId="13" borderId="38" xfId="0" applyNumberFormat="1" applyFont="1" applyFill="1" applyBorder="1"/>
    <xf numFmtId="170" fontId="0" fillId="0" borderId="61" xfId="0" applyNumberFormat="1" applyBorder="1" applyProtection="1">
      <protection locked="0"/>
    </xf>
    <xf numFmtId="170" fontId="0" fillId="0" borderId="23" xfId="0" applyNumberFormat="1" applyBorder="1" applyProtection="1">
      <protection locked="0"/>
    </xf>
    <xf numFmtId="170" fontId="2" fillId="23" borderId="12" xfId="0" applyNumberFormat="1" applyFont="1" applyFill="1" applyBorder="1"/>
    <xf numFmtId="170" fontId="2" fillId="17" borderId="38" xfId="0" applyNumberFormat="1" applyFont="1" applyFill="1" applyBorder="1"/>
    <xf numFmtId="170" fontId="0" fillId="4" borderId="35" xfId="0" applyNumberFormat="1" applyFill="1" applyBorder="1"/>
    <xf numFmtId="170" fontId="2" fillId="14" borderId="43" xfId="0" applyNumberFormat="1" applyFont="1" applyFill="1" applyBorder="1"/>
    <xf numFmtId="170" fontId="0" fillId="13" borderId="41" xfId="0" applyNumberFormat="1" applyFill="1" applyBorder="1"/>
    <xf numFmtId="170" fontId="2" fillId="13" borderId="22" xfId="0" applyNumberFormat="1" applyFont="1" applyFill="1" applyBorder="1"/>
    <xf numFmtId="170" fontId="2" fillId="14" borderId="40" xfId="0" applyNumberFormat="1" applyFont="1" applyFill="1" applyBorder="1"/>
    <xf numFmtId="170" fontId="0" fillId="2" borderId="31" xfId="0" applyNumberFormat="1" applyFill="1" applyBorder="1"/>
    <xf numFmtId="170" fontId="2" fillId="4" borderId="3" xfId="0" applyNumberFormat="1" applyFont="1" applyFill="1" applyBorder="1" applyAlignment="1">
      <alignment horizontal="center"/>
    </xf>
    <xf numFmtId="170" fontId="0" fillId="10" borderId="31" xfId="0" applyNumberFormat="1" applyFill="1" applyBorder="1"/>
    <xf numFmtId="170" fontId="0" fillId="4" borderId="3" xfId="0" applyNumberFormat="1" applyFill="1" applyBorder="1"/>
    <xf numFmtId="170" fontId="2" fillId="12" borderId="31" xfId="0" applyNumberFormat="1" applyFont="1" applyFill="1" applyBorder="1"/>
    <xf numFmtId="170" fontId="0" fillId="20" borderId="40" xfId="0" applyNumberFormat="1" applyFill="1" applyBorder="1"/>
    <xf numFmtId="170" fontId="2" fillId="4" borderId="0" xfId="0" applyNumberFormat="1" applyFont="1" applyFill="1" applyAlignment="1">
      <alignment horizontal="center"/>
    </xf>
    <xf numFmtId="170" fontId="2" fillId="12" borderId="40" xfId="0" applyNumberFormat="1" applyFont="1" applyFill="1" applyBorder="1"/>
    <xf numFmtId="170" fontId="0" fillId="2" borderId="40" xfId="0" applyNumberFormat="1" applyFill="1" applyBorder="1"/>
    <xf numFmtId="170" fontId="0" fillId="19" borderId="40" xfId="0" applyNumberFormat="1" applyFill="1" applyBorder="1"/>
    <xf numFmtId="170" fontId="0" fillId="2" borderId="36" xfId="0" applyNumberFormat="1" applyFill="1" applyBorder="1"/>
    <xf numFmtId="170" fontId="0" fillId="10" borderId="36" xfId="0" applyNumberFormat="1" applyFill="1" applyBorder="1"/>
    <xf numFmtId="170" fontId="2" fillId="12" borderId="36" xfId="0" applyNumberFormat="1" applyFont="1" applyFill="1" applyBorder="1"/>
    <xf numFmtId="170" fontId="2" fillId="22" borderId="20" xfId="0" applyNumberFormat="1" applyFont="1" applyFill="1" applyBorder="1"/>
    <xf numFmtId="170" fontId="2" fillId="18" borderId="20" xfId="0" applyNumberFormat="1" applyFont="1" applyFill="1" applyBorder="1"/>
    <xf numFmtId="170" fontId="0" fillId="19" borderId="35" xfId="0" applyNumberFormat="1" applyFill="1" applyBorder="1"/>
    <xf numFmtId="170" fontId="2" fillId="12" borderId="35" xfId="0" applyNumberFormat="1" applyFont="1" applyFill="1" applyBorder="1"/>
    <xf numFmtId="170" fontId="0" fillId="20" borderId="36" xfId="0" applyNumberFormat="1" applyFill="1" applyBorder="1"/>
    <xf numFmtId="170" fontId="2" fillId="12" borderId="22" xfId="0" applyNumberFormat="1" applyFont="1" applyFill="1" applyBorder="1"/>
    <xf numFmtId="170" fontId="0" fillId="4" borderId="39" xfId="0" applyNumberFormat="1" applyFill="1" applyBorder="1"/>
    <xf numFmtId="170" fontId="0" fillId="20" borderId="22" xfId="0" applyNumberFormat="1" applyFill="1" applyBorder="1"/>
    <xf numFmtId="170" fontId="0" fillId="19" borderId="22" xfId="0" applyNumberFormat="1" applyFill="1" applyBorder="1"/>
    <xf numFmtId="170" fontId="0" fillId="20" borderId="35" xfId="0" applyNumberFormat="1" applyFill="1" applyBorder="1"/>
    <xf numFmtId="170" fontId="0" fillId="4" borderId="22" xfId="0" applyNumberFormat="1" applyFill="1" applyBorder="1"/>
    <xf numFmtId="170" fontId="0" fillId="0" borderId="36" xfId="0" applyNumberFormat="1" applyBorder="1" applyProtection="1">
      <protection locked="0"/>
    </xf>
    <xf numFmtId="170" fontId="0" fillId="25" borderId="56" xfId="0" applyNumberFormat="1" applyFill="1" applyBorder="1"/>
    <xf numFmtId="170" fontId="2" fillId="24" borderId="5" xfId="0" applyNumberFormat="1" applyFont="1" applyFill="1" applyBorder="1" applyAlignment="1">
      <alignment horizontal="center"/>
    </xf>
    <xf numFmtId="170" fontId="2" fillId="12" borderId="20" xfId="0" applyNumberFormat="1" applyFont="1" applyFill="1" applyBorder="1"/>
    <xf numFmtId="170" fontId="2" fillId="5" borderId="20" xfId="0" applyNumberFormat="1" applyFont="1" applyFill="1" applyBorder="1"/>
    <xf numFmtId="170" fontId="2" fillId="24" borderId="39" xfId="0" applyNumberFormat="1" applyFont="1" applyFill="1" applyBorder="1"/>
    <xf numFmtId="170" fontId="0" fillId="5" borderId="1" xfId="0" applyNumberFormat="1" applyFill="1" applyBorder="1" applyAlignment="1">
      <alignment horizontal="center"/>
    </xf>
    <xf numFmtId="170" fontId="0" fillId="0" borderId="0" xfId="0" applyNumberFormat="1"/>
    <xf numFmtId="0" fontId="0" fillId="8" borderId="0" xfId="0" applyFill="1" applyAlignment="1">
      <alignment horizontal="left"/>
    </xf>
    <xf numFmtId="0" fontId="0" fillId="7" borderId="57" xfId="0" applyFill="1" applyBorder="1" applyAlignment="1">
      <alignment vertical="center"/>
    </xf>
    <xf numFmtId="0" fontId="2" fillId="7" borderId="30" xfId="0" applyFont="1" applyFill="1" applyBorder="1"/>
    <xf numFmtId="169" fontId="0" fillId="7" borderId="30" xfId="0" applyNumberFormat="1" applyFill="1" applyBorder="1"/>
    <xf numFmtId="0" fontId="0" fillId="7" borderId="0" xfId="0" applyFill="1" applyAlignment="1">
      <alignment horizontal="left"/>
    </xf>
    <xf numFmtId="0" fontId="0" fillId="7" borderId="0" xfId="0" applyFill="1"/>
    <xf numFmtId="0" fontId="18" fillId="0" borderId="0" xfId="0" applyFont="1" applyAlignment="1">
      <alignment vertical="center"/>
    </xf>
    <xf numFmtId="9" fontId="0" fillId="4" borderId="0" xfId="0" applyNumberFormat="1" applyFill="1" applyAlignment="1">
      <alignment horizontal="left"/>
    </xf>
    <xf numFmtId="0" fontId="0" fillId="0" borderId="0" xfId="0" applyAlignment="1">
      <alignment wrapText="1"/>
    </xf>
    <xf numFmtId="0" fontId="20" fillId="5" borderId="0" xfId="0" applyFont="1" applyFill="1" applyAlignment="1">
      <alignment wrapText="1"/>
    </xf>
    <xf numFmtId="0" fontId="21" fillId="2" borderId="0" xfId="1" applyFont="1" applyFill="1"/>
    <xf numFmtId="0" fontId="21" fillId="2" borderId="0" xfId="1" applyFont="1" applyFill="1" applyProtection="1">
      <protection hidden="1"/>
    </xf>
    <xf numFmtId="0" fontId="21" fillId="2" borderId="0" xfId="1" applyFont="1" applyFill="1" applyAlignment="1" applyProtection="1">
      <alignment horizontal="center"/>
      <protection hidden="1"/>
    </xf>
    <xf numFmtId="0" fontId="1" fillId="0" borderId="0" xfId="1"/>
    <xf numFmtId="0" fontId="1" fillId="0" borderId="0" xfId="1" applyProtection="1">
      <protection hidden="1"/>
    </xf>
    <xf numFmtId="0" fontId="1" fillId="0" borderId="1" xfId="1" applyBorder="1" applyProtection="1">
      <protection hidden="1"/>
    </xf>
    <xf numFmtId="0" fontId="22" fillId="0" borderId="0" xfId="0" applyFont="1" applyAlignment="1">
      <alignment horizontal="right" vertical="center"/>
    </xf>
    <xf numFmtId="0" fontId="22" fillId="0" borderId="0" xfId="0" applyFont="1" applyAlignment="1">
      <alignment vertical="center"/>
    </xf>
    <xf numFmtId="17" fontId="22" fillId="0" borderId="0" xfId="0" applyNumberFormat="1" applyFont="1" applyAlignment="1">
      <alignment horizontal="left" vertical="center"/>
    </xf>
    <xf numFmtId="0" fontId="23" fillId="0" borderId="0" xfId="0" applyFont="1"/>
    <xf numFmtId="0" fontId="6" fillId="0" borderId="0" xfId="0" applyFont="1" applyAlignment="1">
      <alignment horizontal="left" indent="1"/>
    </xf>
    <xf numFmtId="0" fontId="2" fillId="26" borderId="0" xfId="0" applyFont="1" applyFill="1"/>
    <xf numFmtId="0" fontId="20" fillId="22" borderId="0" xfId="0" applyFont="1" applyFill="1" applyAlignment="1">
      <alignment wrapText="1"/>
    </xf>
    <xf numFmtId="0" fontId="20" fillId="27" borderId="0" xfId="0" applyFont="1" applyFill="1" applyAlignment="1">
      <alignment wrapText="1"/>
    </xf>
    <xf numFmtId="0" fontId="20" fillId="26" borderId="0" xfId="0" applyFont="1" applyFill="1" applyAlignment="1">
      <alignment wrapText="1"/>
    </xf>
    <xf numFmtId="0" fontId="9" fillId="0" borderId="0" xfId="0" applyFont="1" applyAlignment="1">
      <alignment wrapText="1"/>
    </xf>
    <xf numFmtId="0" fontId="26" fillId="0" borderId="0" xfId="0" applyFont="1" applyAlignment="1">
      <alignment wrapText="1"/>
    </xf>
    <xf numFmtId="0" fontId="0" fillId="0" borderId="19" xfId="0" applyBorder="1"/>
    <xf numFmtId="0" fontId="27" fillId="0" borderId="0" xfId="0" applyFont="1"/>
    <xf numFmtId="0" fontId="20" fillId="26" borderId="0" xfId="0" applyFont="1" applyFill="1"/>
    <xf numFmtId="0" fontId="0" fillId="0" borderId="0" xfId="0" applyAlignment="1">
      <alignment horizontal="left" indent="1"/>
    </xf>
    <xf numFmtId="0" fontId="2" fillId="0" borderId="1" xfId="0" applyFont="1" applyFill="1" applyBorder="1" applyAlignment="1" applyProtection="1">
      <alignment horizontal="left"/>
      <protection locked="0"/>
    </xf>
    <xf numFmtId="14" fontId="0" fillId="0" borderId="1" xfId="0" applyNumberFormat="1" applyFill="1" applyBorder="1" applyAlignment="1" applyProtection="1">
      <alignment horizontal="left"/>
      <protection locked="0"/>
    </xf>
    <xf numFmtId="0" fontId="0" fillId="0" borderId="0" xfId="0" applyFill="1" applyAlignment="1" applyProtection="1">
      <alignment vertical="center"/>
      <protection locked="0"/>
    </xf>
    <xf numFmtId="9" fontId="0" fillId="0" borderId="40" xfId="0" applyNumberFormat="1" applyFill="1" applyBorder="1" applyAlignment="1" applyProtection="1">
      <alignment horizontal="right"/>
      <protection locked="0"/>
    </xf>
    <xf numFmtId="0" fontId="0" fillId="0" borderId="40" xfId="0" applyFill="1" applyBorder="1" applyProtection="1">
      <protection locked="0"/>
    </xf>
    <xf numFmtId="0" fontId="0" fillId="0" borderId="40" xfId="0" applyFill="1" applyBorder="1" applyAlignment="1" applyProtection="1">
      <alignment horizontal="center"/>
      <protection locked="0"/>
    </xf>
    <xf numFmtId="0" fontId="0" fillId="0" borderId="40" xfId="0" applyFill="1" applyBorder="1" applyAlignment="1" applyProtection="1">
      <alignment horizontal="left" wrapText="1"/>
      <protection locked="0"/>
    </xf>
    <xf numFmtId="0" fontId="0" fillId="0" borderId="0" xfId="0" applyFill="1" applyProtection="1">
      <protection locked="0"/>
    </xf>
    <xf numFmtId="0" fontId="0" fillId="0" borderId="40" xfId="0" applyFill="1" applyBorder="1" applyAlignment="1" applyProtection="1">
      <alignment wrapText="1"/>
      <protection locked="0"/>
    </xf>
    <xf numFmtId="0" fontId="2" fillId="2" borderId="37" xfId="0" applyFont="1" applyFill="1" applyBorder="1" applyAlignment="1">
      <alignment horizontal="left"/>
    </xf>
    <xf numFmtId="0" fontId="2" fillId="2" borderId="9" xfId="0" applyFont="1" applyFill="1" applyBorder="1" applyAlignment="1">
      <alignment horizontal="left"/>
    </xf>
    <xf numFmtId="0" fontId="2" fillId="2" borderId="10" xfId="0" applyFont="1" applyFill="1" applyBorder="1" applyAlignment="1">
      <alignment horizontal="left"/>
    </xf>
    <xf numFmtId="0" fontId="0" fillId="8" borderId="22" xfId="0" applyFill="1" applyBorder="1" applyAlignment="1">
      <alignment horizontal="left" vertical="top" wrapText="1"/>
    </xf>
    <xf numFmtId="0" fontId="0" fillId="8" borderId="23" xfId="0" applyFill="1" applyBorder="1" applyAlignment="1">
      <alignment horizontal="left" vertical="top" wrapText="1"/>
    </xf>
    <xf numFmtId="0" fontId="2" fillId="8" borderId="21" xfId="0" applyFont="1" applyFill="1" applyBorder="1" applyAlignment="1">
      <alignment horizontal="center" textRotation="180"/>
    </xf>
    <xf numFmtId="0" fontId="2" fillId="8" borderId="59" xfId="0" applyFont="1" applyFill="1" applyBorder="1" applyAlignment="1">
      <alignment horizontal="center" textRotation="180"/>
    </xf>
    <xf numFmtId="167" fontId="0" fillId="4" borderId="0" xfId="0" applyNumberFormat="1" applyFill="1" applyAlignment="1">
      <alignment horizontal="left"/>
    </xf>
    <xf numFmtId="0" fontId="0" fillId="7" borderId="22" xfId="0" applyFill="1" applyBorder="1" applyAlignment="1">
      <alignment horizontal="left" vertical="top" wrapText="1"/>
    </xf>
    <xf numFmtId="0" fontId="0" fillId="7" borderId="23" xfId="0" applyFill="1" applyBorder="1" applyAlignment="1">
      <alignment horizontal="left" vertical="top" wrapText="1"/>
    </xf>
    <xf numFmtId="9" fontId="9" fillId="4" borderId="11" xfId="0" applyNumberFormat="1" applyFont="1" applyFill="1" applyBorder="1" applyAlignment="1">
      <alignment horizontal="center" vertical="center" wrapText="1"/>
    </xf>
    <xf numFmtId="9" fontId="9" fillId="4" borderId="12" xfId="0" applyNumberFormat="1" applyFont="1" applyFill="1" applyBorder="1" applyAlignment="1">
      <alignment horizontal="center" vertical="center" wrapText="1"/>
    </xf>
    <xf numFmtId="9" fontId="9" fillId="4" borderId="8" xfId="0" applyNumberFormat="1" applyFont="1" applyFill="1" applyBorder="1" applyAlignment="1">
      <alignment horizontal="center" vertical="center" wrapText="1"/>
    </xf>
    <xf numFmtId="0" fontId="2" fillId="7" borderId="21" xfId="0" applyFont="1" applyFill="1" applyBorder="1" applyAlignment="1">
      <alignment horizontal="center" textRotation="180"/>
    </xf>
    <xf numFmtId="0" fontId="2" fillId="4" borderId="0" xfId="0" applyFont="1" applyFill="1" applyAlignment="1">
      <alignment horizontal="left"/>
    </xf>
    <xf numFmtId="0" fontId="6" fillId="0" borderId="26" xfId="0" applyFont="1" applyBorder="1" applyAlignment="1" applyProtection="1">
      <alignment horizontal="left" indent="1"/>
      <protection locked="0"/>
    </xf>
    <xf numFmtId="0" fontId="6" fillId="0" borderId="27" xfId="0" applyFont="1" applyBorder="1" applyAlignment="1" applyProtection="1">
      <alignment horizontal="left" indent="1"/>
      <protection locked="0"/>
    </xf>
    <xf numFmtId="0" fontId="6" fillId="0" borderId="28" xfId="0" applyFont="1" applyBorder="1" applyAlignment="1" applyProtection="1">
      <alignment horizontal="left" indent="1"/>
      <protection locked="0"/>
    </xf>
    <xf numFmtId="0" fontId="2" fillId="10" borderId="26" xfId="0" applyFont="1" applyFill="1" applyBorder="1" applyAlignment="1">
      <alignment horizontal="left"/>
    </xf>
    <xf numFmtId="0" fontId="2" fillId="10" borderId="27" xfId="0" applyFont="1" applyFill="1" applyBorder="1" applyAlignment="1">
      <alignment horizontal="left"/>
    </xf>
    <xf numFmtId="0" fontId="2" fillId="10" borderId="28" xfId="0" applyFont="1" applyFill="1" applyBorder="1" applyAlignment="1">
      <alignment horizontal="left"/>
    </xf>
    <xf numFmtId="14" fontId="2" fillId="4" borderId="0" xfId="0" applyNumberFormat="1" applyFont="1" applyFill="1" applyAlignment="1">
      <alignment horizontal="left"/>
    </xf>
    <xf numFmtId="0" fontId="6" fillId="0" borderId="14" xfId="0" applyFont="1" applyBorder="1" applyAlignment="1" applyProtection="1">
      <alignment horizontal="left" indent="1"/>
      <protection locked="0"/>
    </xf>
    <xf numFmtId="0" fontId="6" fillId="0" borderId="13" xfId="0" applyFont="1" applyBorder="1" applyAlignment="1" applyProtection="1">
      <alignment horizontal="left" indent="1"/>
      <protection locked="0"/>
    </xf>
    <xf numFmtId="0" fontId="6" fillId="0" borderId="15" xfId="0" applyFont="1" applyBorder="1" applyAlignment="1" applyProtection="1">
      <alignment horizontal="left" indent="1"/>
      <protection locked="0"/>
    </xf>
    <xf numFmtId="0" fontId="2" fillId="13" borderId="32" xfId="0" applyFont="1" applyFill="1" applyBorder="1" applyAlignment="1">
      <alignment horizontal="left"/>
    </xf>
    <xf numFmtId="0" fontId="2" fillId="13" borderId="33" xfId="0" applyFont="1" applyFill="1" applyBorder="1" applyAlignment="1">
      <alignment horizontal="left"/>
    </xf>
    <xf numFmtId="0" fontId="2" fillId="13" borderId="34" xfId="0" applyFont="1" applyFill="1" applyBorder="1" applyAlignment="1">
      <alignment horizontal="left"/>
    </xf>
    <xf numFmtId="0" fontId="0" fillId="8" borderId="35" xfId="0" applyFill="1" applyBorder="1" applyAlignment="1">
      <alignment horizontal="left" vertical="top" wrapText="1"/>
    </xf>
    <xf numFmtId="0" fontId="0" fillId="7" borderId="35" xfId="0" applyFill="1" applyBorder="1" applyAlignment="1">
      <alignment horizontal="left" vertical="top" wrapText="1"/>
    </xf>
    <xf numFmtId="0" fontId="2" fillId="13" borderId="37" xfId="0" applyFont="1" applyFill="1" applyBorder="1" applyAlignment="1">
      <alignment horizontal="left"/>
    </xf>
    <xf numFmtId="0" fontId="2" fillId="13" borderId="9" xfId="0" applyFont="1" applyFill="1" applyBorder="1" applyAlignment="1">
      <alignment horizontal="left"/>
    </xf>
    <xf numFmtId="0" fontId="2" fillId="13" borderId="10" xfId="0" applyFont="1" applyFill="1" applyBorder="1" applyAlignment="1">
      <alignment horizontal="left"/>
    </xf>
    <xf numFmtId="0" fontId="0" fillId="0" borderId="26" xfId="0" applyBorder="1" applyAlignment="1" applyProtection="1">
      <alignment horizontal="left" indent="1"/>
      <protection locked="0"/>
    </xf>
    <xf numFmtId="0" fontId="0" fillId="0" borderId="27" xfId="0" applyBorder="1" applyAlignment="1" applyProtection="1">
      <alignment horizontal="left" indent="1"/>
      <protection locked="0"/>
    </xf>
    <xf numFmtId="0" fontId="0" fillId="0" borderId="28" xfId="0" applyBorder="1" applyAlignment="1" applyProtection="1">
      <alignment horizontal="left" indent="1"/>
      <protection locked="0"/>
    </xf>
    <xf numFmtId="0" fontId="3" fillId="2" borderId="17" xfId="0" applyFont="1" applyFill="1" applyBorder="1" applyAlignment="1">
      <alignment horizontal="center" vertical="center" wrapText="1"/>
    </xf>
    <xf numFmtId="0" fontId="3" fillId="2" borderId="44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 vertical="center" wrapText="1"/>
    </xf>
    <xf numFmtId="0" fontId="3" fillId="12" borderId="1" xfId="0" applyFont="1" applyFill="1" applyBorder="1" applyAlignment="1">
      <alignment horizontal="center" vertical="center" wrapText="1"/>
    </xf>
  </cellXfs>
  <cellStyles count="2">
    <cellStyle name="Normal" xfId="0" builtinId="0"/>
    <cellStyle name="Normal 2" xfId="1" xr:uid="{00000000-0005-0000-0000-000001000000}"/>
  </cellStyles>
  <dxfs count="7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59996337778862885"/>
        </patternFill>
      </fill>
    </dxf>
    <dxf>
      <font>
        <b val="0"/>
        <i/>
      </font>
      <fill>
        <patternFill>
          <bgColor theme="3" tint="0.39994506668294322"/>
        </patternFill>
      </fill>
    </dxf>
    <dxf>
      <font>
        <b val="0"/>
        <i/>
      </font>
      <fill>
        <patternFill>
          <bgColor theme="3" tint="0.39994506668294322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6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7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19050</xdr:rowOff>
    </xdr:from>
    <xdr:to>
      <xdr:col>3</xdr:col>
      <xdr:colOff>66675</xdr:colOff>
      <xdr:row>2</xdr:row>
      <xdr:rowOff>209550</xdr:rowOff>
    </xdr:to>
    <xdr:pic>
      <xdr:nvPicPr>
        <xdr:cNvPr id="3" name="Picture 2" descr="HMRC14-ENG-blk-35mm-CPS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209550"/>
          <a:ext cx="127635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51</xdr:row>
      <xdr:rowOff>188702</xdr:rowOff>
    </xdr:from>
    <xdr:to>
      <xdr:col>12</xdr:col>
      <xdr:colOff>600521</xdr:colOff>
      <xdr:row>88</xdr:row>
      <xdr:rowOff>69464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A94D04C-70B2-4D47-9FEE-7294F44E6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1038" y="9614858"/>
          <a:ext cx="7316221" cy="685895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Admin"/>
  <dimension ref="A1:G2"/>
  <sheetViews>
    <sheetView workbookViewId="0">
      <pane ySplit="1" topLeftCell="A2" activePane="bottomLeft" state="frozenSplit"/>
      <selection pane="bottomLeft" activeCell="F4" sqref="F4"/>
    </sheetView>
  </sheetViews>
  <sheetFormatPr defaultColWidth="9.1796875" defaultRowHeight="14.5" x14ac:dyDescent="0.35"/>
  <cols>
    <col min="1" max="1" width="36.453125" style="372" customWidth="1"/>
    <col min="2" max="6" width="9.1796875" style="372"/>
    <col min="7" max="7" width="21.453125" style="372" customWidth="1"/>
    <col min="8" max="16384" width="9.1796875" style="372"/>
  </cols>
  <sheetData>
    <row r="1" spans="1:7" x14ac:dyDescent="0.35">
      <c r="A1" s="369" t="s">
        <v>0</v>
      </c>
      <c r="B1" s="370" t="s">
        <v>1</v>
      </c>
      <c r="C1" s="370" t="s">
        <v>2</v>
      </c>
      <c r="D1" s="370" t="s">
        <v>3</v>
      </c>
      <c r="E1" s="370" t="s">
        <v>4</v>
      </c>
      <c r="F1" s="370" t="s">
        <v>5</v>
      </c>
      <c r="G1" s="371" t="s">
        <v>6</v>
      </c>
    </row>
    <row r="2" spans="1:7" x14ac:dyDescent="0.35">
      <c r="A2" s="372" t="s">
        <v>7</v>
      </c>
      <c r="B2" s="373"/>
      <c r="C2" s="374">
        <v>2</v>
      </c>
      <c r="D2" s="374">
        <v>0</v>
      </c>
      <c r="E2" s="374">
        <v>1</v>
      </c>
      <c r="F2" s="374">
        <v>7</v>
      </c>
      <c r="G2" s="372" t="b">
        <v>1</v>
      </c>
    </row>
  </sheetData>
  <sheetProtection selectLockedCells="1"/>
  <pageMargins left="0.7" right="0.7" top="0.75" bottom="0.75" header="0.3" footer="0.3"/>
  <pageSetup paperSize="9" orientation="portrait" horizontalDpi="90" verticalDpi="90" r:id="rId1"/>
  <headerFooter>
    <oddFooter>&amp;C&amp;1#&amp;"Calibri"&amp;10&amp;K000000OFFICIAL-SENSITIVE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Notes"/>
  <dimension ref="A1:B501"/>
  <sheetViews>
    <sheetView showGridLines="0" workbookViewId="0">
      <pane ySplit="1" topLeftCell="A2" activePane="bottomLeft" state="frozenSplit"/>
      <selection pane="bottomLeft" activeCell="A2" sqref="A2:A3"/>
    </sheetView>
  </sheetViews>
  <sheetFormatPr defaultRowHeight="14.5" x14ac:dyDescent="0.35"/>
  <cols>
    <col min="1" max="1" width="150.7265625" customWidth="1"/>
    <col min="2" max="2" width="9.1796875" style="228"/>
  </cols>
  <sheetData>
    <row r="1" spans="1:2" x14ac:dyDescent="0.35">
      <c r="A1" s="89" t="s">
        <v>8</v>
      </c>
      <c r="B1" s="228" t="s">
        <v>9</v>
      </c>
    </row>
    <row r="2" spans="1:2" x14ac:dyDescent="0.35">
      <c r="A2" s="181"/>
    </row>
    <row r="3" spans="1:2" x14ac:dyDescent="0.35">
      <c r="A3" s="181"/>
    </row>
    <row r="4" spans="1:2" x14ac:dyDescent="0.35">
      <c r="A4" s="181"/>
    </row>
    <row r="5" spans="1:2" x14ac:dyDescent="0.35">
      <c r="A5" s="181"/>
    </row>
    <row r="6" spans="1:2" x14ac:dyDescent="0.35">
      <c r="A6" s="181"/>
    </row>
    <row r="7" spans="1:2" x14ac:dyDescent="0.35">
      <c r="A7" s="181"/>
    </row>
    <row r="8" spans="1:2" x14ac:dyDescent="0.35">
      <c r="A8" s="181"/>
    </row>
    <row r="9" spans="1:2" x14ac:dyDescent="0.35">
      <c r="A9" s="181"/>
    </row>
    <row r="10" spans="1:2" x14ac:dyDescent="0.35">
      <c r="A10" s="181"/>
    </row>
    <row r="11" spans="1:2" x14ac:dyDescent="0.35">
      <c r="A11" s="181"/>
    </row>
    <row r="12" spans="1:2" x14ac:dyDescent="0.35">
      <c r="A12" s="181"/>
    </row>
    <row r="13" spans="1:2" x14ac:dyDescent="0.35">
      <c r="A13" s="181"/>
    </row>
    <row r="14" spans="1:2" x14ac:dyDescent="0.35">
      <c r="A14" s="181"/>
    </row>
    <row r="15" spans="1:2" x14ac:dyDescent="0.35">
      <c r="A15" s="181"/>
    </row>
    <row r="16" spans="1:2" x14ac:dyDescent="0.35">
      <c r="A16" s="181"/>
    </row>
    <row r="17" spans="1:1" x14ac:dyDescent="0.35">
      <c r="A17" s="181"/>
    </row>
    <row r="18" spans="1:1" x14ac:dyDescent="0.35">
      <c r="A18" s="181"/>
    </row>
    <row r="19" spans="1:1" x14ac:dyDescent="0.35">
      <c r="A19" s="181"/>
    </row>
    <row r="20" spans="1:1" x14ac:dyDescent="0.35">
      <c r="A20" s="181"/>
    </row>
    <row r="21" spans="1:1" x14ac:dyDescent="0.35">
      <c r="A21" s="181"/>
    </row>
    <row r="22" spans="1:1" x14ac:dyDescent="0.35">
      <c r="A22" s="181"/>
    </row>
    <row r="23" spans="1:1" x14ac:dyDescent="0.35">
      <c r="A23" s="181"/>
    </row>
    <row r="24" spans="1:1" x14ac:dyDescent="0.35">
      <c r="A24" s="181"/>
    </row>
    <row r="25" spans="1:1" x14ac:dyDescent="0.35">
      <c r="A25" s="181"/>
    </row>
    <row r="26" spans="1:1" x14ac:dyDescent="0.35">
      <c r="A26" s="181"/>
    </row>
    <row r="27" spans="1:1" x14ac:dyDescent="0.35">
      <c r="A27" s="181"/>
    </row>
    <row r="28" spans="1:1" x14ac:dyDescent="0.35">
      <c r="A28" s="181"/>
    </row>
    <row r="29" spans="1:1" x14ac:dyDescent="0.35">
      <c r="A29" s="181"/>
    </row>
    <row r="30" spans="1:1" x14ac:dyDescent="0.35">
      <c r="A30" s="181"/>
    </row>
    <row r="31" spans="1:1" x14ac:dyDescent="0.35">
      <c r="A31" s="181"/>
    </row>
    <row r="32" spans="1:1" x14ac:dyDescent="0.35">
      <c r="A32" s="181"/>
    </row>
    <row r="33" spans="1:1" x14ac:dyDescent="0.35">
      <c r="A33" s="181"/>
    </row>
    <row r="34" spans="1:1" x14ac:dyDescent="0.35">
      <c r="A34" s="181"/>
    </row>
    <row r="35" spans="1:1" x14ac:dyDescent="0.35">
      <c r="A35" s="181"/>
    </row>
    <row r="36" spans="1:1" x14ac:dyDescent="0.35">
      <c r="A36" s="181"/>
    </row>
    <row r="37" spans="1:1" x14ac:dyDescent="0.35">
      <c r="A37" s="181"/>
    </row>
    <row r="38" spans="1:1" x14ac:dyDescent="0.35">
      <c r="A38" s="181"/>
    </row>
    <row r="39" spans="1:1" x14ac:dyDescent="0.35">
      <c r="A39" s="181"/>
    </row>
    <row r="40" spans="1:1" x14ac:dyDescent="0.35">
      <c r="A40" s="181"/>
    </row>
    <row r="41" spans="1:1" x14ac:dyDescent="0.35">
      <c r="A41" s="181"/>
    </row>
    <row r="42" spans="1:1" x14ac:dyDescent="0.35">
      <c r="A42" s="181"/>
    </row>
    <row r="43" spans="1:1" x14ac:dyDescent="0.35">
      <c r="A43" s="181"/>
    </row>
    <row r="44" spans="1:1" x14ac:dyDescent="0.35">
      <c r="A44" s="181"/>
    </row>
    <row r="45" spans="1:1" x14ac:dyDescent="0.35">
      <c r="A45" s="181"/>
    </row>
    <row r="46" spans="1:1" x14ac:dyDescent="0.35">
      <c r="A46" s="181"/>
    </row>
    <row r="47" spans="1:1" x14ac:dyDescent="0.35">
      <c r="A47" s="181"/>
    </row>
    <row r="48" spans="1:1" x14ac:dyDescent="0.35">
      <c r="A48" s="181"/>
    </row>
    <row r="49" spans="1:1" x14ac:dyDescent="0.35">
      <c r="A49" s="181"/>
    </row>
    <row r="50" spans="1:1" x14ac:dyDescent="0.35">
      <c r="A50" s="181"/>
    </row>
    <row r="51" spans="1:1" x14ac:dyDescent="0.35">
      <c r="A51" s="181"/>
    </row>
    <row r="52" spans="1:1" x14ac:dyDescent="0.35">
      <c r="A52" s="181"/>
    </row>
    <row r="53" spans="1:1" x14ac:dyDescent="0.35">
      <c r="A53" s="181"/>
    </row>
    <row r="54" spans="1:1" x14ac:dyDescent="0.35">
      <c r="A54" s="181"/>
    </row>
    <row r="55" spans="1:1" x14ac:dyDescent="0.35">
      <c r="A55" s="181"/>
    </row>
    <row r="56" spans="1:1" x14ac:dyDescent="0.35">
      <c r="A56" s="181"/>
    </row>
    <row r="57" spans="1:1" x14ac:dyDescent="0.35">
      <c r="A57" s="181"/>
    </row>
    <row r="58" spans="1:1" x14ac:dyDescent="0.35">
      <c r="A58" s="181"/>
    </row>
    <row r="59" spans="1:1" x14ac:dyDescent="0.35">
      <c r="A59" s="181"/>
    </row>
    <row r="60" spans="1:1" x14ac:dyDescent="0.35">
      <c r="A60" s="181"/>
    </row>
    <row r="61" spans="1:1" x14ac:dyDescent="0.35">
      <c r="A61" s="181"/>
    </row>
    <row r="62" spans="1:1" x14ac:dyDescent="0.35">
      <c r="A62" s="181"/>
    </row>
    <row r="63" spans="1:1" x14ac:dyDescent="0.35">
      <c r="A63" s="181"/>
    </row>
    <row r="64" spans="1:1" x14ac:dyDescent="0.35">
      <c r="A64" s="181"/>
    </row>
    <row r="65" spans="1:1" x14ac:dyDescent="0.35">
      <c r="A65" s="181"/>
    </row>
    <row r="66" spans="1:1" x14ac:dyDescent="0.35">
      <c r="A66" s="181"/>
    </row>
    <row r="67" spans="1:1" x14ac:dyDescent="0.35">
      <c r="A67" s="181"/>
    </row>
    <row r="68" spans="1:1" x14ac:dyDescent="0.35">
      <c r="A68" s="181"/>
    </row>
    <row r="69" spans="1:1" x14ac:dyDescent="0.35">
      <c r="A69" s="181"/>
    </row>
    <row r="70" spans="1:1" x14ac:dyDescent="0.35">
      <c r="A70" s="181"/>
    </row>
    <row r="71" spans="1:1" x14ac:dyDescent="0.35">
      <c r="A71" s="181"/>
    </row>
    <row r="72" spans="1:1" x14ac:dyDescent="0.35">
      <c r="A72" s="181"/>
    </row>
    <row r="73" spans="1:1" x14ac:dyDescent="0.35">
      <c r="A73" s="181"/>
    </row>
    <row r="74" spans="1:1" x14ac:dyDescent="0.35">
      <c r="A74" s="181"/>
    </row>
    <row r="75" spans="1:1" x14ac:dyDescent="0.35">
      <c r="A75" s="181"/>
    </row>
    <row r="76" spans="1:1" x14ac:dyDescent="0.35">
      <c r="A76" s="181"/>
    </row>
    <row r="77" spans="1:1" x14ac:dyDescent="0.35">
      <c r="A77" s="181"/>
    </row>
    <row r="78" spans="1:1" x14ac:dyDescent="0.35">
      <c r="A78" s="181"/>
    </row>
    <row r="79" spans="1:1" x14ac:dyDescent="0.35">
      <c r="A79" s="181"/>
    </row>
    <row r="80" spans="1:1" x14ac:dyDescent="0.35">
      <c r="A80" s="181"/>
    </row>
    <row r="81" spans="1:1" x14ac:dyDescent="0.35">
      <c r="A81" s="181"/>
    </row>
    <row r="82" spans="1:1" x14ac:dyDescent="0.35">
      <c r="A82" s="181"/>
    </row>
    <row r="83" spans="1:1" x14ac:dyDescent="0.35">
      <c r="A83" s="181"/>
    </row>
    <row r="84" spans="1:1" x14ac:dyDescent="0.35">
      <c r="A84" s="181"/>
    </row>
    <row r="85" spans="1:1" x14ac:dyDescent="0.35">
      <c r="A85" s="181"/>
    </row>
    <row r="86" spans="1:1" x14ac:dyDescent="0.35">
      <c r="A86" s="181"/>
    </row>
    <row r="87" spans="1:1" x14ac:dyDescent="0.35">
      <c r="A87" s="181"/>
    </row>
    <row r="88" spans="1:1" x14ac:dyDescent="0.35">
      <c r="A88" s="181"/>
    </row>
    <row r="89" spans="1:1" x14ac:dyDescent="0.35">
      <c r="A89" s="181"/>
    </row>
    <row r="90" spans="1:1" x14ac:dyDescent="0.35">
      <c r="A90" s="181"/>
    </row>
    <row r="91" spans="1:1" x14ac:dyDescent="0.35">
      <c r="A91" s="181"/>
    </row>
    <row r="92" spans="1:1" x14ac:dyDescent="0.35">
      <c r="A92" s="181"/>
    </row>
    <row r="93" spans="1:1" x14ac:dyDescent="0.35">
      <c r="A93" s="181"/>
    </row>
    <row r="94" spans="1:1" x14ac:dyDescent="0.35">
      <c r="A94" s="181"/>
    </row>
    <row r="95" spans="1:1" x14ac:dyDescent="0.35">
      <c r="A95" s="181"/>
    </row>
    <row r="96" spans="1:1" x14ac:dyDescent="0.35">
      <c r="A96" s="181"/>
    </row>
    <row r="97" spans="1:1" x14ac:dyDescent="0.35">
      <c r="A97" s="181"/>
    </row>
    <row r="98" spans="1:1" x14ac:dyDescent="0.35">
      <c r="A98" s="181"/>
    </row>
    <row r="99" spans="1:1" x14ac:dyDescent="0.35">
      <c r="A99" s="181"/>
    </row>
    <row r="100" spans="1:1" x14ac:dyDescent="0.35">
      <c r="A100" s="181"/>
    </row>
    <row r="101" spans="1:1" x14ac:dyDescent="0.35">
      <c r="A101" s="181"/>
    </row>
    <row r="102" spans="1:1" x14ac:dyDescent="0.35">
      <c r="A102" s="181"/>
    </row>
    <row r="103" spans="1:1" x14ac:dyDescent="0.35">
      <c r="A103" s="181"/>
    </row>
    <row r="104" spans="1:1" x14ac:dyDescent="0.35">
      <c r="A104" s="181"/>
    </row>
    <row r="105" spans="1:1" x14ac:dyDescent="0.35">
      <c r="A105" s="181"/>
    </row>
    <row r="106" spans="1:1" x14ac:dyDescent="0.35">
      <c r="A106" s="181"/>
    </row>
    <row r="107" spans="1:1" x14ac:dyDescent="0.35">
      <c r="A107" s="181"/>
    </row>
    <row r="108" spans="1:1" x14ac:dyDescent="0.35">
      <c r="A108" s="181"/>
    </row>
    <row r="109" spans="1:1" x14ac:dyDescent="0.35">
      <c r="A109" s="181"/>
    </row>
    <row r="110" spans="1:1" x14ac:dyDescent="0.35">
      <c r="A110" s="181"/>
    </row>
    <row r="111" spans="1:1" x14ac:dyDescent="0.35">
      <c r="A111" s="181"/>
    </row>
    <row r="112" spans="1:1" x14ac:dyDescent="0.35">
      <c r="A112" s="181"/>
    </row>
    <row r="113" spans="1:1" x14ac:dyDescent="0.35">
      <c r="A113" s="181"/>
    </row>
    <row r="114" spans="1:1" x14ac:dyDescent="0.35">
      <c r="A114" s="181"/>
    </row>
    <row r="115" spans="1:1" x14ac:dyDescent="0.35">
      <c r="A115" s="181"/>
    </row>
    <row r="116" spans="1:1" x14ac:dyDescent="0.35">
      <c r="A116" s="181"/>
    </row>
    <row r="117" spans="1:1" x14ac:dyDescent="0.35">
      <c r="A117" s="181"/>
    </row>
    <row r="118" spans="1:1" x14ac:dyDescent="0.35">
      <c r="A118" s="181"/>
    </row>
    <row r="119" spans="1:1" x14ac:dyDescent="0.35">
      <c r="A119" s="181"/>
    </row>
    <row r="120" spans="1:1" x14ac:dyDescent="0.35">
      <c r="A120" s="181"/>
    </row>
    <row r="121" spans="1:1" x14ac:dyDescent="0.35">
      <c r="A121" s="181"/>
    </row>
    <row r="122" spans="1:1" x14ac:dyDescent="0.35">
      <c r="A122" s="181"/>
    </row>
    <row r="123" spans="1:1" x14ac:dyDescent="0.35">
      <c r="A123" s="181"/>
    </row>
    <row r="124" spans="1:1" x14ac:dyDescent="0.35">
      <c r="A124" s="181"/>
    </row>
    <row r="125" spans="1:1" x14ac:dyDescent="0.35">
      <c r="A125" s="181"/>
    </row>
    <row r="126" spans="1:1" x14ac:dyDescent="0.35">
      <c r="A126" s="181"/>
    </row>
    <row r="127" spans="1:1" x14ac:dyDescent="0.35">
      <c r="A127" s="181"/>
    </row>
    <row r="128" spans="1:1" x14ac:dyDescent="0.35">
      <c r="A128" s="181"/>
    </row>
    <row r="129" spans="1:1" x14ac:dyDescent="0.35">
      <c r="A129" s="181"/>
    </row>
    <row r="130" spans="1:1" x14ac:dyDescent="0.35">
      <c r="A130" s="181"/>
    </row>
    <row r="131" spans="1:1" x14ac:dyDescent="0.35">
      <c r="A131" s="181"/>
    </row>
    <row r="132" spans="1:1" x14ac:dyDescent="0.35">
      <c r="A132" s="181"/>
    </row>
    <row r="133" spans="1:1" x14ac:dyDescent="0.35">
      <c r="A133" s="181"/>
    </row>
    <row r="134" spans="1:1" x14ac:dyDescent="0.35">
      <c r="A134" s="181"/>
    </row>
    <row r="135" spans="1:1" x14ac:dyDescent="0.35">
      <c r="A135" s="181"/>
    </row>
    <row r="136" spans="1:1" x14ac:dyDescent="0.35">
      <c r="A136" s="181"/>
    </row>
    <row r="137" spans="1:1" x14ac:dyDescent="0.35">
      <c r="A137" s="181"/>
    </row>
    <row r="138" spans="1:1" x14ac:dyDescent="0.35">
      <c r="A138" s="181"/>
    </row>
    <row r="139" spans="1:1" x14ac:dyDescent="0.35">
      <c r="A139" s="181"/>
    </row>
    <row r="140" spans="1:1" x14ac:dyDescent="0.35">
      <c r="A140" s="181"/>
    </row>
    <row r="141" spans="1:1" x14ac:dyDescent="0.35">
      <c r="A141" s="181"/>
    </row>
    <row r="142" spans="1:1" x14ac:dyDescent="0.35">
      <c r="A142" s="181"/>
    </row>
    <row r="143" spans="1:1" x14ac:dyDescent="0.35">
      <c r="A143" s="181"/>
    </row>
    <row r="144" spans="1:1" x14ac:dyDescent="0.35">
      <c r="A144" s="181"/>
    </row>
    <row r="145" spans="1:1" x14ac:dyDescent="0.35">
      <c r="A145" s="181"/>
    </row>
    <row r="146" spans="1:1" x14ac:dyDescent="0.35">
      <c r="A146" s="181"/>
    </row>
    <row r="147" spans="1:1" x14ac:dyDescent="0.35">
      <c r="A147" s="181"/>
    </row>
    <row r="148" spans="1:1" x14ac:dyDescent="0.35">
      <c r="A148" s="181"/>
    </row>
    <row r="149" spans="1:1" x14ac:dyDescent="0.35">
      <c r="A149" s="181"/>
    </row>
    <row r="150" spans="1:1" x14ac:dyDescent="0.35">
      <c r="A150" s="181"/>
    </row>
    <row r="151" spans="1:1" x14ac:dyDescent="0.35">
      <c r="A151" s="181"/>
    </row>
    <row r="152" spans="1:1" x14ac:dyDescent="0.35">
      <c r="A152" s="181"/>
    </row>
    <row r="153" spans="1:1" x14ac:dyDescent="0.35">
      <c r="A153" s="181"/>
    </row>
    <row r="154" spans="1:1" x14ac:dyDescent="0.35">
      <c r="A154" s="181"/>
    </row>
    <row r="155" spans="1:1" x14ac:dyDescent="0.35">
      <c r="A155" s="181"/>
    </row>
    <row r="156" spans="1:1" x14ac:dyDescent="0.35">
      <c r="A156" s="181"/>
    </row>
    <row r="157" spans="1:1" x14ac:dyDescent="0.35">
      <c r="A157" s="181"/>
    </row>
    <row r="158" spans="1:1" x14ac:dyDescent="0.35">
      <c r="A158" s="181"/>
    </row>
    <row r="159" spans="1:1" x14ac:dyDescent="0.35">
      <c r="A159" s="181"/>
    </row>
    <row r="160" spans="1:1" x14ac:dyDescent="0.35">
      <c r="A160" s="181"/>
    </row>
    <row r="161" spans="1:1" x14ac:dyDescent="0.35">
      <c r="A161" s="181"/>
    </row>
    <row r="162" spans="1:1" x14ac:dyDescent="0.35">
      <c r="A162" s="181"/>
    </row>
    <row r="163" spans="1:1" x14ac:dyDescent="0.35">
      <c r="A163" s="181"/>
    </row>
    <row r="164" spans="1:1" x14ac:dyDescent="0.35">
      <c r="A164" s="181"/>
    </row>
    <row r="165" spans="1:1" x14ac:dyDescent="0.35">
      <c r="A165" s="181"/>
    </row>
    <row r="166" spans="1:1" x14ac:dyDescent="0.35">
      <c r="A166" s="181"/>
    </row>
    <row r="167" spans="1:1" x14ac:dyDescent="0.35">
      <c r="A167" s="181"/>
    </row>
    <row r="168" spans="1:1" x14ac:dyDescent="0.35">
      <c r="A168" s="181"/>
    </row>
    <row r="169" spans="1:1" x14ac:dyDescent="0.35">
      <c r="A169" s="181"/>
    </row>
    <row r="170" spans="1:1" x14ac:dyDescent="0.35">
      <c r="A170" s="181"/>
    </row>
    <row r="171" spans="1:1" x14ac:dyDescent="0.35">
      <c r="A171" s="181"/>
    </row>
    <row r="172" spans="1:1" x14ac:dyDescent="0.35">
      <c r="A172" s="181"/>
    </row>
    <row r="173" spans="1:1" x14ac:dyDescent="0.35">
      <c r="A173" s="181"/>
    </row>
    <row r="174" spans="1:1" x14ac:dyDescent="0.35">
      <c r="A174" s="181"/>
    </row>
    <row r="175" spans="1:1" x14ac:dyDescent="0.35">
      <c r="A175" s="181"/>
    </row>
    <row r="176" spans="1:1" x14ac:dyDescent="0.35">
      <c r="A176" s="181"/>
    </row>
    <row r="177" spans="1:1" x14ac:dyDescent="0.35">
      <c r="A177" s="181"/>
    </row>
    <row r="178" spans="1:1" x14ac:dyDescent="0.35">
      <c r="A178" s="181"/>
    </row>
    <row r="179" spans="1:1" x14ac:dyDescent="0.35">
      <c r="A179" s="181"/>
    </row>
    <row r="180" spans="1:1" x14ac:dyDescent="0.35">
      <c r="A180" s="181"/>
    </row>
    <row r="181" spans="1:1" x14ac:dyDescent="0.35">
      <c r="A181" s="181"/>
    </row>
    <row r="182" spans="1:1" x14ac:dyDescent="0.35">
      <c r="A182" s="181"/>
    </row>
    <row r="183" spans="1:1" x14ac:dyDescent="0.35">
      <c r="A183" s="181"/>
    </row>
    <row r="184" spans="1:1" x14ac:dyDescent="0.35">
      <c r="A184" s="181"/>
    </row>
    <row r="185" spans="1:1" x14ac:dyDescent="0.35">
      <c r="A185" s="181"/>
    </row>
    <row r="186" spans="1:1" x14ac:dyDescent="0.35">
      <c r="A186" s="181"/>
    </row>
    <row r="187" spans="1:1" x14ac:dyDescent="0.35">
      <c r="A187" s="181"/>
    </row>
    <row r="188" spans="1:1" x14ac:dyDescent="0.35">
      <c r="A188" s="181"/>
    </row>
    <row r="189" spans="1:1" x14ac:dyDescent="0.35">
      <c r="A189" s="181"/>
    </row>
    <row r="190" spans="1:1" x14ac:dyDescent="0.35">
      <c r="A190" s="181"/>
    </row>
    <row r="191" spans="1:1" x14ac:dyDescent="0.35">
      <c r="A191" s="181"/>
    </row>
    <row r="192" spans="1:1" x14ac:dyDescent="0.35">
      <c r="A192" s="181"/>
    </row>
    <row r="193" spans="1:1" x14ac:dyDescent="0.35">
      <c r="A193" s="181"/>
    </row>
    <row r="194" spans="1:1" x14ac:dyDescent="0.35">
      <c r="A194" s="181"/>
    </row>
    <row r="195" spans="1:1" x14ac:dyDescent="0.35">
      <c r="A195" s="181"/>
    </row>
    <row r="196" spans="1:1" x14ac:dyDescent="0.35">
      <c r="A196" s="181"/>
    </row>
    <row r="197" spans="1:1" x14ac:dyDescent="0.35">
      <c r="A197" s="181"/>
    </row>
    <row r="198" spans="1:1" x14ac:dyDescent="0.35">
      <c r="A198" s="181"/>
    </row>
    <row r="199" spans="1:1" x14ac:dyDescent="0.35">
      <c r="A199" s="181"/>
    </row>
    <row r="200" spans="1:1" x14ac:dyDescent="0.35">
      <c r="A200" s="181"/>
    </row>
    <row r="201" spans="1:1" x14ac:dyDescent="0.35">
      <c r="A201" s="181"/>
    </row>
    <row r="202" spans="1:1" x14ac:dyDescent="0.35">
      <c r="A202" s="181"/>
    </row>
    <row r="203" spans="1:1" x14ac:dyDescent="0.35">
      <c r="A203" s="181"/>
    </row>
    <row r="204" spans="1:1" x14ac:dyDescent="0.35">
      <c r="A204" s="181"/>
    </row>
    <row r="205" spans="1:1" x14ac:dyDescent="0.35">
      <c r="A205" s="181"/>
    </row>
    <row r="206" spans="1:1" x14ac:dyDescent="0.35">
      <c r="A206" s="181"/>
    </row>
    <row r="207" spans="1:1" x14ac:dyDescent="0.35">
      <c r="A207" s="181"/>
    </row>
    <row r="208" spans="1:1" x14ac:dyDescent="0.35">
      <c r="A208" s="181"/>
    </row>
    <row r="209" spans="1:1" x14ac:dyDescent="0.35">
      <c r="A209" s="181"/>
    </row>
    <row r="210" spans="1:1" x14ac:dyDescent="0.35">
      <c r="A210" s="181"/>
    </row>
    <row r="211" spans="1:1" x14ac:dyDescent="0.35">
      <c r="A211" s="181"/>
    </row>
    <row r="212" spans="1:1" x14ac:dyDescent="0.35">
      <c r="A212" s="181"/>
    </row>
    <row r="213" spans="1:1" x14ac:dyDescent="0.35">
      <c r="A213" s="181"/>
    </row>
    <row r="214" spans="1:1" x14ac:dyDescent="0.35">
      <c r="A214" s="181"/>
    </row>
    <row r="215" spans="1:1" x14ac:dyDescent="0.35">
      <c r="A215" s="181"/>
    </row>
    <row r="216" spans="1:1" x14ac:dyDescent="0.35">
      <c r="A216" s="181"/>
    </row>
    <row r="217" spans="1:1" x14ac:dyDescent="0.35">
      <c r="A217" s="181"/>
    </row>
    <row r="218" spans="1:1" x14ac:dyDescent="0.35">
      <c r="A218" s="181"/>
    </row>
    <row r="219" spans="1:1" x14ac:dyDescent="0.35">
      <c r="A219" s="181"/>
    </row>
    <row r="220" spans="1:1" x14ac:dyDescent="0.35">
      <c r="A220" s="181"/>
    </row>
    <row r="221" spans="1:1" x14ac:dyDescent="0.35">
      <c r="A221" s="181"/>
    </row>
    <row r="222" spans="1:1" x14ac:dyDescent="0.35">
      <c r="A222" s="181"/>
    </row>
    <row r="223" spans="1:1" x14ac:dyDescent="0.35">
      <c r="A223" s="181"/>
    </row>
    <row r="224" spans="1:1" x14ac:dyDescent="0.35">
      <c r="A224" s="181"/>
    </row>
    <row r="225" spans="1:1" x14ac:dyDescent="0.35">
      <c r="A225" s="181"/>
    </row>
    <row r="226" spans="1:1" x14ac:dyDescent="0.35">
      <c r="A226" s="181"/>
    </row>
    <row r="227" spans="1:1" x14ac:dyDescent="0.35">
      <c r="A227" s="181"/>
    </row>
    <row r="228" spans="1:1" x14ac:dyDescent="0.35">
      <c r="A228" s="181"/>
    </row>
    <row r="229" spans="1:1" x14ac:dyDescent="0.35">
      <c r="A229" s="181"/>
    </row>
    <row r="230" spans="1:1" x14ac:dyDescent="0.35">
      <c r="A230" s="181"/>
    </row>
    <row r="231" spans="1:1" x14ac:dyDescent="0.35">
      <c r="A231" s="181"/>
    </row>
    <row r="232" spans="1:1" x14ac:dyDescent="0.35">
      <c r="A232" s="181"/>
    </row>
    <row r="233" spans="1:1" x14ac:dyDescent="0.35">
      <c r="A233" s="181"/>
    </row>
    <row r="234" spans="1:1" x14ac:dyDescent="0.35">
      <c r="A234" s="181"/>
    </row>
    <row r="235" spans="1:1" x14ac:dyDescent="0.35">
      <c r="A235" s="181"/>
    </row>
    <row r="236" spans="1:1" x14ac:dyDescent="0.35">
      <c r="A236" s="181"/>
    </row>
    <row r="237" spans="1:1" x14ac:dyDescent="0.35">
      <c r="A237" s="181"/>
    </row>
    <row r="238" spans="1:1" x14ac:dyDescent="0.35">
      <c r="A238" s="181"/>
    </row>
    <row r="239" spans="1:1" x14ac:dyDescent="0.35">
      <c r="A239" s="181"/>
    </row>
    <row r="240" spans="1:1" x14ac:dyDescent="0.35">
      <c r="A240" s="181"/>
    </row>
    <row r="241" spans="1:1" x14ac:dyDescent="0.35">
      <c r="A241" s="181"/>
    </row>
    <row r="242" spans="1:1" x14ac:dyDescent="0.35">
      <c r="A242" s="181"/>
    </row>
    <row r="243" spans="1:1" x14ac:dyDescent="0.35">
      <c r="A243" s="181"/>
    </row>
    <row r="244" spans="1:1" x14ac:dyDescent="0.35">
      <c r="A244" s="181"/>
    </row>
    <row r="245" spans="1:1" x14ac:dyDescent="0.35">
      <c r="A245" s="181"/>
    </row>
    <row r="246" spans="1:1" x14ac:dyDescent="0.35">
      <c r="A246" s="181"/>
    </row>
    <row r="247" spans="1:1" x14ac:dyDescent="0.35">
      <c r="A247" s="181"/>
    </row>
    <row r="248" spans="1:1" x14ac:dyDescent="0.35">
      <c r="A248" s="181"/>
    </row>
    <row r="249" spans="1:1" x14ac:dyDescent="0.35">
      <c r="A249" s="181"/>
    </row>
    <row r="250" spans="1:1" x14ac:dyDescent="0.35">
      <c r="A250" s="181"/>
    </row>
    <row r="251" spans="1:1" x14ac:dyDescent="0.35">
      <c r="A251" s="181"/>
    </row>
    <row r="252" spans="1:1" x14ac:dyDescent="0.35">
      <c r="A252" s="181"/>
    </row>
    <row r="253" spans="1:1" x14ac:dyDescent="0.35">
      <c r="A253" s="181"/>
    </row>
    <row r="254" spans="1:1" x14ac:dyDescent="0.35">
      <c r="A254" s="181"/>
    </row>
    <row r="255" spans="1:1" x14ac:dyDescent="0.35">
      <c r="A255" s="181"/>
    </row>
    <row r="256" spans="1:1" x14ac:dyDescent="0.35">
      <c r="A256" s="181"/>
    </row>
    <row r="257" spans="1:1" x14ac:dyDescent="0.35">
      <c r="A257" s="181"/>
    </row>
    <row r="258" spans="1:1" x14ac:dyDescent="0.35">
      <c r="A258" s="181"/>
    </row>
    <row r="259" spans="1:1" x14ac:dyDescent="0.35">
      <c r="A259" s="181"/>
    </row>
    <row r="260" spans="1:1" x14ac:dyDescent="0.35">
      <c r="A260" s="181"/>
    </row>
    <row r="261" spans="1:1" x14ac:dyDescent="0.35">
      <c r="A261" s="181"/>
    </row>
    <row r="262" spans="1:1" x14ac:dyDescent="0.35">
      <c r="A262" s="181"/>
    </row>
    <row r="263" spans="1:1" x14ac:dyDescent="0.35">
      <c r="A263" s="181"/>
    </row>
    <row r="264" spans="1:1" x14ac:dyDescent="0.35">
      <c r="A264" s="181"/>
    </row>
    <row r="265" spans="1:1" x14ac:dyDescent="0.35">
      <c r="A265" s="181"/>
    </row>
    <row r="266" spans="1:1" x14ac:dyDescent="0.35">
      <c r="A266" s="181"/>
    </row>
    <row r="267" spans="1:1" x14ac:dyDescent="0.35">
      <c r="A267" s="181"/>
    </row>
    <row r="268" spans="1:1" x14ac:dyDescent="0.35">
      <c r="A268" s="181"/>
    </row>
    <row r="269" spans="1:1" x14ac:dyDescent="0.35">
      <c r="A269" s="181"/>
    </row>
    <row r="270" spans="1:1" x14ac:dyDescent="0.35">
      <c r="A270" s="181"/>
    </row>
    <row r="271" spans="1:1" x14ac:dyDescent="0.35">
      <c r="A271" s="181"/>
    </row>
    <row r="272" spans="1:1" x14ac:dyDescent="0.35">
      <c r="A272" s="181"/>
    </row>
    <row r="273" spans="1:1" x14ac:dyDescent="0.35">
      <c r="A273" s="181"/>
    </row>
    <row r="274" spans="1:1" x14ac:dyDescent="0.35">
      <c r="A274" s="181"/>
    </row>
    <row r="275" spans="1:1" x14ac:dyDescent="0.35">
      <c r="A275" s="181"/>
    </row>
    <row r="276" spans="1:1" x14ac:dyDescent="0.35">
      <c r="A276" s="181"/>
    </row>
    <row r="277" spans="1:1" x14ac:dyDescent="0.35">
      <c r="A277" s="181"/>
    </row>
    <row r="278" spans="1:1" x14ac:dyDescent="0.35">
      <c r="A278" s="181"/>
    </row>
    <row r="279" spans="1:1" x14ac:dyDescent="0.35">
      <c r="A279" s="181"/>
    </row>
    <row r="280" spans="1:1" x14ac:dyDescent="0.35">
      <c r="A280" s="181"/>
    </row>
    <row r="281" spans="1:1" x14ac:dyDescent="0.35">
      <c r="A281" s="181"/>
    </row>
    <row r="282" spans="1:1" x14ac:dyDescent="0.35">
      <c r="A282" s="181"/>
    </row>
    <row r="283" spans="1:1" x14ac:dyDescent="0.35">
      <c r="A283" s="181"/>
    </row>
    <row r="284" spans="1:1" x14ac:dyDescent="0.35">
      <c r="A284" s="181"/>
    </row>
    <row r="285" spans="1:1" x14ac:dyDescent="0.35">
      <c r="A285" s="181"/>
    </row>
    <row r="286" spans="1:1" x14ac:dyDescent="0.35">
      <c r="A286" s="181"/>
    </row>
    <row r="287" spans="1:1" x14ac:dyDescent="0.35">
      <c r="A287" s="181"/>
    </row>
    <row r="288" spans="1:1" x14ac:dyDescent="0.35">
      <c r="A288" s="181"/>
    </row>
    <row r="289" spans="1:1" x14ac:dyDescent="0.35">
      <c r="A289" s="181"/>
    </row>
    <row r="290" spans="1:1" x14ac:dyDescent="0.35">
      <c r="A290" s="181"/>
    </row>
    <row r="291" spans="1:1" x14ac:dyDescent="0.35">
      <c r="A291" s="181"/>
    </row>
    <row r="292" spans="1:1" x14ac:dyDescent="0.35">
      <c r="A292" s="181"/>
    </row>
    <row r="293" spans="1:1" x14ac:dyDescent="0.35">
      <c r="A293" s="181"/>
    </row>
    <row r="294" spans="1:1" x14ac:dyDescent="0.35">
      <c r="A294" s="181"/>
    </row>
    <row r="295" spans="1:1" x14ac:dyDescent="0.35">
      <c r="A295" s="181"/>
    </row>
    <row r="296" spans="1:1" x14ac:dyDescent="0.35">
      <c r="A296" s="181"/>
    </row>
    <row r="297" spans="1:1" x14ac:dyDescent="0.35">
      <c r="A297" s="181"/>
    </row>
    <row r="298" spans="1:1" x14ac:dyDescent="0.35">
      <c r="A298" s="181"/>
    </row>
    <row r="299" spans="1:1" x14ac:dyDescent="0.35">
      <c r="A299" s="181"/>
    </row>
    <row r="300" spans="1:1" x14ac:dyDescent="0.35">
      <c r="A300" s="181"/>
    </row>
    <row r="301" spans="1:1" x14ac:dyDescent="0.35">
      <c r="A301" s="181"/>
    </row>
    <row r="302" spans="1:1" x14ac:dyDescent="0.35">
      <c r="A302" s="181"/>
    </row>
    <row r="303" spans="1:1" x14ac:dyDescent="0.35">
      <c r="A303" s="181"/>
    </row>
    <row r="304" spans="1:1" x14ac:dyDescent="0.35">
      <c r="A304" s="181"/>
    </row>
    <row r="305" spans="1:1" x14ac:dyDescent="0.35">
      <c r="A305" s="181"/>
    </row>
    <row r="306" spans="1:1" x14ac:dyDescent="0.35">
      <c r="A306" s="181"/>
    </row>
    <row r="307" spans="1:1" x14ac:dyDescent="0.35">
      <c r="A307" s="181"/>
    </row>
    <row r="308" spans="1:1" x14ac:dyDescent="0.35">
      <c r="A308" s="181"/>
    </row>
    <row r="309" spans="1:1" x14ac:dyDescent="0.35">
      <c r="A309" s="181"/>
    </row>
    <row r="310" spans="1:1" x14ac:dyDescent="0.35">
      <c r="A310" s="181"/>
    </row>
    <row r="311" spans="1:1" x14ac:dyDescent="0.35">
      <c r="A311" s="181"/>
    </row>
    <row r="312" spans="1:1" x14ac:dyDescent="0.35">
      <c r="A312" s="181"/>
    </row>
    <row r="313" spans="1:1" x14ac:dyDescent="0.35">
      <c r="A313" s="181"/>
    </row>
    <row r="314" spans="1:1" x14ac:dyDescent="0.35">
      <c r="A314" s="181"/>
    </row>
    <row r="315" spans="1:1" x14ac:dyDescent="0.35">
      <c r="A315" s="181"/>
    </row>
    <row r="316" spans="1:1" x14ac:dyDescent="0.35">
      <c r="A316" s="181"/>
    </row>
    <row r="317" spans="1:1" x14ac:dyDescent="0.35">
      <c r="A317" s="181"/>
    </row>
    <row r="318" spans="1:1" x14ac:dyDescent="0.35">
      <c r="A318" s="181"/>
    </row>
    <row r="319" spans="1:1" x14ac:dyDescent="0.35">
      <c r="A319" s="181"/>
    </row>
    <row r="320" spans="1:1" x14ac:dyDescent="0.35">
      <c r="A320" s="181"/>
    </row>
    <row r="321" spans="1:1" x14ac:dyDescent="0.35">
      <c r="A321" s="181"/>
    </row>
    <row r="322" spans="1:1" x14ac:dyDescent="0.35">
      <c r="A322" s="181"/>
    </row>
    <row r="323" spans="1:1" x14ac:dyDescent="0.35">
      <c r="A323" s="181"/>
    </row>
    <row r="324" spans="1:1" x14ac:dyDescent="0.35">
      <c r="A324" s="181"/>
    </row>
    <row r="325" spans="1:1" x14ac:dyDescent="0.35">
      <c r="A325" s="181"/>
    </row>
    <row r="326" spans="1:1" x14ac:dyDescent="0.35">
      <c r="A326" s="181"/>
    </row>
    <row r="327" spans="1:1" x14ac:dyDescent="0.35">
      <c r="A327" s="181"/>
    </row>
    <row r="328" spans="1:1" x14ac:dyDescent="0.35">
      <c r="A328" s="181"/>
    </row>
    <row r="329" spans="1:1" x14ac:dyDescent="0.35">
      <c r="A329" s="181"/>
    </row>
    <row r="330" spans="1:1" x14ac:dyDescent="0.35">
      <c r="A330" s="181"/>
    </row>
    <row r="331" spans="1:1" x14ac:dyDescent="0.35">
      <c r="A331" s="181"/>
    </row>
    <row r="332" spans="1:1" x14ac:dyDescent="0.35">
      <c r="A332" s="181"/>
    </row>
    <row r="333" spans="1:1" x14ac:dyDescent="0.35">
      <c r="A333" s="181"/>
    </row>
    <row r="334" spans="1:1" x14ac:dyDescent="0.35">
      <c r="A334" s="181"/>
    </row>
    <row r="335" spans="1:1" x14ac:dyDescent="0.35">
      <c r="A335" s="181"/>
    </row>
    <row r="336" spans="1:1" x14ac:dyDescent="0.35">
      <c r="A336" s="181"/>
    </row>
    <row r="337" spans="1:1" x14ac:dyDescent="0.35">
      <c r="A337" s="181"/>
    </row>
    <row r="338" spans="1:1" x14ac:dyDescent="0.35">
      <c r="A338" s="181"/>
    </row>
    <row r="339" spans="1:1" x14ac:dyDescent="0.35">
      <c r="A339" s="181"/>
    </row>
    <row r="340" spans="1:1" x14ac:dyDescent="0.35">
      <c r="A340" s="181"/>
    </row>
    <row r="341" spans="1:1" x14ac:dyDescent="0.35">
      <c r="A341" s="181"/>
    </row>
    <row r="342" spans="1:1" x14ac:dyDescent="0.35">
      <c r="A342" s="181"/>
    </row>
    <row r="343" spans="1:1" x14ac:dyDescent="0.35">
      <c r="A343" s="181"/>
    </row>
    <row r="344" spans="1:1" x14ac:dyDescent="0.35">
      <c r="A344" s="181"/>
    </row>
    <row r="345" spans="1:1" x14ac:dyDescent="0.35">
      <c r="A345" s="181"/>
    </row>
    <row r="346" spans="1:1" x14ac:dyDescent="0.35">
      <c r="A346" s="181"/>
    </row>
    <row r="347" spans="1:1" x14ac:dyDescent="0.35">
      <c r="A347" s="181"/>
    </row>
    <row r="348" spans="1:1" x14ac:dyDescent="0.35">
      <c r="A348" s="181"/>
    </row>
    <row r="349" spans="1:1" x14ac:dyDescent="0.35">
      <c r="A349" s="181"/>
    </row>
    <row r="350" spans="1:1" x14ac:dyDescent="0.35">
      <c r="A350" s="181"/>
    </row>
    <row r="351" spans="1:1" x14ac:dyDescent="0.35">
      <c r="A351" s="181"/>
    </row>
    <row r="352" spans="1:1" x14ac:dyDescent="0.35">
      <c r="A352" s="181"/>
    </row>
    <row r="353" spans="1:1" x14ac:dyDescent="0.35">
      <c r="A353" s="181"/>
    </row>
    <row r="354" spans="1:1" x14ac:dyDescent="0.35">
      <c r="A354" s="181"/>
    </row>
    <row r="355" spans="1:1" x14ac:dyDescent="0.35">
      <c r="A355" s="181"/>
    </row>
    <row r="356" spans="1:1" x14ac:dyDescent="0.35">
      <c r="A356" s="181"/>
    </row>
    <row r="357" spans="1:1" x14ac:dyDescent="0.35">
      <c r="A357" s="181"/>
    </row>
    <row r="358" spans="1:1" x14ac:dyDescent="0.35">
      <c r="A358" s="181"/>
    </row>
    <row r="359" spans="1:1" x14ac:dyDescent="0.35">
      <c r="A359" s="181"/>
    </row>
    <row r="360" spans="1:1" x14ac:dyDescent="0.35">
      <c r="A360" s="181"/>
    </row>
    <row r="361" spans="1:1" x14ac:dyDescent="0.35">
      <c r="A361" s="181"/>
    </row>
    <row r="362" spans="1:1" x14ac:dyDescent="0.35">
      <c r="A362" s="181"/>
    </row>
    <row r="363" spans="1:1" x14ac:dyDescent="0.35">
      <c r="A363" s="181"/>
    </row>
    <row r="364" spans="1:1" x14ac:dyDescent="0.35">
      <c r="A364" s="181"/>
    </row>
    <row r="365" spans="1:1" x14ac:dyDescent="0.35">
      <c r="A365" s="181"/>
    </row>
    <row r="366" spans="1:1" x14ac:dyDescent="0.35">
      <c r="A366" s="181"/>
    </row>
    <row r="367" spans="1:1" x14ac:dyDescent="0.35">
      <c r="A367" s="181"/>
    </row>
    <row r="368" spans="1:1" x14ac:dyDescent="0.35">
      <c r="A368" s="181"/>
    </row>
    <row r="369" spans="1:1" x14ac:dyDescent="0.35">
      <c r="A369" s="181"/>
    </row>
    <row r="370" spans="1:1" x14ac:dyDescent="0.35">
      <c r="A370" s="181"/>
    </row>
    <row r="371" spans="1:1" x14ac:dyDescent="0.35">
      <c r="A371" s="181"/>
    </row>
    <row r="372" spans="1:1" x14ac:dyDescent="0.35">
      <c r="A372" s="181"/>
    </row>
    <row r="373" spans="1:1" x14ac:dyDescent="0.35">
      <c r="A373" s="181"/>
    </row>
    <row r="374" spans="1:1" x14ac:dyDescent="0.35">
      <c r="A374" s="181"/>
    </row>
    <row r="375" spans="1:1" x14ac:dyDescent="0.35">
      <c r="A375" s="181"/>
    </row>
    <row r="376" spans="1:1" x14ac:dyDescent="0.35">
      <c r="A376" s="181"/>
    </row>
    <row r="377" spans="1:1" x14ac:dyDescent="0.35">
      <c r="A377" s="181"/>
    </row>
    <row r="378" spans="1:1" x14ac:dyDescent="0.35">
      <c r="A378" s="181"/>
    </row>
    <row r="379" spans="1:1" x14ac:dyDescent="0.35">
      <c r="A379" s="181"/>
    </row>
    <row r="380" spans="1:1" x14ac:dyDescent="0.35">
      <c r="A380" s="181"/>
    </row>
    <row r="381" spans="1:1" x14ac:dyDescent="0.35">
      <c r="A381" s="181"/>
    </row>
    <row r="382" spans="1:1" x14ac:dyDescent="0.35">
      <c r="A382" s="181"/>
    </row>
    <row r="383" spans="1:1" x14ac:dyDescent="0.35">
      <c r="A383" s="181"/>
    </row>
    <row r="384" spans="1:1" x14ac:dyDescent="0.35">
      <c r="A384" s="181"/>
    </row>
    <row r="385" spans="1:1" x14ac:dyDescent="0.35">
      <c r="A385" s="181"/>
    </row>
    <row r="386" spans="1:1" x14ac:dyDescent="0.35">
      <c r="A386" s="181"/>
    </row>
    <row r="387" spans="1:1" x14ac:dyDescent="0.35">
      <c r="A387" s="181"/>
    </row>
    <row r="388" spans="1:1" x14ac:dyDescent="0.35">
      <c r="A388" s="181"/>
    </row>
    <row r="389" spans="1:1" x14ac:dyDescent="0.35">
      <c r="A389" s="181"/>
    </row>
    <row r="390" spans="1:1" x14ac:dyDescent="0.35">
      <c r="A390" s="181"/>
    </row>
    <row r="391" spans="1:1" x14ac:dyDescent="0.35">
      <c r="A391" s="181"/>
    </row>
    <row r="392" spans="1:1" x14ac:dyDescent="0.35">
      <c r="A392" s="181"/>
    </row>
    <row r="393" spans="1:1" x14ac:dyDescent="0.35">
      <c r="A393" s="181"/>
    </row>
    <row r="394" spans="1:1" x14ac:dyDescent="0.35">
      <c r="A394" s="181"/>
    </row>
    <row r="395" spans="1:1" x14ac:dyDescent="0.35">
      <c r="A395" s="181"/>
    </row>
    <row r="396" spans="1:1" x14ac:dyDescent="0.35">
      <c r="A396" s="181"/>
    </row>
    <row r="397" spans="1:1" x14ac:dyDescent="0.35">
      <c r="A397" s="181"/>
    </row>
    <row r="398" spans="1:1" x14ac:dyDescent="0.35">
      <c r="A398" s="181"/>
    </row>
    <row r="399" spans="1:1" x14ac:dyDescent="0.35">
      <c r="A399" s="181"/>
    </row>
    <row r="400" spans="1:1" x14ac:dyDescent="0.35">
      <c r="A400" s="181"/>
    </row>
    <row r="401" spans="1:1" x14ac:dyDescent="0.35">
      <c r="A401" s="181"/>
    </row>
    <row r="402" spans="1:1" x14ac:dyDescent="0.35">
      <c r="A402" s="181"/>
    </row>
    <row r="403" spans="1:1" x14ac:dyDescent="0.35">
      <c r="A403" s="181"/>
    </row>
    <row r="404" spans="1:1" x14ac:dyDescent="0.35">
      <c r="A404" s="181"/>
    </row>
    <row r="405" spans="1:1" x14ac:dyDescent="0.35">
      <c r="A405" s="181"/>
    </row>
    <row r="406" spans="1:1" x14ac:dyDescent="0.35">
      <c r="A406" s="181"/>
    </row>
    <row r="407" spans="1:1" x14ac:dyDescent="0.35">
      <c r="A407" s="181"/>
    </row>
    <row r="408" spans="1:1" x14ac:dyDescent="0.35">
      <c r="A408" s="181"/>
    </row>
    <row r="409" spans="1:1" x14ac:dyDescent="0.35">
      <c r="A409" s="181"/>
    </row>
    <row r="410" spans="1:1" x14ac:dyDescent="0.35">
      <c r="A410" s="181"/>
    </row>
    <row r="411" spans="1:1" x14ac:dyDescent="0.35">
      <c r="A411" s="181"/>
    </row>
    <row r="412" spans="1:1" x14ac:dyDescent="0.35">
      <c r="A412" s="181"/>
    </row>
    <row r="413" spans="1:1" x14ac:dyDescent="0.35">
      <c r="A413" s="181"/>
    </row>
    <row r="414" spans="1:1" x14ac:dyDescent="0.35">
      <c r="A414" s="181"/>
    </row>
    <row r="415" spans="1:1" x14ac:dyDescent="0.35">
      <c r="A415" s="181"/>
    </row>
    <row r="416" spans="1:1" x14ac:dyDescent="0.35">
      <c r="A416" s="181"/>
    </row>
    <row r="417" spans="1:1" x14ac:dyDescent="0.35">
      <c r="A417" s="181"/>
    </row>
    <row r="418" spans="1:1" x14ac:dyDescent="0.35">
      <c r="A418" s="181"/>
    </row>
    <row r="419" spans="1:1" x14ac:dyDescent="0.35">
      <c r="A419" s="181"/>
    </row>
    <row r="420" spans="1:1" x14ac:dyDescent="0.35">
      <c r="A420" s="181"/>
    </row>
    <row r="421" spans="1:1" x14ac:dyDescent="0.35">
      <c r="A421" s="181"/>
    </row>
    <row r="422" spans="1:1" x14ac:dyDescent="0.35">
      <c r="A422" s="181"/>
    </row>
    <row r="423" spans="1:1" x14ac:dyDescent="0.35">
      <c r="A423" s="181"/>
    </row>
    <row r="424" spans="1:1" x14ac:dyDescent="0.35">
      <c r="A424" s="181"/>
    </row>
    <row r="425" spans="1:1" x14ac:dyDescent="0.35">
      <c r="A425" s="181"/>
    </row>
    <row r="426" spans="1:1" x14ac:dyDescent="0.35">
      <c r="A426" s="181"/>
    </row>
    <row r="427" spans="1:1" x14ac:dyDescent="0.35">
      <c r="A427" s="181"/>
    </row>
    <row r="428" spans="1:1" x14ac:dyDescent="0.35">
      <c r="A428" s="181"/>
    </row>
    <row r="429" spans="1:1" x14ac:dyDescent="0.35">
      <c r="A429" s="181"/>
    </row>
    <row r="430" spans="1:1" x14ac:dyDescent="0.35">
      <c r="A430" s="181"/>
    </row>
    <row r="431" spans="1:1" x14ac:dyDescent="0.35">
      <c r="A431" s="181"/>
    </row>
    <row r="432" spans="1:1" x14ac:dyDescent="0.35">
      <c r="A432" s="181"/>
    </row>
    <row r="433" spans="1:1" x14ac:dyDescent="0.35">
      <c r="A433" s="181"/>
    </row>
    <row r="434" spans="1:1" x14ac:dyDescent="0.35">
      <c r="A434" s="181"/>
    </row>
    <row r="435" spans="1:1" x14ac:dyDescent="0.35">
      <c r="A435" s="181"/>
    </row>
    <row r="436" spans="1:1" x14ac:dyDescent="0.35">
      <c r="A436" s="181"/>
    </row>
    <row r="437" spans="1:1" x14ac:dyDescent="0.35">
      <c r="A437" s="181"/>
    </row>
    <row r="438" spans="1:1" x14ac:dyDescent="0.35">
      <c r="A438" s="181"/>
    </row>
    <row r="439" spans="1:1" x14ac:dyDescent="0.35">
      <c r="A439" s="181"/>
    </row>
    <row r="440" spans="1:1" x14ac:dyDescent="0.35">
      <c r="A440" s="181"/>
    </row>
    <row r="441" spans="1:1" x14ac:dyDescent="0.35">
      <c r="A441" s="181"/>
    </row>
    <row r="442" spans="1:1" x14ac:dyDescent="0.35">
      <c r="A442" s="181"/>
    </row>
    <row r="443" spans="1:1" x14ac:dyDescent="0.35">
      <c r="A443" s="181"/>
    </row>
    <row r="444" spans="1:1" x14ac:dyDescent="0.35">
      <c r="A444" s="181"/>
    </row>
    <row r="445" spans="1:1" x14ac:dyDescent="0.35">
      <c r="A445" s="181"/>
    </row>
    <row r="446" spans="1:1" x14ac:dyDescent="0.35">
      <c r="A446" s="181"/>
    </row>
    <row r="447" spans="1:1" x14ac:dyDescent="0.35">
      <c r="A447" s="181"/>
    </row>
    <row r="448" spans="1:1" x14ac:dyDescent="0.35">
      <c r="A448" s="181"/>
    </row>
    <row r="449" spans="1:1" x14ac:dyDescent="0.35">
      <c r="A449" s="181"/>
    </row>
    <row r="450" spans="1:1" x14ac:dyDescent="0.35">
      <c r="A450" s="181"/>
    </row>
    <row r="451" spans="1:1" x14ac:dyDescent="0.35">
      <c r="A451" s="181"/>
    </row>
    <row r="452" spans="1:1" x14ac:dyDescent="0.35">
      <c r="A452" s="181"/>
    </row>
    <row r="453" spans="1:1" x14ac:dyDescent="0.35">
      <c r="A453" s="181"/>
    </row>
    <row r="454" spans="1:1" x14ac:dyDescent="0.35">
      <c r="A454" s="181"/>
    </row>
    <row r="455" spans="1:1" x14ac:dyDescent="0.35">
      <c r="A455" s="181"/>
    </row>
    <row r="456" spans="1:1" x14ac:dyDescent="0.35">
      <c r="A456" s="181"/>
    </row>
    <row r="457" spans="1:1" x14ac:dyDescent="0.35">
      <c r="A457" s="181"/>
    </row>
    <row r="458" spans="1:1" x14ac:dyDescent="0.35">
      <c r="A458" s="181"/>
    </row>
    <row r="459" spans="1:1" x14ac:dyDescent="0.35">
      <c r="A459" s="181"/>
    </row>
    <row r="460" spans="1:1" x14ac:dyDescent="0.35">
      <c r="A460" s="181"/>
    </row>
    <row r="461" spans="1:1" x14ac:dyDescent="0.35">
      <c r="A461" s="181"/>
    </row>
    <row r="462" spans="1:1" x14ac:dyDescent="0.35">
      <c r="A462" s="181"/>
    </row>
    <row r="463" spans="1:1" x14ac:dyDescent="0.35">
      <c r="A463" s="181"/>
    </row>
    <row r="464" spans="1:1" x14ac:dyDescent="0.35">
      <c r="A464" s="181"/>
    </row>
    <row r="465" spans="1:1" x14ac:dyDescent="0.35">
      <c r="A465" s="181"/>
    </row>
    <row r="466" spans="1:1" x14ac:dyDescent="0.35">
      <c r="A466" s="181"/>
    </row>
    <row r="467" spans="1:1" x14ac:dyDescent="0.35">
      <c r="A467" s="181"/>
    </row>
    <row r="468" spans="1:1" x14ac:dyDescent="0.35">
      <c r="A468" s="181"/>
    </row>
    <row r="469" spans="1:1" x14ac:dyDescent="0.35">
      <c r="A469" s="181"/>
    </row>
    <row r="470" spans="1:1" x14ac:dyDescent="0.35">
      <c r="A470" s="181"/>
    </row>
    <row r="471" spans="1:1" x14ac:dyDescent="0.35">
      <c r="A471" s="181"/>
    </row>
    <row r="472" spans="1:1" x14ac:dyDescent="0.35">
      <c r="A472" s="181"/>
    </row>
    <row r="473" spans="1:1" x14ac:dyDescent="0.35">
      <c r="A473" s="181"/>
    </row>
    <row r="474" spans="1:1" x14ac:dyDescent="0.35">
      <c r="A474" s="181"/>
    </row>
    <row r="475" spans="1:1" x14ac:dyDescent="0.35">
      <c r="A475" s="181"/>
    </row>
    <row r="476" spans="1:1" x14ac:dyDescent="0.35">
      <c r="A476" s="181"/>
    </row>
    <row r="477" spans="1:1" x14ac:dyDescent="0.35">
      <c r="A477" s="181"/>
    </row>
    <row r="478" spans="1:1" x14ac:dyDescent="0.35">
      <c r="A478" s="181"/>
    </row>
    <row r="479" spans="1:1" x14ac:dyDescent="0.35">
      <c r="A479" s="181"/>
    </row>
    <row r="480" spans="1:1" x14ac:dyDescent="0.35">
      <c r="A480" s="181"/>
    </row>
    <row r="481" spans="1:1" x14ac:dyDescent="0.35">
      <c r="A481" s="181"/>
    </row>
    <row r="482" spans="1:1" x14ac:dyDescent="0.35">
      <c r="A482" s="181"/>
    </row>
    <row r="483" spans="1:1" x14ac:dyDescent="0.35">
      <c r="A483" s="181"/>
    </row>
    <row r="484" spans="1:1" x14ac:dyDescent="0.35">
      <c r="A484" s="181"/>
    </row>
    <row r="485" spans="1:1" x14ac:dyDescent="0.35">
      <c r="A485" s="181"/>
    </row>
    <row r="486" spans="1:1" x14ac:dyDescent="0.35">
      <c r="A486" s="181"/>
    </row>
    <row r="487" spans="1:1" x14ac:dyDescent="0.35">
      <c r="A487" s="181"/>
    </row>
    <row r="488" spans="1:1" x14ac:dyDescent="0.35">
      <c r="A488" s="181"/>
    </row>
    <row r="489" spans="1:1" x14ac:dyDescent="0.35">
      <c r="A489" s="181"/>
    </row>
    <row r="490" spans="1:1" x14ac:dyDescent="0.35">
      <c r="A490" s="181"/>
    </row>
    <row r="491" spans="1:1" x14ac:dyDescent="0.35">
      <c r="A491" s="181"/>
    </row>
    <row r="492" spans="1:1" x14ac:dyDescent="0.35">
      <c r="A492" s="181"/>
    </row>
    <row r="493" spans="1:1" x14ac:dyDescent="0.35">
      <c r="A493" s="181"/>
    </row>
    <row r="494" spans="1:1" x14ac:dyDescent="0.35">
      <c r="A494" s="181"/>
    </row>
    <row r="495" spans="1:1" x14ac:dyDescent="0.35">
      <c r="A495" s="181"/>
    </row>
    <row r="496" spans="1:1" x14ac:dyDescent="0.35">
      <c r="A496" s="181"/>
    </row>
    <row r="497" spans="1:1" x14ac:dyDescent="0.35">
      <c r="A497" s="181"/>
    </row>
    <row r="498" spans="1:1" x14ac:dyDescent="0.35">
      <c r="A498" s="181"/>
    </row>
    <row r="499" spans="1:1" x14ac:dyDescent="0.35">
      <c r="A499" s="181"/>
    </row>
    <row r="500" spans="1:1" x14ac:dyDescent="0.35">
      <c r="A500" s="181"/>
    </row>
    <row r="501" spans="1:1" x14ac:dyDescent="0.35">
      <c r="A501" s="181"/>
    </row>
  </sheetData>
  <sheetProtection selectLockedCells="1"/>
  <pageMargins left="0.7" right="0.7" top="0.75" bottom="0.75" header="0.3" footer="0.3"/>
  <pageSetup paperSize="9" orientation="portrait" r:id="rId1"/>
  <headerFooter>
    <oddFooter>&amp;C&amp;1#&amp;"Calibri"&amp;10&amp;K000000OFFICIAL-SENSITIVE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Start">
    <pageSetUpPr fitToPage="1"/>
  </sheetPr>
  <dimension ref="B1:M30"/>
  <sheetViews>
    <sheetView showGridLines="0" tabSelected="1" workbookViewId="0">
      <selection activeCell="J3" sqref="J3"/>
    </sheetView>
  </sheetViews>
  <sheetFormatPr defaultRowHeight="14.5" x14ac:dyDescent="0.35"/>
  <cols>
    <col min="1" max="1" width="1.7265625" customWidth="1"/>
    <col min="6" max="6" width="21.54296875" customWidth="1"/>
    <col min="7" max="7" width="15.1796875" bestFit="1" customWidth="1"/>
    <col min="9" max="9" width="15.7265625" style="2" customWidth="1"/>
    <col min="10" max="10" width="6.26953125" customWidth="1"/>
    <col min="11" max="11" width="20.7265625" customWidth="1"/>
  </cols>
  <sheetData>
    <row r="1" spans="5:13" x14ac:dyDescent="0.35">
      <c r="M1" s="228" t="s">
        <v>9</v>
      </c>
    </row>
    <row r="2" spans="5:13" ht="45" x14ac:dyDescent="0.9">
      <c r="E2" s="173" t="s">
        <v>10</v>
      </c>
    </row>
    <row r="3" spans="5:13" ht="21" x14ac:dyDescent="0.5">
      <c r="E3" s="174" t="s">
        <v>11</v>
      </c>
      <c r="I3" s="375" t="s">
        <v>1</v>
      </c>
      <c r="J3" s="376" t="s">
        <v>502</v>
      </c>
      <c r="K3" s="377">
        <v>45292</v>
      </c>
    </row>
    <row r="6" spans="5:13" ht="18.5" x14ac:dyDescent="0.45">
      <c r="E6" s="177" t="s">
        <v>12</v>
      </c>
      <c r="G6" s="177" t="str">
        <f>IF(Entity!C2="","",Entity!C2)</f>
        <v/>
      </c>
    </row>
    <row r="7" spans="5:13" x14ac:dyDescent="0.35">
      <c r="E7" s="1"/>
    </row>
    <row r="8" spans="5:13" ht="18.5" x14ac:dyDescent="0.45">
      <c r="E8" s="193" t="s">
        <v>13</v>
      </c>
      <c r="G8" s="194" t="str">
        <f>IF(Entity!C4="","",Entity!C4)</f>
        <v/>
      </c>
    </row>
    <row r="9" spans="5:13" ht="18.5" x14ac:dyDescent="0.45">
      <c r="E9" s="172"/>
      <c r="G9" s="222" t="str">
        <f>IF(Entity!C5="","",Entity!C5)</f>
        <v/>
      </c>
    </row>
    <row r="10" spans="5:13" x14ac:dyDescent="0.35">
      <c r="E10" s="191" t="s">
        <v>14</v>
      </c>
      <c r="G10" s="178"/>
    </row>
    <row r="11" spans="5:13" ht="5.15" customHeight="1" x14ac:dyDescent="0.35">
      <c r="H11" s="172"/>
    </row>
    <row r="12" spans="5:13" x14ac:dyDescent="0.35">
      <c r="E12" s="192" t="s">
        <v>15</v>
      </c>
      <c r="I12" s="175" t="str">
        <f>IF(G6&lt;&gt;"",BOBTest!F25,"")</f>
        <v/>
      </c>
      <c r="K12" s="215" t="str">
        <f>IF(G6&lt;&gt;"",BOBTest!H25,"")</f>
        <v/>
      </c>
    </row>
    <row r="13" spans="5:13" ht="5.15" customHeight="1" x14ac:dyDescent="0.35">
      <c r="E13" s="192"/>
      <c r="I13"/>
      <c r="K13" s="2"/>
    </row>
    <row r="14" spans="5:13" x14ac:dyDescent="0.35">
      <c r="E14" s="192" t="s">
        <v>16</v>
      </c>
      <c r="I14" s="175" t="str">
        <f>IF(G6&lt;&gt;"",BOBTest!F39,"")</f>
        <v/>
      </c>
      <c r="K14" s="215" t="str">
        <f>IF(G6&lt;&gt;"",BOBTest!H39,"")</f>
        <v/>
      </c>
    </row>
    <row r="16" spans="5:13" x14ac:dyDescent="0.35">
      <c r="E16" s="1" t="s">
        <v>17</v>
      </c>
    </row>
    <row r="17" spans="2:11" ht="5.15" customHeight="1" x14ac:dyDescent="0.35"/>
    <row r="18" spans="2:11" x14ac:dyDescent="0.35">
      <c r="E18" s="192" t="s">
        <v>18</v>
      </c>
      <c r="K18" s="357">
        <f>IF(G6&lt;&gt;"",RatioTest!E29,0)</f>
        <v>0</v>
      </c>
    </row>
    <row r="19" spans="2:11" ht="5.15" customHeight="1" x14ac:dyDescent="0.35">
      <c r="E19" s="192"/>
      <c r="K19" s="358"/>
    </row>
    <row r="20" spans="2:11" x14ac:dyDescent="0.35">
      <c r="E20" s="192" t="s">
        <v>19</v>
      </c>
      <c r="K20" s="357">
        <f>IF(G6&lt;&gt;"",RatioTest!E30,0)</f>
        <v>0</v>
      </c>
    </row>
    <row r="21" spans="2:11" ht="5.15" customHeight="1" x14ac:dyDescent="0.35">
      <c r="E21" s="192"/>
    </row>
    <row r="23" spans="2:11" ht="5.15" customHeight="1" x14ac:dyDescent="0.35"/>
    <row r="24" spans="2:11" x14ac:dyDescent="0.35">
      <c r="E24" s="1" t="s">
        <v>20</v>
      </c>
      <c r="I24" s="176" t="str">
        <f>IF(G6&lt;&gt;"",RatioTest!E32,"")</f>
        <v/>
      </c>
      <c r="K24" s="221" t="str">
        <f>IF(G6&lt;&gt;"",RatioTest!E34,"")</f>
        <v/>
      </c>
    </row>
    <row r="28" spans="2:11" x14ac:dyDescent="0.35">
      <c r="E28" s="1" t="s">
        <v>21</v>
      </c>
    </row>
    <row r="30" spans="2:11" x14ac:dyDescent="0.35">
      <c r="B30" s="228" t="s">
        <v>9</v>
      </c>
    </row>
  </sheetData>
  <sheetProtection selectLockedCells="1" selectUnlockedCells="1"/>
  <pageMargins left="0.70866141732283472" right="0.70866141732283472" top="0.74803149606299213" bottom="0.74803149606299213" header="0.31496062992125984" footer="0.31496062992125984"/>
  <pageSetup paperSize="9" scale="96" orientation="landscape" r:id="rId1"/>
  <headerFooter>
    <oddFooter>&amp;C&amp;1#&amp;"Calibri"&amp;10&amp;K000000OFFICIAL-SENSITIVE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Step01">
    <pageSetUpPr fitToPage="1"/>
  </sheetPr>
  <dimension ref="A1:M1007"/>
  <sheetViews>
    <sheetView showGridLines="0" workbookViewId="0">
      <pane ySplit="7" topLeftCell="A8" activePane="bottomLeft" state="frozenSplit"/>
      <selection pane="bottomLeft"/>
    </sheetView>
  </sheetViews>
  <sheetFormatPr defaultRowHeight="14.5" x14ac:dyDescent="0.35"/>
  <cols>
    <col min="1" max="1" width="1.7265625" style="180" customWidth="1"/>
    <col min="2" max="3" width="50.7265625" customWidth="1"/>
    <col min="4" max="4" width="17.7265625" style="2" customWidth="1"/>
    <col min="5" max="5" width="8.7265625" style="5" customWidth="1"/>
    <col min="6" max="6" width="33.7265625" customWidth="1"/>
    <col min="7" max="7" width="21.7265625" style="2" customWidth="1"/>
    <col min="8" max="9" width="20.7265625" style="2" customWidth="1"/>
    <col min="10" max="10" width="5.7265625" customWidth="1"/>
    <col min="11" max="12" width="9.1796875" customWidth="1"/>
  </cols>
  <sheetData>
    <row r="1" spans="1:13" ht="30" customHeight="1" x14ac:dyDescent="0.35">
      <c r="A1" s="223"/>
      <c r="B1" s="154"/>
      <c r="C1" s="3"/>
      <c r="D1" s="195"/>
      <c r="E1" s="118"/>
      <c r="F1" s="3"/>
      <c r="G1" s="119"/>
      <c r="H1" s="119"/>
      <c r="I1" s="230"/>
      <c r="K1" s="228" t="s">
        <v>9</v>
      </c>
    </row>
    <row r="2" spans="1:13" x14ac:dyDescent="0.35">
      <c r="A2" s="223"/>
      <c r="B2" s="199" t="s">
        <v>22</v>
      </c>
      <c r="C2" s="390"/>
      <c r="D2" s="198"/>
      <c r="E2" s="366" t="s">
        <v>23</v>
      </c>
      <c r="F2" s="89"/>
      <c r="G2" s="90"/>
      <c r="H2" s="90"/>
      <c r="I2" s="90"/>
      <c r="J2" s="1"/>
      <c r="K2" s="1"/>
      <c r="L2" s="1"/>
      <c r="M2" s="1"/>
    </row>
    <row r="3" spans="1:13" x14ac:dyDescent="0.35">
      <c r="A3" s="223"/>
      <c r="B3" s="199" t="s">
        <v>24</v>
      </c>
      <c r="C3" s="390"/>
      <c r="D3" s="198"/>
      <c r="E3" s="120"/>
      <c r="F3" s="89"/>
      <c r="G3" s="90"/>
      <c r="H3" s="90"/>
      <c r="I3" s="90"/>
      <c r="J3" s="1"/>
      <c r="K3" s="1"/>
      <c r="L3" s="1"/>
      <c r="M3" s="1"/>
    </row>
    <row r="4" spans="1:13" x14ac:dyDescent="0.35">
      <c r="A4" s="223"/>
      <c r="B4" s="199" t="s">
        <v>25</v>
      </c>
      <c r="C4" s="391"/>
      <c r="D4" s="197"/>
      <c r="E4" s="118"/>
      <c r="F4" s="3"/>
      <c r="G4" s="119"/>
      <c r="H4" s="119"/>
      <c r="I4" s="119"/>
    </row>
    <row r="5" spans="1:13" x14ac:dyDescent="0.35">
      <c r="A5" s="223"/>
      <c r="B5" s="199" t="s">
        <v>26</v>
      </c>
      <c r="C5" s="391"/>
      <c r="D5" s="197"/>
      <c r="E5" s="366"/>
      <c r="F5" s="3"/>
      <c r="G5" s="119"/>
      <c r="H5" s="119"/>
      <c r="I5" s="119"/>
    </row>
    <row r="6" spans="1:13" x14ac:dyDescent="0.35">
      <c r="A6" s="224"/>
      <c r="B6" s="28"/>
      <c r="C6" s="28"/>
      <c r="D6" s="122"/>
      <c r="E6" s="121"/>
      <c r="F6" s="28"/>
      <c r="G6" s="122"/>
      <c r="H6" s="119"/>
      <c r="I6" s="122"/>
    </row>
    <row r="7" spans="1:13" s="1" customFormat="1" x14ac:dyDescent="0.35">
      <c r="A7" s="225"/>
      <c r="B7" s="155" t="s">
        <v>27</v>
      </c>
      <c r="C7" s="155" t="s">
        <v>28</v>
      </c>
      <c r="D7" s="196" t="s">
        <v>29</v>
      </c>
      <c r="E7" s="156" t="s">
        <v>30</v>
      </c>
      <c r="F7" s="155" t="s">
        <v>31</v>
      </c>
      <c r="G7" s="157" t="s">
        <v>32</v>
      </c>
      <c r="H7" s="220" t="s">
        <v>33</v>
      </c>
      <c r="I7" s="226" t="s">
        <v>34</v>
      </c>
      <c r="J7" s="218" t="s">
        <v>35</v>
      </c>
    </row>
    <row r="8" spans="1:13" x14ac:dyDescent="0.35">
      <c r="A8" s="223" t="b">
        <f t="shared" ref="A8:A71" si="0">OR(B8&lt;&gt;"",D8&lt;&gt;"",C8&lt;&gt;"",E8&lt;&gt;"",F8&lt;&gt;"",G8&lt;&gt;"")</f>
        <v>0</v>
      </c>
      <c r="B8" s="396"/>
      <c r="C8" s="394"/>
      <c r="D8" s="392"/>
      <c r="E8" s="393"/>
      <c r="F8" s="394"/>
      <c r="G8" s="395"/>
      <c r="H8" s="395"/>
      <c r="I8" s="395"/>
      <c r="J8" s="217">
        <v>1</v>
      </c>
    </row>
    <row r="9" spans="1:13" x14ac:dyDescent="0.35">
      <c r="A9" s="223" t="b">
        <f t="shared" si="0"/>
        <v>0</v>
      </c>
      <c r="B9" s="396"/>
      <c r="C9" s="394"/>
      <c r="D9" s="394"/>
      <c r="E9" s="393"/>
      <c r="F9" s="394"/>
      <c r="G9" s="395"/>
      <c r="H9" s="395"/>
      <c r="I9" s="395"/>
      <c r="J9" s="217">
        <v>2</v>
      </c>
    </row>
    <row r="10" spans="1:13" x14ac:dyDescent="0.35">
      <c r="A10" s="223" t="b">
        <f t="shared" si="0"/>
        <v>0</v>
      </c>
      <c r="B10" s="396"/>
      <c r="C10" s="394"/>
      <c r="D10" s="394"/>
      <c r="E10" s="393"/>
      <c r="F10" s="394"/>
      <c r="G10" s="395"/>
      <c r="H10" s="395"/>
      <c r="I10" s="395"/>
      <c r="J10" s="217">
        <v>3</v>
      </c>
    </row>
    <row r="11" spans="1:13" x14ac:dyDescent="0.35">
      <c r="A11" s="223" t="b">
        <f t="shared" si="0"/>
        <v>0</v>
      </c>
      <c r="B11" s="396"/>
      <c r="C11" s="394"/>
      <c r="D11" s="394"/>
      <c r="E11" s="393"/>
      <c r="F11" s="394"/>
      <c r="G11" s="395"/>
      <c r="H11" s="395"/>
      <c r="I11" s="395"/>
      <c r="J11" s="217">
        <v>4</v>
      </c>
    </row>
    <row r="12" spans="1:13" x14ac:dyDescent="0.35">
      <c r="A12" s="223" t="b">
        <f t="shared" si="0"/>
        <v>0</v>
      </c>
      <c r="B12" s="396"/>
      <c r="C12" s="394"/>
      <c r="D12" s="394"/>
      <c r="E12" s="393"/>
      <c r="F12" s="394"/>
      <c r="G12" s="395"/>
      <c r="H12" s="395"/>
      <c r="I12" s="395"/>
      <c r="J12" s="217">
        <v>5</v>
      </c>
    </row>
    <row r="13" spans="1:13" x14ac:dyDescent="0.35">
      <c r="A13" s="223" t="b">
        <f t="shared" si="0"/>
        <v>0</v>
      </c>
      <c r="B13" s="396"/>
      <c r="C13" s="394"/>
      <c r="D13" s="394"/>
      <c r="E13" s="393"/>
      <c r="F13" s="394"/>
      <c r="G13" s="395"/>
      <c r="H13" s="395"/>
      <c r="I13" s="395"/>
      <c r="J13" s="217">
        <v>6</v>
      </c>
    </row>
    <row r="14" spans="1:13" x14ac:dyDescent="0.35">
      <c r="A14" s="223" t="b">
        <f t="shared" si="0"/>
        <v>0</v>
      </c>
      <c r="B14" s="396"/>
      <c r="C14" s="394"/>
      <c r="D14" s="394"/>
      <c r="E14" s="393"/>
      <c r="F14" s="394"/>
      <c r="G14" s="395"/>
      <c r="H14" s="395"/>
      <c r="I14" s="395"/>
      <c r="J14" s="217">
        <v>7</v>
      </c>
    </row>
    <row r="15" spans="1:13" x14ac:dyDescent="0.35">
      <c r="A15" s="223" t="b">
        <f t="shared" si="0"/>
        <v>0</v>
      </c>
      <c r="B15" s="396"/>
      <c r="C15" s="394"/>
      <c r="D15" s="394"/>
      <c r="E15" s="393"/>
      <c r="F15" s="394"/>
      <c r="G15" s="395"/>
      <c r="H15" s="395"/>
      <c r="I15" s="395"/>
      <c r="J15" s="217">
        <v>8</v>
      </c>
    </row>
    <row r="16" spans="1:13" x14ac:dyDescent="0.35">
      <c r="A16" s="223" t="b">
        <f t="shared" si="0"/>
        <v>0</v>
      </c>
      <c r="B16" s="396"/>
      <c r="C16" s="394"/>
      <c r="D16" s="394"/>
      <c r="E16" s="393"/>
      <c r="F16" s="394"/>
      <c r="G16" s="395"/>
      <c r="H16" s="395"/>
      <c r="I16" s="395"/>
      <c r="J16" s="217">
        <v>9</v>
      </c>
    </row>
    <row r="17" spans="1:10" x14ac:dyDescent="0.35">
      <c r="A17" s="223" t="b">
        <f t="shared" si="0"/>
        <v>0</v>
      </c>
      <c r="B17" s="396"/>
      <c r="C17" s="394"/>
      <c r="D17" s="394"/>
      <c r="E17" s="393"/>
      <c r="F17" s="394"/>
      <c r="G17" s="395"/>
      <c r="H17" s="395"/>
      <c r="I17" s="395"/>
      <c r="J17" s="217">
        <v>10</v>
      </c>
    </row>
    <row r="18" spans="1:10" x14ac:dyDescent="0.35">
      <c r="A18" s="223" t="b">
        <f t="shared" si="0"/>
        <v>0</v>
      </c>
      <c r="B18" s="396"/>
      <c r="C18" s="394"/>
      <c r="D18" s="394"/>
      <c r="E18" s="393"/>
      <c r="F18" s="394"/>
      <c r="G18" s="395"/>
      <c r="H18" s="395"/>
      <c r="I18" s="395"/>
      <c r="J18" s="217">
        <v>11</v>
      </c>
    </row>
    <row r="19" spans="1:10" x14ac:dyDescent="0.35">
      <c r="A19" s="223" t="b">
        <f t="shared" si="0"/>
        <v>0</v>
      </c>
      <c r="B19" s="396"/>
      <c r="C19" s="397"/>
      <c r="D19" s="394"/>
      <c r="E19" s="393"/>
      <c r="F19" s="394"/>
      <c r="G19" s="395"/>
      <c r="H19" s="395"/>
      <c r="I19" s="395"/>
      <c r="J19" s="217">
        <v>12</v>
      </c>
    </row>
    <row r="20" spans="1:10" x14ac:dyDescent="0.35">
      <c r="A20" s="223" t="b">
        <f t="shared" si="0"/>
        <v>0</v>
      </c>
      <c r="B20" s="396"/>
      <c r="C20" s="394"/>
      <c r="D20" s="394"/>
      <c r="E20" s="393"/>
      <c r="F20" s="394"/>
      <c r="G20" s="395"/>
      <c r="H20" s="395"/>
      <c r="I20" s="395"/>
      <c r="J20" s="217">
        <v>13</v>
      </c>
    </row>
    <row r="21" spans="1:10" x14ac:dyDescent="0.35">
      <c r="A21" s="223" t="b">
        <f t="shared" si="0"/>
        <v>0</v>
      </c>
      <c r="B21" s="396"/>
      <c r="C21" s="394"/>
      <c r="D21" s="394"/>
      <c r="E21" s="393"/>
      <c r="F21" s="394"/>
      <c r="G21" s="395"/>
      <c r="H21" s="395"/>
      <c r="I21" s="395"/>
      <c r="J21" s="217">
        <v>14</v>
      </c>
    </row>
    <row r="22" spans="1:10" x14ac:dyDescent="0.35">
      <c r="A22" s="223" t="b">
        <f t="shared" si="0"/>
        <v>0</v>
      </c>
      <c r="B22" s="396"/>
      <c r="C22" s="394"/>
      <c r="D22" s="394"/>
      <c r="E22" s="393"/>
      <c r="F22" s="394"/>
      <c r="G22" s="395"/>
      <c r="H22" s="395"/>
      <c r="I22" s="395"/>
      <c r="J22" s="217">
        <v>15</v>
      </c>
    </row>
    <row r="23" spans="1:10" x14ac:dyDescent="0.35">
      <c r="A23" s="223" t="b">
        <f t="shared" si="0"/>
        <v>0</v>
      </c>
      <c r="B23" s="396"/>
      <c r="C23" s="394"/>
      <c r="D23" s="394"/>
      <c r="E23" s="393"/>
      <c r="F23" s="394"/>
      <c r="G23" s="395"/>
      <c r="H23" s="395"/>
      <c r="I23" s="395"/>
      <c r="J23" s="217">
        <v>16</v>
      </c>
    </row>
    <row r="24" spans="1:10" x14ac:dyDescent="0.35">
      <c r="A24" s="223" t="b">
        <f t="shared" si="0"/>
        <v>0</v>
      </c>
      <c r="B24" s="396"/>
      <c r="C24" s="394"/>
      <c r="D24" s="394"/>
      <c r="E24" s="393"/>
      <c r="F24" s="394"/>
      <c r="G24" s="395"/>
      <c r="H24" s="395"/>
      <c r="I24" s="395"/>
      <c r="J24" s="217">
        <v>17</v>
      </c>
    </row>
    <row r="25" spans="1:10" x14ac:dyDescent="0.35">
      <c r="A25" s="223" t="b">
        <f t="shared" si="0"/>
        <v>0</v>
      </c>
      <c r="B25" s="396"/>
      <c r="C25" s="394"/>
      <c r="D25" s="394"/>
      <c r="E25" s="393"/>
      <c r="F25" s="394"/>
      <c r="G25" s="395"/>
      <c r="H25" s="395"/>
      <c r="I25" s="395"/>
      <c r="J25" s="217">
        <v>18</v>
      </c>
    </row>
    <row r="26" spans="1:10" x14ac:dyDescent="0.35">
      <c r="A26" s="223" t="b">
        <f t="shared" si="0"/>
        <v>0</v>
      </c>
      <c r="B26" s="396"/>
      <c r="C26" s="394"/>
      <c r="D26" s="394"/>
      <c r="E26" s="393"/>
      <c r="F26" s="394"/>
      <c r="G26" s="395"/>
      <c r="H26" s="395"/>
      <c r="I26" s="395"/>
      <c r="J26" s="217">
        <v>19</v>
      </c>
    </row>
    <row r="27" spans="1:10" x14ac:dyDescent="0.35">
      <c r="A27" s="223" t="b">
        <f t="shared" si="0"/>
        <v>0</v>
      </c>
      <c r="B27" s="396"/>
      <c r="C27" s="394"/>
      <c r="D27" s="394"/>
      <c r="E27" s="393"/>
      <c r="F27" s="394"/>
      <c r="G27" s="395"/>
      <c r="H27" s="395"/>
      <c r="I27" s="395"/>
      <c r="J27" s="217">
        <v>20</v>
      </c>
    </row>
    <row r="28" spans="1:10" x14ac:dyDescent="0.35">
      <c r="A28" s="223" t="b">
        <f t="shared" si="0"/>
        <v>0</v>
      </c>
      <c r="B28" s="396"/>
      <c r="C28" s="394"/>
      <c r="D28" s="394"/>
      <c r="E28" s="393"/>
      <c r="F28" s="394"/>
      <c r="G28" s="395"/>
      <c r="H28" s="395"/>
      <c r="I28" s="395"/>
      <c r="J28" s="217">
        <v>21</v>
      </c>
    </row>
    <row r="29" spans="1:10" x14ac:dyDescent="0.35">
      <c r="A29" s="223" t="b">
        <f t="shared" si="0"/>
        <v>0</v>
      </c>
      <c r="B29" s="396"/>
      <c r="C29" s="394"/>
      <c r="D29" s="394"/>
      <c r="E29" s="393"/>
      <c r="F29" s="394"/>
      <c r="G29" s="395"/>
      <c r="H29" s="395"/>
      <c r="I29" s="395"/>
      <c r="J29" s="217">
        <v>22</v>
      </c>
    </row>
    <row r="30" spans="1:10" x14ac:dyDescent="0.35">
      <c r="A30" s="223" t="b">
        <f t="shared" si="0"/>
        <v>0</v>
      </c>
      <c r="B30" s="396"/>
      <c r="C30" s="394"/>
      <c r="D30" s="394"/>
      <c r="E30" s="393"/>
      <c r="F30" s="394"/>
      <c r="G30" s="395"/>
      <c r="H30" s="395"/>
      <c r="I30" s="395"/>
      <c r="J30" s="217">
        <v>23</v>
      </c>
    </row>
    <row r="31" spans="1:10" x14ac:dyDescent="0.35">
      <c r="A31" s="223" t="b">
        <f t="shared" si="0"/>
        <v>0</v>
      </c>
      <c r="B31" s="396"/>
      <c r="C31" s="394"/>
      <c r="D31" s="394"/>
      <c r="E31" s="393"/>
      <c r="F31" s="394"/>
      <c r="G31" s="395"/>
      <c r="H31" s="395"/>
      <c r="I31" s="395"/>
      <c r="J31" s="217">
        <v>24</v>
      </c>
    </row>
    <row r="32" spans="1:10" x14ac:dyDescent="0.35">
      <c r="A32" s="223" t="b">
        <f t="shared" si="0"/>
        <v>0</v>
      </c>
      <c r="B32" s="396"/>
      <c r="C32" s="394"/>
      <c r="D32" s="394"/>
      <c r="E32" s="393"/>
      <c r="F32" s="394"/>
      <c r="G32" s="395"/>
      <c r="H32" s="395"/>
      <c r="I32" s="395"/>
      <c r="J32" s="217">
        <v>25</v>
      </c>
    </row>
    <row r="33" spans="1:10" x14ac:dyDescent="0.35">
      <c r="A33" s="223" t="b">
        <f t="shared" si="0"/>
        <v>0</v>
      </c>
      <c r="B33" s="398"/>
      <c r="C33" s="394"/>
      <c r="D33" s="395"/>
      <c r="E33" s="393"/>
      <c r="F33" s="394"/>
      <c r="G33" s="395"/>
      <c r="H33" s="395"/>
      <c r="I33" s="395"/>
      <c r="J33" s="217">
        <v>26</v>
      </c>
    </row>
    <row r="34" spans="1:10" x14ac:dyDescent="0.35">
      <c r="A34" s="223" t="b">
        <f t="shared" si="0"/>
        <v>0</v>
      </c>
      <c r="B34" s="398"/>
      <c r="C34" s="394"/>
      <c r="D34" s="395"/>
      <c r="E34" s="393"/>
      <c r="F34" s="394"/>
      <c r="G34" s="395"/>
      <c r="H34" s="395"/>
      <c r="I34" s="395"/>
      <c r="J34" s="217">
        <v>27</v>
      </c>
    </row>
    <row r="35" spans="1:10" x14ac:dyDescent="0.35">
      <c r="A35" s="223" t="b">
        <f t="shared" si="0"/>
        <v>0</v>
      </c>
      <c r="B35" s="398"/>
      <c r="C35" s="394"/>
      <c r="D35" s="395"/>
      <c r="E35" s="393"/>
      <c r="F35" s="394"/>
      <c r="G35" s="395"/>
      <c r="H35" s="395"/>
      <c r="I35" s="395"/>
      <c r="J35" s="217">
        <v>28</v>
      </c>
    </row>
    <row r="36" spans="1:10" x14ac:dyDescent="0.35">
      <c r="A36" s="223" t="b">
        <f t="shared" si="0"/>
        <v>0</v>
      </c>
      <c r="B36" s="398"/>
      <c r="C36" s="394"/>
      <c r="D36" s="395"/>
      <c r="E36" s="393"/>
      <c r="F36" s="394"/>
      <c r="G36" s="395"/>
      <c r="H36" s="395"/>
      <c r="I36" s="395"/>
      <c r="J36" s="217">
        <v>29</v>
      </c>
    </row>
    <row r="37" spans="1:10" x14ac:dyDescent="0.35">
      <c r="A37" s="223" t="b">
        <f t="shared" si="0"/>
        <v>0</v>
      </c>
      <c r="B37" s="398"/>
      <c r="C37" s="394"/>
      <c r="D37" s="395"/>
      <c r="E37" s="393"/>
      <c r="F37" s="394"/>
      <c r="G37" s="395"/>
      <c r="H37" s="395"/>
      <c r="I37" s="395"/>
      <c r="J37" s="217">
        <v>30</v>
      </c>
    </row>
    <row r="38" spans="1:10" x14ac:dyDescent="0.35">
      <c r="A38" s="223" t="b">
        <f t="shared" si="0"/>
        <v>0</v>
      </c>
      <c r="B38" s="398"/>
      <c r="C38" s="394"/>
      <c r="D38" s="395"/>
      <c r="E38" s="393"/>
      <c r="F38" s="394"/>
      <c r="G38" s="395"/>
      <c r="H38" s="395"/>
      <c r="I38" s="395"/>
      <c r="J38" s="217">
        <v>31</v>
      </c>
    </row>
    <row r="39" spans="1:10" x14ac:dyDescent="0.35">
      <c r="A39" s="223" t="b">
        <f t="shared" si="0"/>
        <v>0</v>
      </c>
      <c r="B39" s="398"/>
      <c r="C39" s="394"/>
      <c r="D39" s="395"/>
      <c r="E39" s="393"/>
      <c r="F39" s="394"/>
      <c r="G39" s="395"/>
      <c r="H39" s="395"/>
      <c r="I39" s="395"/>
      <c r="J39" s="217">
        <v>32</v>
      </c>
    </row>
    <row r="40" spans="1:10" x14ac:dyDescent="0.35">
      <c r="A40" s="223" t="b">
        <f t="shared" si="0"/>
        <v>0</v>
      </c>
      <c r="B40" s="398"/>
      <c r="C40" s="394"/>
      <c r="D40" s="395"/>
      <c r="E40" s="393"/>
      <c r="F40" s="394"/>
      <c r="G40" s="395"/>
      <c r="H40" s="395"/>
      <c r="I40" s="395"/>
      <c r="J40" s="217">
        <v>33</v>
      </c>
    </row>
    <row r="41" spans="1:10" x14ac:dyDescent="0.35">
      <c r="A41" s="223" t="b">
        <f t="shared" si="0"/>
        <v>0</v>
      </c>
      <c r="B41" s="398"/>
      <c r="C41" s="394"/>
      <c r="D41" s="395"/>
      <c r="E41" s="393"/>
      <c r="F41" s="394"/>
      <c r="G41" s="395"/>
      <c r="H41" s="395"/>
      <c r="I41" s="395"/>
      <c r="J41" s="217">
        <v>34</v>
      </c>
    </row>
    <row r="42" spans="1:10" x14ac:dyDescent="0.35">
      <c r="A42" s="223" t="b">
        <f t="shared" si="0"/>
        <v>0</v>
      </c>
      <c r="B42" s="398"/>
      <c r="C42" s="394"/>
      <c r="D42" s="395"/>
      <c r="E42" s="393"/>
      <c r="F42" s="394"/>
      <c r="G42" s="395"/>
      <c r="H42" s="395"/>
      <c r="I42" s="395"/>
      <c r="J42" s="217">
        <v>35</v>
      </c>
    </row>
    <row r="43" spans="1:10" x14ac:dyDescent="0.35">
      <c r="A43" s="223" t="b">
        <f t="shared" si="0"/>
        <v>0</v>
      </c>
      <c r="B43" s="398"/>
      <c r="C43" s="394"/>
      <c r="D43" s="395"/>
      <c r="E43" s="393"/>
      <c r="F43" s="394"/>
      <c r="G43" s="395"/>
      <c r="H43" s="395"/>
      <c r="I43" s="395"/>
      <c r="J43" s="217">
        <v>36</v>
      </c>
    </row>
    <row r="44" spans="1:10" x14ac:dyDescent="0.35">
      <c r="A44" s="223" t="b">
        <f t="shared" si="0"/>
        <v>0</v>
      </c>
      <c r="B44" s="398"/>
      <c r="C44" s="394"/>
      <c r="D44" s="395"/>
      <c r="E44" s="393"/>
      <c r="F44" s="394"/>
      <c r="G44" s="395"/>
      <c r="H44" s="395"/>
      <c r="I44" s="395"/>
      <c r="J44" s="217">
        <v>37</v>
      </c>
    </row>
    <row r="45" spans="1:10" x14ac:dyDescent="0.35">
      <c r="A45" s="223" t="b">
        <f t="shared" si="0"/>
        <v>0</v>
      </c>
      <c r="B45" s="398"/>
      <c r="C45" s="394"/>
      <c r="D45" s="395"/>
      <c r="E45" s="393"/>
      <c r="F45" s="394"/>
      <c r="G45" s="395"/>
      <c r="H45" s="395"/>
      <c r="I45" s="395"/>
      <c r="J45" s="217">
        <v>38</v>
      </c>
    </row>
    <row r="46" spans="1:10" x14ac:dyDescent="0.35">
      <c r="A46" s="223" t="b">
        <f t="shared" si="0"/>
        <v>0</v>
      </c>
      <c r="B46" s="398"/>
      <c r="C46" s="394"/>
      <c r="D46" s="395"/>
      <c r="E46" s="393"/>
      <c r="F46" s="394"/>
      <c r="G46" s="395"/>
      <c r="H46" s="395"/>
      <c r="I46" s="395"/>
      <c r="J46" s="217">
        <v>39</v>
      </c>
    </row>
    <row r="47" spans="1:10" x14ac:dyDescent="0.35">
      <c r="A47" s="223" t="b">
        <f t="shared" si="0"/>
        <v>0</v>
      </c>
      <c r="B47" s="398"/>
      <c r="C47" s="394"/>
      <c r="D47" s="395"/>
      <c r="E47" s="393"/>
      <c r="F47" s="394"/>
      <c r="G47" s="395"/>
      <c r="H47" s="395"/>
      <c r="I47" s="395"/>
      <c r="J47" s="217">
        <v>40</v>
      </c>
    </row>
    <row r="48" spans="1:10" x14ac:dyDescent="0.35">
      <c r="A48" s="223" t="b">
        <f t="shared" si="0"/>
        <v>0</v>
      </c>
      <c r="B48" s="398"/>
      <c r="C48" s="394"/>
      <c r="D48" s="395"/>
      <c r="E48" s="393"/>
      <c r="F48" s="394"/>
      <c r="G48" s="395"/>
      <c r="H48" s="395"/>
      <c r="I48" s="395"/>
      <c r="J48" s="217">
        <v>41</v>
      </c>
    </row>
    <row r="49" spans="1:10" x14ac:dyDescent="0.35">
      <c r="A49" s="223" t="b">
        <f t="shared" si="0"/>
        <v>0</v>
      </c>
      <c r="B49" s="398"/>
      <c r="C49" s="394"/>
      <c r="D49" s="395"/>
      <c r="E49" s="393"/>
      <c r="F49" s="394"/>
      <c r="G49" s="395"/>
      <c r="H49" s="395"/>
      <c r="I49" s="395"/>
      <c r="J49" s="217">
        <v>42</v>
      </c>
    </row>
    <row r="50" spans="1:10" x14ac:dyDescent="0.35">
      <c r="A50" s="223" t="b">
        <f t="shared" si="0"/>
        <v>0</v>
      </c>
      <c r="B50" s="398"/>
      <c r="C50" s="394"/>
      <c r="D50" s="395"/>
      <c r="E50" s="393"/>
      <c r="F50" s="394"/>
      <c r="G50" s="395"/>
      <c r="H50" s="395"/>
      <c r="I50" s="395"/>
      <c r="J50" s="217">
        <v>43</v>
      </c>
    </row>
    <row r="51" spans="1:10" x14ac:dyDescent="0.35">
      <c r="A51" s="223" t="b">
        <f t="shared" si="0"/>
        <v>0</v>
      </c>
      <c r="B51" s="398"/>
      <c r="C51" s="394"/>
      <c r="D51" s="395"/>
      <c r="E51" s="393"/>
      <c r="F51" s="394"/>
      <c r="G51" s="395"/>
      <c r="H51" s="395"/>
      <c r="I51" s="395"/>
      <c r="J51" s="217">
        <v>44</v>
      </c>
    </row>
    <row r="52" spans="1:10" x14ac:dyDescent="0.35">
      <c r="A52" s="223" t="b">
        <f t="shared" si="0"/>
        <v>0</v>
      </c>
      <c r="B52" s="398"/>
      <c r="C52" s="394"/>
      <c r="D52" s="395"/>
      <c r="E52" s="393"/>
      <c r="F52" s="394"/>
      <c r="G52" s="395"/>
      <c r="H52" s="395"/>
      <c r="I52" s="395"/>
      <c r="J52" s="217">
        <v>45</v>
      </c>
    </row>
    <row r="53" spans="1:10" x14ac:dyDescent="0.35">
      <c r="A53" s="223" t="b">
        <f t="shared" si="0"/>
        <v>0</v>
      </c>
      <c r="B53" s="398"/>
      <c r="C53" s="394"/>
      <c r="D53" s="395"/>
      <c r="E53" s="393"/>
      <c r="F53" s="394"/>
      <c r="G53" s="395"/>
      <c r="H53" s="395"/>
      <c r="I53" s="395"/>
      <c r="J53" s="217">
        <v>46</v>
      </c>
    </row>
    <row r="54" spans="1:10" x14ac:dyDescent="0.35">
      <c r="A54" s="223" t="b">
        <f t="shared" si="0"/>
        <v>0</v>
      </c>
      <c r="B54" s="398"/>
      <c r="C54" s="394"/>
      <c r="D54" s="395"/>
      <c r="E54" s="393"/>
      <c r="F54" s="394"/>
      <c r="G54" s="395"/>
      <c r="H54" s="395"/>
      <c r="I54" s="395"/>
      <c r="J54" s="217">
        <v>47</v>
      </c>
    </row>
    <row r="55" spans="1:10" x14ac:dyDescent="0.35">
      <c r="A55" s="223" t="b">
        <f t="shared" si="0"/>
        <v>0</v>
      </c>
      <c r="B55" s="398"/>
      <c r="C55" s="394"/>
      <c r="D55" s="395"/>
      <c r="E55" s="393"/>
      <c r="F55" s="394"/>
      <c r="G55" s="395"/>
      <c r="H55" s="395"/>
      <c r="I55" s="395"/>
      <c r="J55" s="217">
        <v>48</v>
      </c>
    </row>
    <row r="56" spans="1:10" x14ac:dyDescent="0.35">
      <c r="A56" s="223" t="b">
        <f t="shared" si="0"/>
        <v>0</v>
      </c>
      <c r="B56" s="398"/>
      <c r="C56" s="394"/>
      <c r="D56" s="395"/>
      <c r="E56" s="393"/>
      <c r="F56" s="394"/>
      <c r="G56" s="395"/>
      <c r="H56" s="395"/>
      <c r="I56" s="395"/>
      <c r="J56" s="217">
        <v>49</v>
      </c>
    </row>
    <row r="57" spans="1:10" x14ac:dyDescent="0.35">
      <c r="A57" s="223" t="b">
        <f t="shared" si="0"/>
        <v>0</v>
      </c>
      <c r="B57" s="398"/>
      <c r="C57" s="394"/>
      <c r="D57" s="395"/>
      <c r="E57" s="393"/>
      <c r="F57" s="394"/>
      <c r="G57" s="395"/>
      <c r="H57" s="395"/>
      <c r="I57" s="395"/>
      <c r="J57" s="217">
        <v>50</v>
      </c>
    </row>
    <row r="58" spans="1:10" x14ac:dyDescent="0.35">
      <c r="A58" s="223" t="b">
        <f t="shared" si="0"/>
        <v>0</v>
      </c>
      <c r="B58" s="398"/>
      <c r="C58" s="394"/>
      <c r="D58" s="395"/>
      <c r="E58" s="393"/>
      <c r="F58" s="394"/>
      <c r="G58" s="395"/>
      <c r="H58" s="395"/>
      <c r="I58" s="395"/>
      <c r="J58" s="217">
        <v>51</v>
      </c>
    </row>
    <row r="59" spans="1:10" x14ac:dyDescent="0.35">
      <c r="A59" s="223" t="b">
        <f t="shared" si="0"/>
        <v>0</v>
      </c>
      <c r="B59" s="398"/>
      <c r="C59" s="394"/>
      <c r="D59" s="395"/>
      <c r="E59" s="393"/>
      <c r="F59" s="394"/>
      <c r="G59" s="395"/>
      <c r="H59" s="395"/>
      <c r="I59" s="395"/>
      <c r="J59" s="217">
        <v>52</v>
      </c>
    </row>
    <row r="60" spans="1:10" x14ac:dyDescent="0.35">
      <c r="A60" s="223" t="b">
        <f t="shared" si="0"/>
        <v>0</v>
      </c>
      <c r="B60" s="398"/>
      <c r="C60" s="394"/>
      <c r="D60" s="395"/>
      <c r="E60" s="393"/>
      <c r="F60" s="394"/>
      <c r="G60" s="395"/>
      <c r="H60" s="395"/>
      <c r="I60" s="395"/>
      <c r="J60" s="217">
        <v>53</v>
      </c>
    </row>
    <row r="61" spans="1:10" x14ac:dyDescent="0.35">
      <c r="A61" s="223" t="b">
        <f t="shared" si="0"/>
        <v>0</v>
      </c>
      <c r="B61" s="398"/>
      <c r="C61" s="394"/>
      <c r="D61" s="395"/>
      <c r="E61" s="393"/>
      <c r="F61" s="394"/>
      <c r="G61" s="395"/>
      <c r="H61" s="395"/>
      <c r="I61" s="395"/>
      <c r="J61" s="217">
        <v>54</v>
      </c>
    </row>
    <row r="62" spans="1:10" x14ac:dyDescent="0.35">
      <c r="A62" s="223" t="b">
        <f t="shared" si="0"/>
        <v>0</v>
      </c>
      <c r="B62" s="398"/>
      <c r="C62" s="394"/>
      <c r="D62" s="395"/>
      <c r="E62" s="393"/>
      <c r="F62" s="394"/>
      <c r="G62" s="395"/>
      <c r="H62" s="395"/>
      <c r="I62" s="395"/>
      <c r="J62" s="217">
        <v>55</v>
      </c>
    </row>
    <row r="63" spans="1:10" x14ac:dyDescent="0.35">
      <c r="A63" s="223" t="b">
        <f t="shared" si="0"/>
        <v>0</v>
      </c>
      <c r="B63" s="398"/>
      <c r="C63" s="394"/>
      <c r="D63" s="395"/>
      <c r="E63" s="393"/>
      <c r="F63" s="394"/>
      <c r="G63" s="395"/>
      <c r="H63" s="395"/>
      <c r="I63" s="395"/>
      <c r="J63" s="217">
        <v>56</v>
      </c>
    </row>
    <row r="64" spans="1:10" x14ac:dyDescent="0.35">
      <c r="A64" s="223" t="b">
        <f t="shared" si="0"/>
        <v>0</v>
      </c>
      <c r="B64" s="398"/>
      <c r="C64" s="394"/>
      <c r="D64" s="395"/>
      <c r="E64" s="393"/>
      <c r="F64" s="394"/>
      <c r="G64" s="395"/>
      <c r="H64" s="395"/>
      <c r="I64" s="395"/>
      <c r="J64" s="217">
        <v>57</v>
      </c>
    </row>
    <row r="65" spans="1:10" x14ac:dyDescent="0.35">
      <c r="A65" s="223" t="b">
        <f t="shared" si="0"/>
        <v>0</v>
      </c>
      <c r="B65" s="398"/>
      <c r="C65" s="394"/>
      <c r="D65" s="395"/>
      <c r="E65" s="393"/>
      <c r="F65" s="394"/>
      <c r="G65" s="395"/>
      <c r="H65" s="395"/>
      <c r="I65" s="395"/>
      <c r="J65" s="217">
        <v>58</v>
      </c>
    </row>
    <row r="66" spans="1:10" x14ac:dyDescent="0.35">
      <c r="A66" s="223" t="b">
        <f t="shared" si="0"/>
        <v>0</v>
      </c>
      <c r="B66" s="398"/>
      <c r="C66" s="394"/>
      <c r="D66" s="395"/>
      <c r="E66" s="393"/>
      <c r="F66" s="394"/>
      <c r="G66" s="395"/>
      <c r="H66" s="395"/>
      <c r="I66" s="395"/>
      <c r="J66" s="217">
        <v>59</v>
      </c>
    </row>
    <row r="67" spans="1:10" x14ac:dyDescent="0.35">
      <c r="A67" s="223" t="b">
        <f t="shared" si="0"/>
        <v>0</v>
      </c>
      <c r="B67" s="398"/>
      <c r="C67" s="394"/>
      <c r="D67" s="395"/>
      <c r="E67" s="393"/>
      <c r="F67" s="394"/>
      <c r="G67" s="395"/>
      <c r="H67" s="395"/>
      <c r="I67" s="395"/>
      <c r="J67" s="217">
        <v>60</v>
      </c>
    </row>
    <row r="68" spans="1:10" x14ac:dyDescent="0.35">
      <c r="A68" s="223" t="b">
        <f t="shared" si="0"/>
        <v>0</v>
      </c>
      <c r="B68" s="398"/>
      <c r="C68" s="394"/>
      <c r="D68" s="395"/>
      <c r="E68" s="393"/>
      <c r="F68" s="394"/>
      <c r="G68" s="395"/>
      <c r="H68" s="395"/>
      <c r="I68" s="395"/>
      <c r="J68" s="217">
        <v>61</v>
      </c>
    </row>
    <row r="69" spans="1:10" x14ac:dyDescent="0.35">
      <c r="A69" s="223" t="b">
        <f t="shared" si="0"/>
        <v>0</v>
      </c>
      <c r="B69" s="398"/>
      <c r="C69" s="394"/>
      <c r="D69" s="395"/>
      <c r="E69" s="393"/>
      <c r="F69" s="394"/>
      <c r="G69" s="395"/>
      <c r="H69" s="395"/>
      <c r="I69" s="395"/>
      <c r="J69" s="217">
        <v>62</v>
      </c>
    </row>
    <row r="70" spans="1:10" x14ac:dyDescent="0.35">
      <c r="A70" s="223" t="b">
        <f t="shared" si="0"/>
        <v>0</v>
      </c>
      <c r="B70" s="398"/>
      <c r="C70" s="394"/>
      <c r="D70" s="395"/>
      <c r="E70" s="393"/>
      <c r="F70" s="394"/>
      <c r="G70" s="395"/>
      <c r="H70" s="395"/>
      <c r="I70" s="395"/>
      <c r="J70" s="217">
        <v>63</v>
      </c>
    </row>
    <row r="71" spans="1:10" x14ac:dyDescent="0.35">
      <c r="A71" s="223" t="b">
        <f t="shared" si="0"/>
        <v>0</v>
      </c>
      <c r="B71" s="398"/>
      <c r="C71" s="394"/>
      <c r="D71" s="395"/>
      <c r="E71" s="393"/>
      <c r="F71" s="394"/>
      <c r="G71" s="395"/>
      <c r="H71" s="395"/>
      <c r="I71" s="395"/>
      <c r="J71" s="217">
        <v>64</v>
      </c>
    </row>
    <row r="72" spans="1:10" x14ac:dyDescent="0.35">
      <c r="A72" s="223" t="b">
        <f t="shared" ref="A72:A135" si="1">OR(B72&lt;&gt;"",D72&lt;&gt;"",C72&lt;&gt;"",E72&lt;&gt;"",F72&lt;&gt;"",G72&lt;&gt;"")</f>
        <v>0</v>
      </c>
      <c r="B72" s="398"/>
      <c r="C72" s="394"/>
      <c r="D72" s="395"/>
      <c r="E72" s="393"/>
      <c r="F72" s="394"/>
      <c r="G72" s="395"/>
      <c r="H72" s="395"/>
      <c r="I72" s="395"/>
      <c r="J72" s="217">
        <v>65</v>
      </c>
    </row>
    <row r="73" spans="1:10" x14ac:dyDescent="0.35">
      <c r="A73" s="223" t="b">
        <f t="shared" si="1"/>
        <v>0</v>
      </c>
      <c r="B73" s="398"/>
      <c r="C73" s="394"/>
      <c r="D73" s="395"/>
      <c r="E73" s="393"/>
      <c r="F73" s="394"/>
      <c r="G73" s="395"/>
      <c r="H73" s="395"/>
      <c r="I73" s="395"/>
      <c r="J73" s="217">
        <v>66</v>
      </c>
    </row>
    <row r="74" spans="1:10" x14ac:dyDescent="0.35">
      <c r="A74" s="223" t="b">
        <f t="shared" si="1"/>
        <v>0</v>
      </c>
      <c r="B74" s="398"/>
      <c r="C74" s="394"/>
      <c r="D74" s="395"/>
      <c r="E74" s="393"/>
      <c r="F74" s="394"/>
      <c r="G74" s="395"/>
      <c r="H74" s="395"/>
      <c r="I74" s="395"/>
      <c r="J74" s="217">
        <v>67</v>
      </c>
    </row>
    <row r="75" spans="1:10" x14ac:dyDescent="0.35">
      <c r="A75" s="223" t="b">
        <f t="shared" si="1"/>
        <v>0</v>
      </c>
      <c r="B75" s="398"/>
      <c r="C75" s="394"/>
      <c r="D75" s="395"/>
      <c r="E75" s="393"/>
      <c r="F75" s="394"/>
      <c r="G75" s="395"/>
      <c r="H75" s="395"/>
      <c r="I75" s="395"/>
      <c r="J75" s="217">
        <v>68</v>
      </c>
    </row>
    <row r="76" spans="1:10" x14ac:dyDescent="0.35">
      <c r="A76" s="223" t="b">
        <f t="shared" si="1"/>
        <v>0</v>
      </c>
      <c r="B76" s="398"/>
      <c r="C76" s="394"/>
      <c r="D76" s="395"/>
      <c r="E76" s="393"/>
      <c r="F76" s="394"/>
      <c r="G76" s="395"/>
      <c r="H76" s="395"/>
      <c r="I76" s="395"/>
      <c r="J76" s="217">
        <v>69</v>
      </c>
    </row>
    <row r="77" spans="1:10" x14ac:dyDescent="0.35">
      <c r="A77" s="223" t="b">
        <f t="shared" si="1"/>
        <v>0</v>
      </c>
      <c r="B77" s="398"/>
      <c r="C77" s="394"/>
      <c r="D77" s="395"/>
      <c r="E77" s="393"/>
      <c r="F77" s="394"/>
      <c r="G77" s="395"/>
      <c r="H77" s="395"/>
      <c r="I77" s="395"/>
      <c r="J77" s="217">
        <v>70</v>
      </c>
    </row>
    <row r="78" spans="1:10" x14ac:dyDescent="0.35">
      <c r="A78" s="223" t="b">
        <f t="shared" si="1"/>
        <v>0</v>
      </c>
      <c r="B78" s="398"/>
      <c r="C78" s="394"/>
      <c r="D78" s="395"/>
      <c r="E78" s="393"/>
      <c r="F78" s="394"/>
      <c r="G78" s="395"/>
      <c r="H78" s="395"/>
      <c r="I78" s="395"/>
      <c r="J78" s="217">
        <v>71</v>
      </c>
    </row>
    <row r="79" spans="1:10" x14ac:dyDescent="0.35">
      <c r="A79" s="223" t="b">
        <f t="shared" si="1"/>
        <v>0</v>
      </c>
      <c r="B79" s="398"/>
      <c r="C79" s="394"/>
      <c r="D79" s="395"/>
      <c r="E79" s="393"/>
      <c r="F79" s="394"/>
      <c r="G79" s="395"/>
      <c r="H79" s="395"/>
      <c r="I79" s="395"/>
      <c r="J79" s="217">
        <v>72</v>
      </c>
    </row>
    <row r="80" spans="1:10" x14ac:dyDescent="0.35">
      <c r="A80" s="223" t="b">
        <f t="shared" si="1"/>
        <v>0</v>
      </c>
      <c r="B80" s="398"/>
      <c r="C80" s="394"/>
      <c r="D80" s="395"/>
      <c r="E80" s="393"/>
      <c r="F80" s="394"/>
      <c r="G80" s="395"/>
      <c r="H80" s="395"/>
      <c r="I80" s="395"/>
      <c r="J80" s="217">
        <v>73</v>
      </c>
    </row>
    <row r="81" spans="1:10" x14ac:dyDescent="0.35">
      <c r="A81" s="223" t="b">
        <f t="shared" si="1"/>
        <v>0</v>
      </c>
      <c r="B81" s="398"/>
      <c r="C81" s="394"/>
      <c r="D81" s="395"/>
      <c r="E81" s="393"/>
      <c r="F81" s="394"/>
      <c r="G81" s="395"/>
      <c r="H81" s="395"/>
      <c r="I81" s="395"/>
      <c r="J81" s="217">
        <v>74</v>
      </c>
    </row>
    <row r="82" spans="1:10" x14ac:dyDescent="0.35">
      <c r="A82" s="223" t="b">
        <f t="shared" si="1"/>
        <v>0</v>
      </c>
      <c r="B82" s="398"/>
      <c r="C82" s="394"/>
      <c r="D82" s="395"/>
      <c r="E82" s="393"/>
      <c r="F82" s="394"/>
      <c r="G82" s="395"/>
      <c r="H82" s="395"/>
      <c r="I82" s="395"/>
      <c r="J82" s="217">
        <v>75</v>
      </c>
    </row>
    <row r="83" spans="1:10" x14ac:dyDescent="0.35">
      <c r="A83" s="223" t="b">
        <f t="shared" si="1"/>
        <v>0</v>
      </c>
      <c r="B83" s="398"/>
      <c r="C83" s="394"/>
      <c r="D83" s="395"/>
      <c r="E83" s="393"/>
      <c r="F83" s="394"/>
      <c r="G83" s="395"/>
      <c r="H83" s="395"/>
      <c r="I83" s="395"/>
      <c r="J83" s="217">
        <v>76</v>
      </c>
    </row>
    <row r="84" spans="1:10" x14ac:dyDescent="0.35">
      <c r="A84" s="223" t="b">
        <f t="shared" si="1"/>
        <v>0</v>
      </c>
      <c r="B84" s="398"/>
      <c r="C84" s="394"/>
      <c r="D84" s="395"/>
      <c r="E84" s="393"/>
      <c r="F84" s="394"/>
      <c r="G84" s="395"/>
      <c r="H84" s="395"/>
      <c r="I84" s="395"/>
      <c r="J84" s="217">
        <v>77</v>
      </c>
    </row>
    <row r="85" spans="1:10" x14ac:dyDescent="0.35">
      <c r="A85" s="223" t="b">
        <f t="shared" si="1"/>
        <v>0</v>
      </c>
      <c r="B85" s="398"/>
      <c r="C85" s="394"/>
      <c r="D85" s="395"/>
      <c r="E85" s="393"/>
      <c r="F85" s="394"/>
      <c r="G85" s="395"/>
      <c r="H85" s="395"/>
      <c r="I85" s="395"/>
      <c r="J85" s="217">
        <v>78</v>
      </c>
    </row>
    <row r="86" spans="1:10" x14ac:dyDescent="0.35">
      <c r="A86" s="223" t="b">
        <f t="shared" si="1"/>
        <v>0</v>
      </c>
      <c r="B86" s="398"/>
      <c r="C86" s="394"/>
      <c r="D86" s="395"/>
      <c r="E86" s="393"/>
      <c r="F86" s="394"/>
      <c r="G86" s="395"/>
      <c r="H86" s="395"/>
      <c r="I86" s="395"/>
      <c r="J86" s="217">
        <v>79</v>
      </c>
    </row>
    <row r="87" spans="1:10" x14ac:dyDescent="0.35">
      <c r="A87" s="223" t="b">
        <f t="shared" si="1"/>
        <v>0</v>
      </c>
      <c r="B87" s="398"/>
      <c r="C87" s="394"/>
      <c r="D87" s="395"/>
      <c r="E87" s="393"/>
      <c r="F87" s="394"/>
      <c r="G87" s="395"/>
      <c r="H87" s="395"/>
      <c r="I87" s="395"/>
      <c r="J87" s="217">
        <v>80</v>
      </c>
    </row>
    <row r="88" spans="1:10" x14ac:dyDescent="0.35">
      <c r="A88" s="223" t="b">
        <f t="shared" si="1"/>
        <v>0</v>
      </c>
      <c r="B88" s="398"/>
      <c r="C88" s="394"/>
      <c r="D88" s="395"/>
      <c r="E88" s="393"/>
      <c r="F88" s="394"/>
      <c r="G88" s="395"/>
      <c r="H88" s="395"/>
      <c r="I88" s="395"/>
      <c r="J88" s="217">
        <v>81</v>
      </c>
    </row>
    <row r="89" spans="1:10" x14ac:dyDescent="0.35">
      <c r="A89" s="223" t="b">
        <f t="shared" si="1"/>
        <v>0</v>
      </c>
      <c r="B89" s="398"/>
      <c r="C89" s="394"/>
      <c r="D89" s="395"/>
      <c r="E89" s="393"/>
      <c r="F89" s="394"/>
      <c r="G89" s="395"/>
      <c r="H89" s="395"/>
      <c r="I89" s="395"/>
      <c r="J89" s="217">
        <v>82</v>
      </c>
    </row>
    <row r="90" spans="1:10" x14ac:dyDescent="0.35">
      <c r="A90" s="223" t="b">
        <f t="shared" si="1"/>
        <v>0</v>
      </c>
      <c r="B90" s="398"/>
      <c r="C90" s="394"/>
      <c r="D90" s="395"/>
      <c r="E90" s="393"/>
      <c r="F90" s="394"/>
      <c r="G90" s="395"/>
      <c r="H90" s="395"/>
      <c r="I90" s="395"/>
      <c r="J90" s="217">
        <v>83</v>
      </c>
    </row>
    <row r="91" spans="1:10" x14ac:dyDescent="0.35">
      <c r="A91" s="223" t="b">
        <f t="shared" si="1"/>
        <v>0</v>
      </c>
      <c r="B91" s="398"/>
      <c r="C91" s="394"/>
      <c r="D91" s="395"/>
      <c r="E91" s="393"/>
      <c r="F91" s="394"/>
      <c r="G91" s="395"/>
      <c r="H91" s="395"/>
      <c r="I91" s="395"/>
      <c r="J91" s="217">
        <v>84</v>
      </c>
    </row>
    <row r="92" spans="1:10" x14ac:dyDescent="0.35">
      <c r="A92" s="223" t="b">
        <f t="shared" si="1"/>
        <v>0</v>
      </c>
      <c r="B92" s="398"/>
      <c r="C92" s="394"/>
      <c r="D92" s="395"/>
      <c r="E92" s="393"/>
      <c r="F92" s="394"/>
      <c r="G92" s="395"/>
      <c r="H92" s="395"/>
      <c r="I92" s="395"/>
      <c r="J92" s="217">
        <v>85</v>
      </c>
    </row>
    <row r="93" spans="1:10" x14ac:dyDescent="0.35">
      <c r="A93" s="223" t="b">
        <f t="shared" si="1"/>
        <v>0</v>
      </c>
      <c r="B93" s="398"/>
      <c r="C93" s="394"/>
      <c r="D93" s="395"/>
      <c r="E93" s="393"/>
      <c r="F93" s="394"/>
      <c r="G93" s="395"/>
      <c r="H93" s="395"/>
      <c r="I93" s="395"/>
      <c r="J93" s="217">
        <v>86</v>
      </c>
    </row>
    <row r="94" spans="1:10" x14ac:dyDescent="0.35">
      <c r="A94" s="223" t="b">
        <f t="shared" si="1"/>
        <v>0</v>
      </c>
      <c r="B94" s="398"/>
      <c r="C94" s="394"/>
      <c r="D94" s="395"/>
      <c r="E94" s="393"/>
      <c r="F94" s="394"/>
      <c r="G94" s="395"/>
      <c r="H94" s="395"/>
      <c r="I94" s="395"/>
      <c r="J94" s="217">
        <v>87</v>
      </c>
    </row>
    <row r="95" spans="1:10" x14ac:dyDescent="0.35">
      <c r="A95" s="223" t="b">
        <f t="shared" si="1"/>
        <v>0</v>
      </c>
      <c r="B95" s="398"/>
      <c r="C95" s="394"/>
      <c r="D95" s="395"/>
      <c r="E95" s="393"/>
      <c r="F95" s="394"/>
      <c r="G95" s="395"/>
      <c r="H95" s="395"/>
      <c r="I95" s="395"/>
      <c r="J95" s="217">
        <v>88</v>
      </c>
    </row>
    <row r="96" spans="1:10" x14ac:dyDescent="0.35">
      <c r="A96" s="223" t="b">
        <f t="shared" si="1"/>
        <v>0</v>
      </c>
      <c r="B96" s="398"/>
      <c r="C96" s="394"/>
      <c r="D96" s="395"/>
      <c r="E96" s="393"/>
      <c r="F96" s="394"/>
      <c r="G96" s="395"/>
      <c r="H96" s="395"/>
      <c r="I96" s="395"/>
      <c r="J96" s="217">
        <v>89</v>
      </c>
    </row>
    <row r="97" spans="1:10" x14ac:dyDescent="0.35">
      <c r="A97" s="223" t="b">
        <f t="shared" si="1"/>
        <v>0</v>
      </c>
      <c r="B97" s="398"/>
      <c r="C97" s="394"/>
      <c r="D97" s="395"/>
      <c r="E97" s="393"/>
      <c r="F97" s="394"/>
      <c r="G97" s="395"/>
      <c r="H97" s="395"/>
      <c r="I97" s="395"/>
      <c r="J97" s="217">
        <v>90</v>
      </c>
    </row>
    <row r="98" spans="1:10" x14ac:dyDescent="0.35">
      <c r="A98" s="223" t="b">
        <f t="shared" si="1"/>
        <v>0</v>
      </c>
      <c r="B98" s="398"/>
      <c r="C98" s="394"/>
      <c r="D98" s="395"/>
      <c r="E98" s="393"/>
      <c r="F98" s="394"/>
      <c r="G98" s="395"/>
      <c r="H98" s="395"/>
      <c r="I98" s="395"/>
      <c r="J98" s="217">
        <v>91</v>
      </c>
    </row>
    <row r="99" spans="1:10" x14ac:dyDescent="0.35">
      <c r="A99" s="223" t="b">
        <f t="shared" si="1"/>
        <v>0</v>
      </c>
      <c r="B99" s="398"/>
      <c r="C99" s="394"/>
      <c r="D99" s="395"/>
      <c r="E99" s="393"/>
      <c r="F99" s="394"/>
      <c r="G99" s="395"/>
      <c r="H99" s="395"/>
      <c r="I99" s="395"/>
      <c r="J99" s="217">
        <v>92</v>
      </c>
    </row>
    <row r="100" spans="1:10" x14ac:dyDescent="0.35">
      <c r="A100" s="223" t="b">
        <f t="shared" si="1"/>
        <v>0</v>
      </c>
      <c r="B100" s="398"/>
      <c r="C100" s="394"/>
      <c r="D100" s="395"/>
      <c r="E100" s="393"/>
      <c r="F100" s="394"/>
      <c r="G100" s="395"/>
      <c r="H100" s="395"/>
      <c r="I100" s="395"/>
      <c r="J100" s="217">
        <v>93</v>
      </c>
    </row>
    <row r="101" spans="1:10" x14ac:dyDescent="0.35">
      <c r="A101" s="223" t="b">
        <f t="shared" si="1"/>
        <v>0</v>
      </c>
      <c r="B101" s="398"/>
      <c r="C101" s="394"/>
      <c r="D101" s="395"/>
      <c r="E101" s="393"/>
      <c r="F101" s="394"/>
      <c r="G101" s="395"/>
      <c r="H101" s="395"/>
      <c r="I101" s="395"/>
      <c r="J101" s="217">
        <v>94</v>
      </c>
    </row>
    <row r="102" spans="1:10" x14ac:dyDescent="0.35">
      <c r="A102" s="223" t="b">
        <f t="shared" si="1"/>
        <v>0</v>
      </c>
      <c r="B102" s="398"/>
      <c r="C102" s="394"/>
      <c r="D102" s="395"/>
      <c r="E102" s="393"/>
      <c r="F102" s="394"/>
      <c r="G102" s="395"/>
      <c r="H102" s="395"/>
      <c r="I102" s="395"/>
      <c r="J102" s="217">
        <v>95</v>
      </c>
    </row>
    <row r="103" spans="1:10" x14ac:dyDescent="0.35">
      <c r="A103" s="223" t="b">
        <f t="shared" si="1"/>
        <v>0</v>
      </c>
      <c r="B103" s="398"/>
      <c r="C103" s="394"/>
      <c r="D103" s="395"/>
      <c r="E103" s="393"/>
      <c r="F103" s="394"/>
      <c r="G103" s="395"/>
      <c r="H103" s="395"/>
      <c r="I103" s="395"/>
      <c r="J103" s="217">
        <v>96</v>
      </c>
    </row>
    <row r="104" spans="1:10" x14ac:dyDescent="0.35">
      <c r="A104" s="223" t="b">
        <f t="shared" si="1"/>
        <v>0</v>
      </c>
      <c r="B104" s="398"/>
      <c r="C104" s="394"/>
      <c r="D104" s="395"/>
      <c r="E104" s="393"/>
      <c r="F104" s="394"/>
      <c r="G104" s="395"/>
      <c r="H104" s="395"/>
      <c r="I104" s="395"/>
      <c r="J104" s="217">
        <v>97</v>
      </c>
    </row>
    <row r="105" spans="1:10" x14ac:dyDescent="0.35">
      <c r="A105" s="223" t="b">
        <f t="shared" si="1"/>
        <v>0</v>
      </c>
      <c r="B105" s="398"/>
      <c r="C105" s="394"/>
      <c r="D105" s="395"/>
      <c r="E105" s="393"/>
      <c r="F105" s="394"/>
      <c r="G105" s="395"/>
      <c r="H105" s="395"/>
      <c r="I105" s="395"/>
      <c r="J105" s="217">
        <v>98</v>
      </c>
    </row>
    <row r="106" spans="1:10" x14ac:dyDescent="0.35">
      <c r="A106" s="223" t="b">
        <f t="shared" si="1"/>
        <v>0</v>
      </c>
      <c r="B106" s="398"/>
      <c r="C106" s="394"/>
      <c r="D106" s="395"/>
      <c r="E106" s="393"/>
      <c r="F106" s="394"/>
      <c r="G106" s="395"/>
      <c r="H106" s="395"/>
      <c r="I106" s="395"/>
      <c r="J106" s="217">
        <v>99</v>
      </c>
    </row>
    <row r="107" spans="1:10" x14ac:dyDescent="0.35">
      <c r="A107" s="223" t="b">
        <f t="shared" si="1"/>
        <v>0</v>
      </c>
      <c r="B107" s="398"/>
      <c r="C107" s="394"/>
      <c r="D107" s="395"/>
      <c r="E107" s="393"/>
      <c r="F107" s="394"/>
      <c r="G107" s="395"/>
      <c r="H107" s="395"/>
      <c r="I107" s="395"/>
      <c r="J107" s="217">
        <v>100</v>
      </c>
    </row>
    <row r="108" spans="1:10" x14ac:dyDescent="0.35">
      <c r="A108" s="223" t="b">
        <f t="shared" si="1"/>
        <v>0</v>
      </c>
      <c r="B108" s="398"/>
      <c r="C108" s="394"/>
      <c r="D108" s="395"/>
      <c r="E108" s="393"/>
      <c r="F108" s="394"/>
      <c r="G108" s="395"/>
      <c r="H108" s="395"/>
      <c r="I108" s="395"/>
      <c r="J108" s="217">
        <v>101</v>
      </c>
    </row>
    <row r="109" spans="1:10" x14ac:dyDescent="0.35">
      <c r="A109" s="223" t="b">
        <f t="shared" si="1"/>
        <v>0</v>
      </c>
      <c r="B109" s="398"/>
      <c r="C109" s="394"/>
      <c r="D109" s="395"/>
      <c r="E109" s="393"/>
      <c r="F109" s="394"/>
      <c r="G109" s="395"/>
      <c r="H109" s="395"/>
      <c r="I109" s="395"/>
      <c r="J109" s="217">
        <v>102</v>
      </c>
    </row>
    <row r="110" spans="1:10" x14ac:dyDescent="0.35">
      <c r="A110" s="223" t="b">
        <f t="shared" si="1"/>
        <v>0</v>
      </c>
      <c r="B110" s="398"/>
      <c r="C110" s="394"/>
      <c r="D110" s="395"/>
      <c r="E110" s="393"/>
      <c r="F110" s="394"/>
      <c r="G110" s="395"/>
      <c r="H110" s="395"/>
      <c r="I110" s="395"/>
      <c r="J110" s="217">
        <v>103</v>
      </c>
    </row>
    <row r="111" spans="1:10" x14ac:dyDescent="0.35">
      <c r="A111" s="223" t="b">
        <f t="shared" si="1"/>
        <v>0</v>
      </c>
      <c r="B111" s="398"/>
      <c r="C111" s="394"/>
      <c r="D111" s="395"/>
      <c r="E111" s="393"/>
      <c r="F111" s="394"/>
      <c r="G111" s="395"/>
      <c r="H111" s="395"/>
      <c r="I111" s="395"/>
      <c r="J111" s="217">
        <v>104</v>
      </c>
    </row>
    <row r="112" spans="1:10" x14ac:dyDescent="0.35">
      <c r="A112" s="223" t="b">
        <f t="shared" si="1"/>
        <v>0</v>
      </c>
      <c r="B112" s="398"/>
      <c r="C112" s="394"/>
      <c r="D112" s="395"/>
      <c r="E112" s="393"/>
      <c r="F112" s="394"/>
      <c r="G112" s="395"/>
      <c r="H112" s="395"/>
      <c r="I112" s="395"/>
      <c r="J112" s="217">
        <v>105</v>
      </c>
    </row>
    <row r="113" spans="1:10" x14ac:dyDescent="0.35">
      <c r="A113" s="223" t="b">
        <f t="shared" si="1"/>
        <v>0</v>
      </c>
      <c r="B113" s="398"/>
      <c r="C113" s="394"/>
      <c r="D113" s="395"/>
      <c r="E113" s="393"/>
      <c r="F113" s="394"/>
      <c r="G113" s="395"/>
      <c r="H113" s="395"/>
      <c r="I113" s="395"/>
      <c r="J113" s="217">
        <v>106</v>
      </c>
    </row>
    <row r="114" spans="1:10" x14ac:dyDescent="0.35">
      <c r="A114" s="223" t="b">
        <f t="shared" si="1"/>
        <v>0</v>
      </c>
      <c r="B114" s="398"/>
      <c r="C114" s="394"/>
      <c r="D114" s="395"/>
      <c r="E114" s="393"/>
      <c r="F114" s="394"/>
      <c r="G114" s="395"/>
      <c r="H114" s="395"/>
      <c r="I114" s="395"/>
      <c r="J114" s="217">
        <v>107</v>
      </c>
    </row>
    <row r="115" spans="1:10" x14ac:dyDescent="0.35">
      <c r="A115" s="223" t="b">
        <f t="shared" si="1"/>
        <v>0</v>
      </c>
      <c r="B115" s="398"/>
      <c r="C115" s="394"/>
      <c r="D115" s="395"/>
      <c r="E115" s="393"/>
      <c r="F115" s="394"/>
      <c r="G115" s="395"/>
      <c r="H115" s="395"/>
      <c r="I115" s="395"/>
      <c r="J115" s="217">
        <v>108</v>
      </c>
    </row>
    <row r="116" spans="1:10" x14ac:dyDescent="0.35">
      <c r="A116" s="223" t="b">
        <f t="shared" si="1"/>
        <v>0</v>
      </c>
      <c r="B116" s="398"/>
      <c r="C116" s="394"/>
      <c r="D116" s="395"/>
      <c r="E116" s="393"/>
      <c r="F116" s="394"/>
      <c r="G116" s="395"/>
      <c r="H116" s="395"/>
      <c r="I116" s="395"/>
      <c r="J116" s="217">
        <v>109</v>
      </c>
    </row>
    <row r="117" spans="1:10" x14ac:dyDescent="0.35">
      <c r="A117" s="223" t="b">
        <f t="shared" si="1"/>
        <v>0</v>
      </c>
      <c r="B117" s="398"/>
      <c r="C117" s="394"/>
      <c r="D117" s="395"/>
      <c r="E117" s="393"/>
      <c r="F117" s="394"/>
      <c r="G117" s="395"/>
      <c r="H117" s="395"/>
      <c r="I117" s="395"/>
      <c r="J117" s="217">
        <v>110</v>
      </c>
    </row>
    <row r="118" spans="1:10" x14ac:dyDescent="0.35">
      <c r="A118" s="223" t="b">
        <f t="shared" si="1"/>
        <v>0</v>
      </c>
      <c r="B118" s="398"/>
      <c r="C118" s="394"/>
      <c r="D118" s="395"/>
      <c r="E118" s="393"/>
      <c r="F118" s="394"/>
      <c r="G118" s="395"/>
      <c r="H118" s="395"/>
      <c r="I118" s="395"/>
      <c r="J118" s="217">
        <v>111</v>
      </c>
    </row>
    <row r="119" spans="1:10" x14ac:dyDescent="0.35">
      <c r="A119" s="223" t="b">
        <f t="shared" si="1"/>
        <v>0</v>
      </c>
      <c r="B119" s="398"/>
      <c r="C119" s="394"/>
      <c r="D119" s="395"/>
      <c r="E119" s="393"/>
      <c r="F119" s="394"/>
      <c r="G119" s="395"/>
      <c r="H119" s="395"/>
      <c r="I119" s="395"/>
      <c r="J119" s="217">
        <v>112</v>
      </c>
    </row>
    <row r="120" spans="1:10" x14ac:dyDescent="0.35">
      <c r="A120" s="223" t="b">
        <f t="shared" si="1"/>
        <v>0</v>
      </c>
      <c r="B120" s="398"/>
      <c r="C120" s="394"/>
      <c r="D120" s="395"/>
      <c r="E120" s="393"/>
      <c r="F120" s="394"/>
      <c r="G120" s="395"/>
      <c r="H120" s="395"/>
      <c r="I120" s="395"/>
      <c r="J120" s="217">
        <v>113</v>
      </c>
    </row>
    <row r="121" spans="1:10" x14ac:dyDescent="0.35">
      <c r="A121" s="223" t="b">
        <f t="shared" si="1"/>
        <v>0</v>
      </c>
      <c r="B121" s="398"/>
      <c r="C121" s="394"/>
      <c r="D121" s="395"/>
      <c r="E121" s="393"/>
      <c r="F121" s="394"/>
      <c r="G121" s="395"/>
      <c r="H121" s="395"/>
      <c r="I121" s="395"/>
      <c r="J121" s="217">
        <v>114</v>
      </c>
    </row>
    <row r="122" spans="1:10" x14ac:dyDescent="0.35">
      <c r="A122" s="223" t="b">
        <f t="shared" si="1"/>
        <v>0</v>
      </c>
      <c r="B122" s="398"/>
      <c r="C122" s="394"/>
      <c r="D122" s="395"/>
      <c r="E122" s="393"/>
      <c r="F122" s="394"/>
      <c r="G122" s="395"/>
      <c r="H122" s="395"/>
      <c r="I122" s="395"/>
      <c r="J122" s="217">
        <v>115</v>
      </c>
    </row>
    <row r="123" spans="1:10" x14ac:dyDescent="0.35">
      <c r="A123" s="223" t="b">
        <f t="shared" si="1"/>
        <v>0</v>
      </c>
      <c r="B123" s="398"/>
      <c r="C123" s="394"/>
      <c r="D123" s="395"/>
      <c r="E123" s="393"/>
      <c r="F123" s="394"/>
      <c r="G123" s="395"/>
      <c r="H123" s="395"/>
      <c r="I123" s="395"/>
      <c r="J123" s="217">
        <v>116</v>
      </c>
    </row>
    <row r="124" spans="1:10" x14ac:dyDescent="0.35">
      <c r="A124" s="223" t="b">
        <f t="shared" si="1"/>
        <v>0</v>
      </c>
      <c r="B124" s="398"/>
      <c r="C124" s="394"/>
      <c r="D124" s="395"/>
      <c r="E124" s="393"/>
      <c r="F124" s="394"/>
      <c r="G124" s="395"/>
      <c r="H124" s="395"/>
      <c r="I124" s="395"/>
      <c r="J124" s="217">
        <v>117</v>
      </c>
    </row>
    <row r="125" spans="1:10" x14ac:dyDescent="0.35">
      <c r="A125" s="223" t="b">
        <f t="shared" si="1"/>
        <v>0</v>
      </c>
      <c r="B125" s="398"/>
      <c r="C125" s="394"/>
      <c r="D125" s="395"/>
      <c r="E125" s="393"/>
      <c r="F125" s="394"/>
      <c r="G125" s="395"/>
      <c r="H125" s="395"/>
      <c r="I125" s="395"/>
      <c r="J125" s="217">
        <v>118</v>
      </c>
    </row>
    <row r="126" spans="1:10" x14ac:dyDescent="0.35">
      <c r="A126" s="223" t="b">
        <f t="shared" si="1"/>
        <v>0</v>
      </c>
      <c r="B126" s="398"/>
      <c r="C126" s="394"/>
      <c r="D126" s="395"/>
      <c r="E126" s="393"/>
      <c r="F126" s="394"/>
      <c r="G126" s="395"/>
      <c r="H126" s="395"/>
      <c r="I126" s="395"/>
      <c r="J126" s="217">
        <v>119</v>
      </c>
    </row>
    <row r="127" spans="1:10" x14ac:dyDescent="0.35">
      <c r="A127" s="223" t="b">
        <f t="shared" si="1"/>
        <v>0</v>
      </c>
      <c r="B127" s="398"/>
      <c r="C127" s="394"/>
      <c r="D127" s="395"/>
      <c r="E127" s="393"/>
      <c r="F127" s="394"/>
      <c r="G127" s="395"/>
      <c r="H127" s="395"/>
      <c r="I127" s="395"/>
      <c r="J127" s="217">
        <v>120</v>
      </c>
    </row>
    <row r="128" spans="1:10" x14ac:dyDescent="0.35">
      <c r="A128" s="223" t="b">
        <f t="shared" si="1"/>
        <v>0</v>
      </c>
      <c r="B128" s="398"/>
      <c r="C128" s="394"/>
      <c r="D128" s="395"/>
      <c r="E128" s="393"/>
      <c r="F128" s="394"/>
      <c r="G128" s="395"/>
      <c r="H128" s="395"/>
      <c r="I128" s="395"/>
      <c r="J128" s="217">
        <v>121</v>
      </c>
    </row>
    <row r="129" spans="1:10" x14ac:dyDescent="0.35">
      <c r="A129" s="223" t="b">
        <f t="shared" si="1"/>
        <v>0</v>
      </c>
      <c r="B129" s="398"/>
      <c r="C129" s="394"/>
      <c r="D129" s="395"/>
      <c r="E129" s="393"/>
      <c r="F129" s="394"/>
      <c r="G129" s="395"/>
      <c r="H129" s="395"/>
      <c r="I129" s="395"/>
      <c r="J129" s="217">
        <v>122</v>
      </c>
    </row>
    <row r="130" spans="1:10" x14ac:dyDescent="0.35">
      <c r="A130" s="223" t="b">
        <f t="shared" si="1"/>
        <v>0</v>
      </c>
      <c r="B130" s="398"/>
      <c r="C130" s="394"/>
      <c r="D130" s="395"/>
      <c r="E130" s="393"/>
      <c r="F130" s="394"/>
      <c r="G130" s="395"/>
      <c r="H130" s="395"/>
      <c r="I130" s="395"/>
      <c r="J130" s="217">
        <v>123</v>
      </c>
    </row>
    <row r="131" spans="1:10" x14ac:dyDescent="0.35">
      <c r="A131" s="223" t="b">
        <f t="shared" si="1"/>
        <v>0</v>
      </c>
      <c r="B131" s="398"/>
      <c r="C131" s="394"/>
      <c r="D131" s="395"/>
      <c r="E131" s="393"/>
      <c r="F131" s="394"/>
      <c r="G131" s="395"/>
      <c r="H131" s="395"/>
      <c r="I131" s="395"/>
      <c r="J131" s="217">
        <v>124</v>
      </c>
    </row>
    <row r="132" spans="1:10" x14ac:dyDescent="0.35">
      <c r="A132" s="223" t="b">
        <f t="shared" si="1"/>
        <v>0</v>
      </c>
      <c r="B132" s="398"/>
      <c r="C132" s="394"/>
      <c r="D132" s="395"/>
      <c r="E132" s="393"/>
      <c r="F132" s="394"/>
      <c r="G132" s="395"/>
      <c r="H132" s="395"/>
      <c r="I132" s="395"/>
      <c r="J132" s="217">
        <v>125</v>
      </c>
    </row>
    <row r="133" spans="1:10" x14ac:dyDescent="0.35">
      <c r="A133" s="223" t="b">
        <f t="shared" si="1"/>
        <v>0</v>
      </c>
      <c r="B133" s="398"/>
      <c r="C133" s="394"/>
      <c r="D133" s="395"/>
      <c r="E133" s="393"/>
      <c r="F133" s="394"/>
      <c r="G133" s="395"/>
      <c r="H133" s="395"/>
      <c r="I133" s="395"/>
      <c r="J133" s="217">
        <v>126</v>
      </c>
    </row>
    <row r="134" spans="1:10" x14ac:dyDescent="0.35">
      <c r="A134" s="223" t="b">
        <f t="shared" si="1"/>
        <v>0</v>
      </c>
      <c r="B134" s="398"/>
      <c r="C134" s="394"/>
      <c r="D134" s="395"/>
      <c r="E134" s="393"/>
      <c r="F134" s="394"/>
      <c r="G134" s="395"/>
      <c r="H134" s="395"/>
      <c r="I134" s="395"/>
      <c r="J134" s="217">
        <v>127</v>
      </c>
    </row>
    <row r="135" spans="1:10" x14ac:dyDescent="0.35">
      <c r="A135" s="223" t="b">
        <f t="shared" si="1"/>
        <v>0</v>
      </c>
      <c r="B135" s="398"/>
      <c r="C135" s="394"/>
      <c r="D135" s="395"/>
      <c r="E135" s="393"/>
      <c r="F135" s="394"/>
      <c r="G135" s="395"/>
      <c r="H135" s="395"/>
      <c r="I135" s="395"/>
      <c r="J135" s="217">
        <v>128</v>
      </c>
    </row>
    <row r="136" spans="1:10" x14ac:dyDescent="0.35">
      <c r="A136" s="223" t="b">
        <f t="shared" ref="A136:A199" si="2">OR(B136&lt;&gt;"",D136&lt;&gt;"",C136&lt;&gt;"",E136&lt;&gt;"",F136&lt;&gt;"",G136&lt;&gt;"")</f>
        <v>0</v>
      </c>
      <c r="B136" s="398"/>
      <c r="C136" s="394"/>
      <c r="D136" s="395"/>
      <c r="E136" s="393"/>
      <c r="F136" s="394"/>
      <c r="G136" s="395"/>
      <c r="H136" s="395"/>
      <c r="I136" s="395"/>
      <c r="J136" s="217">
        <v>129</v>
      </c>
    </row>
    <row r="137" spans="1:10" x14ac:dyDescent="0.35">
      <c r="A137" s="223" t="b">
        <f t="shared" si="2"/>
        <v>0</v>
      </c>
      <c r="B137" s="398"/>
      <c r="C137" s="394"/>
      <c r="D137" s="395"/>
      <c r="E137" s="393"/>
      <c r="F137" s="394"/>
      <c r="G137" s="395"/>
      <c r="H137" s="395"/>
      <c r="I137" s="395"/>
      <c r="J137" s="217">
        <v>130</v>
      </c>
    </row>
    <row r="138" spans="1:10" x14ac:dyDescent="0.35">
      <c r="A138" s="223" t="b">
        <f t="shared" si="2"/>
        <v>0</v>
      </c>
      <c r="B138" s="398"/>
      <c r="C138" s="394"/>
      <c r="D138" s="395"/>
      <c r="E138" s="393"/>
      <c r="F138" s="394"/>
      <c r="G138" s="395"/>
      <c r="H138" s="395"/>
      <c r="I138" s="395"/>
      <c r="J138" s="217">
        <v>131</v>
      </c>
    </row>
    <row r="139" spans="1:10" x14ac:dyDescent="0.35">
      <c r="A139" s="223" t="b">
        <f t="shared" si="2"/>
        <v>0</v>
      </c>
      <c r="B139" s="398"/>
      <c r="C139" s="394"/>
      <c r="D139" s="395"/>
      <c r="E139" s="393"/>
      <c r="F139" s="394"/>
      <c r="G139" s="395"/>
      <c r="H139" s="395"/>
      <c r="I139" s="395"/>
      <c r="J139" s="217">
        <v>132</v>
      </c>
    </row>
    <row r="140" spans="1:10" x14ac:dyDescent="0.35">
      <c r="A140" s="223" t="b">
        <f t="shared" si="2"/>
        <v>0</v>
      </c>
      <c r="B140" s="398"/>
      <c r="C140" s="394"/>
      <c r="D140" s="395"/>
      <c r="E140" s="393"/>
      <c r="F140" s="394"/>
      <c r="G140" s="395"/>
      <c r="H140" s="395"/>
      <c r="I140" s="395"/>
      <c r="J140" s="217">
        <v>133</v>
      </c>
    </row>
    <row r="141" spans="1:10" x14ac:dyDescent="0.35">
      <c r="A141" s="223" t="b">
        <f t="shared" si="2"/>
        <v>0</v>
      </c>
      <c r="B141" s="398"/>
      <c r="C141" s="394"/>
      <c r="D141" s="395"/>
      <c r="E141" s="393"/>
      <c r="F141" s="394"/>
      <c r="G141" s="395"/>
      <c r="H141" s="395"/>
      <c r="I141" s="395"/>
      <c r="J141" s="217">
        <v>134</v>
      </c>
    </row>
    <row r="142" spans="1:10" x14ac:dyDescent="0.35">
      <c r="A142" s="223" t="b">
        <f t="shared" si="2"/>
        <v>0</v>
      </c>
      <c r="B142" s="398"/>
      <c r="C142" s="394"/>
      <c r="D142" s="395"/>
      <c r="E142" s="393"/>
      <c r="F142" s="394"/>
      <c r="G142" s="395"/>
      <c r="H142" s="395"/>
      <c r="I142" s="395"/>
      <c r="J142" s="217">
        <v>135</v>
      </c>
    </row>
    <row r="143" spans="1:10" x14ac:dyDescent="0.35">
      <c r="A143" s="223" t="b">
        <f t="shared" si="2"/>
        <v>0</v>
      </c>
      <c r="B143" s="398"/>
      <c r="C143" s="394"/>
      <c r="D143" s="395"/>
      <c r="E143" s="393"/>
      <c r="F143" s="394"/>
      <c r="G143" s="395"/>
      <c r="H143" s="395"/>
      <c r="I143" s="395"/>
      <c r="J143" s="217">
        <v>136</v>
      </c>
    </row>
    <row r="144" spans="1:10" x14ac:dyDescent="0.35">
      <c r="A144" s="223" t="b">
        <f t="shared" si="2"/>
        <v>0</v>
      </c>
      <c r="B144" s="398"/>
      <c r="C144" s="394"/>
      <c r="D144" s="395"/>
      <c r="E144" s="393"/>
      <c r="F144" s="394"/>
      <c r="G144" s="395"/>
      <c r="H144" s="395"/>
      <c r="I144" s="395"/>
      <c r="J144" s="217">
        <v>137</v>
      </c>
    </row>
    <row r="145" spans="1:10" x14ac:dyDescent="0.35">
      <c r="A145" s="223" t="b">
        <f t="shared" si="2"/>
        <v>0</v>
      </c>
      <c r="B145" s="398"/>
      <c r="C145" s="394"/>
      <c r="D145" s="395"/>
      <c r="E145" s="393"/>
      <c r="F145" s="394"/>
      <c r="G145" s="395"/>
      <c r="H145" s="395"/>
      <c r="I145" s="395"/>
      <c r="J145" s="217">
        <v>138</v>
      </c>
    </row>
    <row r="146" spans="1:10" x14ac:dyDescent="0.35">
      <c r="A146" s="223" t="b">
        <f t="shared" si="2"/>
        <v>0</v>
      </c>
      <c r="B146" s="398"/>
      <c r="C146" s="394"/>
      <c r="D146" s="395"/>
      <c r="E146" s="393"/>
      <c r="F146" s="394"/>
      <c r="G146" s="395"/>
      <c r="H146" s="395"/>
      <c r="I146" s="395"/>
      <c r="J146" s="217">
        <v>139</v>
      </c>
    </row>
    <row r="147" spans="1:10" x14ac:dyDescent="0.35">
      <c r="A147" s="223" t="b">
        <f t="shared" si="2"/>
        <v>0</v>
      </c>
      <c r="B147" s="398"/>
      <c r="C147" s="394"/>
      <c r="D147" s="395"/>
      <c r="E147" s="393"/>
      <c r="F147" s="394"/>
      <c r="G147" s="395"/>
      <c r="H147" s="395"/>
      <c r="I147" s="395"/>
      <c r="J147" s="217">
        <v>140</v>
      </c>
    </row>
    <row r="148" spans="1:10" x14ac:dyDescent="0.35">
      <c r="A148" s="223" t="b">
        <f t="shared" si="2"/>
        <v>0</v>
      </c>
      <c r="B148" s="398"/>
      <c r="C148" s="394"/>
      <c r="D148" s="395"/>
      <c r="E148" s="393"/>
      <c r="F148" s="394"/>
      <c r="G148" s="395"/>
      <c r="H148" s="395"/>
      <c r="I148" s="395"/>
      <c r="J148" s="217">
        <v>141</v>
      </c>
    </row>
    <row r="149" spans="1:10" x14ac:dyDescent="0.35">
      <c r="A149" s="223" t="b">
        <f t="shared" si="2"/>
        <v>0</v>
      </c>
      <c r="B149" s="398"/>
      <c r="C149" s="394"/>
      <c r="D149" s="395"/>
      <c r="E149" s="393"/>
      <c r="F149" s="394"/>
      <c r="G149" s="395"/>
      <c r="H149" s="395"/>
      <c r="I149" s="395"/>
      <c r="J149" s="217">
        <v>142</v>
      </c>
    </row>
    <row r="150" spans="1:10" x14ac:dyDescent="0.35">
      <c r="A150" s="223" t="b">
        <f t="shared" si="2"/>
        <v>0</v>
      </c>
      <c r="B150" s="398"/>
      <c r="C150" s="394"/>
      <c r="D150" s="395"/>
      <c r="E150" s="393"/>
      <c r="F150" s="394"/>
      <c r="G150" s="395"/>
      <c r="H150" s="395"/>
      <c r="I150" s="395"/>
      <c r="J150" s="217">
        <v>143</v>
      </c>
    </row>
    <row r="151" spans="1:10" x14ac:dyDescent="0.35">
      <c r="A151" s="223" t="b">
        <f t="shared" si="2"/>
        <v>0</v>
      </c>
      <c r="B151" s="398"/>
      <c r="C151" s="394"/>
      <c r="D151" s="395"/>
      <c r="E151" s="393"/>
      <c r="F151" s="394"/>
      <c r="G151" s="395"/>
      <c r="H151" s="395"/>
      <c r="I151" s="395"/>
      <c r="J151" s="217">
        <v>144</v>
      </c>
    </row>
    <row r="152" spans="1:10" x14ac:dyDescent="0.35">
      <c r="A152" s="223" t="b">
        <f t="shared" si="2"/>
        <v>0</v>
      </c>
      <c r="B152" s="398"/>
      <c r="C152" s="394"/>
      <c r="D152" s="395"/>
      <c r="E152" s="393"/>
      <c r="F152" s="394"/>
      <c r="G152" s="395"/>
      <c r="H152" s="395"/>
      <c r="I152" s="395"/>
      <c r="J152" s="217">
        <v>145</v>
      </c>
    </row>
    <row r="153" spans="1:10" x14ac:dyDescent="0.35">
      <c r="A153" s="223" t="b">
        <f t="shared" si="2"/>
        <v>0</v>
      </c>
      <c r="B153" s="398"/>
      <c r="C153" s="394"/>
      <c r="D153" s="395"/>
      <c r="E153" s="393"/>
      <c r="F153" s="394"/>
      <c r="G153" s="395"/>
      <c r="H153" s="395"/>
      <c r="I153" s="395"/>
      <c r="J153" s="217">
        <v>146</v>
      </c>
    </row>
    <row r="154" spans="1:10" x14ac:dyDescent="0.35">
      <c r="A154" s="223" t="b">
        <f t="shared" si="2"/>
        <v>0</v>
      </c>
      <c r="B154" s="398"/>
      <c r="C154" s="394"/>
      <c r="D154" s="395"/>
      <c r="E154" s="393"/>
      <c r="F154" s="394"/>
      <c r="G154" s="395"/>
      <c r="H154" s="395"/>
      <c r="I154" s="395"/>
      <c r="J154" s="217">
        <v>147</v>
      </c>
    </row>
    <row r="155" spans="1:10" x14ac:dyDescent="0.35">
      <c r="A155" s="223" t="b">
        <f t="shared" si="2"/>
        <v>0</v>
      </c>
      <c r="B155" s="398"/>
      <c r="C155" s="394"/>
      <c r="D155" s="395"/>
      <c r="E155" s="393"/>
      <c r="F155" s="394"/>
      <c r="G155" s="395"/>
      <c r="H155" s="395"/>
      <c r="I155" s="395"/>
      <c r="J155" s="217">
        <v>148</v>
      </c>
    </row>
    <row r="156" spans="1:10" x14ac:dyDescent="0.35">
      <c r="A156" s="223" t="b">
        <f t="shared" si="2"/>
        <v>0</v>
      </c>
      <c r="B156" s="398"/>
      <c r="C156" s="394"/>
      <c r="D156" s="395"/>
      <c r="E156" s="393"/>
      <c r="F156" s="394"/>
      <c r="G156" s="395"/>
      <c r="H156" s="395"/>
      <c r="I156" s="395"/>
      <c r="J156" s="217">
        <v>149</v>
      </c>
    </row>
    <row r="157" spans="1:10" x14ac:dyDescent="0.35">
      <c r="A157" s="223" t="b">
        <f t="shared" si="2"/>
        <v>0</v>
      </c>
      <c r="B157" s="398"/>
      <c r="C157" s="394"/>
      <c r="D157" s="395"/>
      <c r="E157" s="393"/>
      <c r="F157" s="394"/>
      <c r="G157" s="395"/>
      <c r="H157" s="395"/>
      <c r="I157" s="395"/>
      <c r="J157" s="217">
        <v>150</v>
      </c>
    </row>
    <row r="158" spans="1:10" x14ac:dyDescent="0.35">
      <c r="A158" s="223" t="b">
        <f t="shared" si="2"/>
        <v>0</v>
      </c>
      <c r="B158" s="398"/>
      <c r="C158" s="394"/>
      <c r="D158" s="395"/>
      <c r="E158" s="393"/>
      <c r="F158" s="394"/>
      <c r="G158" s="395"/>
      <c r="H158" s="395"/>
      <c r="I158" s="395"/>
      <c r="J158" s="217">
        <v>151</v>
      </c>
    </row>
    <row r="159" spans="1:10" x14ac:dyDescent="0.35">
      <c r="A159" s="223" t="b">
        <f t="shared" si="2"/>
        <v>0</v>
      </c>
      <c r="B159" s="398"/>
      <c r="C159" s="394"/>
      <c r="D159" s="395"/>
      <c r="E159" s="393"/>
      <c r="F159" s="394"/>
      <c r="G159" s="395"/>
      <c r="H159" s="395"/>
      <c r="I159" s="395"/>
      <c r="J159" s="217">
        <v>152</v>
      </c>
    </row>
    <row r="160" spans="1:10" x14ac:dyDescent="0.35">
      <c r="A160" s="223" t="b">
        <f t="shared" si="2"/>
        <v>0</v>
      </c>
      <c r="B160" s="398"/>
      <c r="C160" s="394"/>
      <c r="D160" s="395"/>
      <c r="E160" s="393"/>
      <c r="F160" s="394"/>
      <c r="G160" s="395"/>
      <c r="H160" s="395"/>
      <c r="I160" s="395"/>
      <c r="J160" s="217">
        <v>153</v>
      </c>
    </row>
    <row r="161" spans="1:10" x14ac:dyDescent="0.35">
      <c r="A161" s="223" t="b">
        <f t="shared" si="2"/>
        <v>0</v>
      </c>
      <c r="B161" s="398"/>
      <c r="C161" s="394"/>
      <c r="D161" s="395"/>
      <c r="E161" s="393"/>
      <c r="F161" s="394"/>
      <c r="G161" s="395"/>
      <c r="H161" s="395"/>
      <c r="I161" s="395"/>
      <c r="J161" s="217">
        <v>154</v>
      </c>
    </row>
    <row r="162" spans="1:10" x14ac:dyDescent="0.35">
      <c r="A162" s="223" t="b">
        <f t="shared" si="2"/>
        <v>0</v>
      </c>
      <c r="B162" s="398"/>
      <c r="C162" s="394"/>
      <c r="D162" s="395"/>
      <c r="E162" s="393"/>
      <c r="F162" s="394"/>
      <c r="G162" s="395"/>
      <c r="H162" s="395"/>
      <c r="I162" s="395"/>
      <c r="J162" s="217">
        <v>155</v>
      </c>
    </row>
    <row r="163" spans="1:10" x14ac:dyDescent="0.35">
      <c r="A163" s="223" t="b">
        <f t="shared" si="2"/>
        <v>0</v>
      </c>
      <c r="B163" s="398"/>
      <c r="C163" s="394"/>
      <c r="D163" s="395"/>
      <c r="E163" s="393"/>
      <c r="F163" s="394"/>
      <c r="G163" s="395"/>
      <c r="H163" s="395"/>
      <c r="I163" s="395"/>
      <c r="J163" s="217">
        <v>156</v>
      </c>
    </row>
    <row r="164" spans="1:10" x14ac:dyDescent="0.35">
      <c r="A164" s="223" t="b">
        <f t="shared" si="2"/>
        <v>0</v>
      </c>
      <c r="B164" s="398"/>
      <c r="C164" s="394"/>
      <c r="D164" s="395"/>
      <c r="E164" s="393"/>
      <c r="F164" s="394"/>
      <c r="G164" s="395"/>
      <c r="H164" s="395"/>
      <c r="I164" s="395"/>
      <c r="J164" s="217">
        <v>157</v>
      </c>
    </row>
    <row r="165" spans="1:10" x14ac:dyDescent="0.35">
      <c r="A165" s="223" t="b">
        <f t="shared" si="2"/>
        <v>0</v>
      </c>
      <c r="B165" s="398"/>
      <c r="C165" s="394"/>
      <c r="D165" s="395"/>
      <c r="E165" s="393"/>
      <c r="F165" s="394"/>
      <c r="G165" s="395"/>
      <c r="H165" s="395"/>
      <c r="I165" s="395"/>
      <c r="J165" s="217">
        <v>158</v>
      </c>
    </row>
    <row r="166" spans="1:10" x14ac:dyDescent="0.35">
      <c r="A166" s="223" t="b">
        <f t="shared" si="2"/>
        <v>0</v>
      </c>
      <c r="B166" s="398"/>
      <c r="C166" s="394"/>
      <c r="D166" s="395"/>
      <c r="E166" s="393"/>
      <c r="F166" s="394"/>
      <c r="G166" s="395"/>
      <c r="H166" s="395"/>
      <c r="I166" s="395"/>
      <c r="J166" s="217">
        <v>159</v>
      </c>
    </row>
    <row r="167" spans="1:10" x14ac:dyDescent="0.35">
      <c r="A167" s="223" t="b">
        <f t="shared" si="2"/>
        <v>0</v>
      </c>
      <c r="B167" s="398"/>
      <c r="C167" s="394"/>
      <c r="D167" s="395"/>
      <c r="E167" s="393"/>
      <c r="F167" s="394"/>
      <c r="G167" s="395"/>
      <c r="H167" s="395"/>
      <c r="I167" s="395"/>
      <c r="J167" s="217">
        <v>160</v>
      </c>
    </row>
    <row r="168" spans="1:10" x14ac:dyDescent="0.35">
      <c r="A168" s="223" t="b">
        <f t="shared" si="2"/>
        <v>0</v>
      </c>
      <c r="B168" s="398"/>
      <c r="C168" s="394"/>
      <c r="D168" s="395"/>
      <c r="E168" s="393"/>
      <c r="F168" s="394"/>
      <c r="G168" s="395"/>
      <c r="H168" s="395"/>
      <c r="I168" s="395"/>
      <c r="J168" s="217">
        <v>161</v>
      </c>
    </row>
    <row r="169" spans="1:10" x14ac:dyDescent="0.35">
      <c r="A169" s="223" t="b">
        <f t="shared" si="2"/>
        <v>0</v>
      </c>
      <c r="B169" s="398"/>
      <c r="C169" s="394"/>
      <c r="D169" s="395"/>
      <c r="E169" s="393"/>
      <c r="F169" s="394"/>
      <c r="G169" s="395"/>
      <c r="H169" s="395"/>
      <c r="I169" s="395"/>
      <c r="J169" s="217">
        <v>162</v>
      </c>
    </row>
    <row r="170" spans="1:10" x14ac:dyDescent="0.35">
      <c r="A170" s="223" t="b">
        <f t="shared" si="2"/>
        <v>0</v>
      </c>
      <c r="B170" s="398"/>
      <c r="C170" s="394"/>
      <c r="D170" s="395"/>
      <c r="E170" s="393"/>
      <c r="F170" s="394"/>
      <c r="G170" s="395"/>
      <c r="H170" s="395"/>
      <c r="I170" s="395"/>
      <c r="J170" s="217">
        <v>163</v>
      </c>
    </row>
    <row r="171" spans="1:10" x14ac:dyDescent="0.35">
      <c r="A171" s="223" t="b">
        <f t="shared" si="2"/>
        <v>0</v>
      </c>
      <c r="B171" s="398"/>
      <c r="C171" s="394"/>
      <c r="D171" s="395"/>
      <c r="E171" s="393"/>
      <c r="F171" s="394"/>
      <c r="G171" s="395"/>
      <c r="H171" s="395"/>
      <c r="I171" s="395"/>
      <c r="J171" s="217">
        <v>164</v>
      </c>
    </row>
    <row r="172" spans="1:10" x14ac:dyDescent="0.35">
      <c r="A172" s="223" t="b">
        <f t="shared" si="2"/>
        <v>0</v>
      </c>
      <c r="B172" s="398"/>
      <c r="C172" s="394"/>
      <c r="D172" s="395"/>
      <c r="E172" s="393"/>
      <c r="F172" s="394"/>
      <c r="G172" s="395"/>
      <c r="H172" s="395"/>
      <c r="I172" s="395"/>
      <c r="J172" s="217">
        <v>165</v>
      </c>
    </row>
    <row r="173" spans="1:10" x14ac:dyDescent="0.35">
      <c r="A173" s="223" t="b">
        <f t="shared" si="2"/>
        <v>0</v>
      </c>
      <c r="B173" s="398"/>
      <c r="C173" s="394"/>
      <c r="D173" s="395"/>
      <c r="E173" s="393"/>
      <c r="F173" s="394"/>
      <c r="G173" s="395"/>
      <c r="H173" s="395"/>
      <c r="I173" s="395"/>
      <c r="J173" s="217">
        <v>166</v>
      </c>
    </row>
    <row r="174" spans="1:10" x14ac:dyDescent="0.35">
      <c r="A174" s="223" t="b">
        <f t="shared" si="2"/>
        <v>0</v>
      </c>
      <c r="B174" s="398"/>
      <c r="C174" s="394"/>
      <c r="D174" s="395"/>
      <c r="E174" s="393"/>
      <c r="F174" s="394"/>
      <c r="G174" s="395"/>
      <c r="H174" s="395"/>
      <c r="I174" s="395"/>
      <c r="J174" s="217">
        <v>167</v>
      </c>
    </row>
    <row r="175" spans="1:10" x14ac:dyDescent="0.35">
      <c r="A175" s="223" t="b">
        <f t="shared" si="2"/>
        <v>0</v>
      </c>
      <c r="B175" s="398"/>
      <c r="C175" s="394"/>
      <c r="D175" s="395"/>
      <c r="E175" s="393"/>
      <c r="F175" s="394"/>
      <c r="G175" s="395"/>
      <c r="H175" s="395"/>
      <c r="I175" s="395"/>
      <c r="J175" s="217">
        <v>168</v>
      </c>
    </row>
    <row r="176" spans="1:10" x14ac:dyDescent="0.35">
      <c r="A176" s="223" t="b">
        <f t="shared" si="2"/>
        <v>0</v>
      </c>
      <c r="B176" s="398"/>
      <c r="C176" s="394"/>
      <c r="D176" s="395"/>
      <c r="E176" s="393"/>
      <c r="F176" s="394"/>
      <c r="G176" s="395"/>
      <c r="H176" s="395"/>
      <c r="I176" s="395"/>
      <c r="J176" s="217">
        <v>169</v>
      </c>
    </row>
    <row r="177" spans="1:10" x14ac:dyDescent="0.35">
      <c r="A177" s="223" t="b">
        <f t="shared" si="2"/>
        <v>0</v>
      </c>
      <c r="B177" s="398"/>
      <c r="C177" s="394"/>
      <c r="D177" s="395"/>
      <c r="E177" s="393"/>
      <c r="F177" s="394"/>
      <c r="G177" s="395"/>
      <c r="H177" s="395"/>
      <c r="I177" s="395"/>
      <c r="J177" s="217">
        <v>170</v>
      </c>
    </row>
    <row r="178" spans="1:10" x14ac:dyDescent="0.35">
      <c r="A178" s="223" t="b">
        <f t="shared" si="2"/>
        <v>0</v>
      </c>
      <c r="B178" s="398"/>
      <c r="C178" s="394"/>
      <c r="D178" s="395"/>
      <c r="E178" s="393"/>
      <c r="F178" s="394"/>
      <c r="G178" s="395"/>
      <c r="H178" s="395"/>
      <c r="I178" s="395"/>
      <c r="J178" s="217">
        <v>171</v>
      </c>
    </row>
    <row r="179" spans="1:10" x14ac:dyDescent="0.35">
      <c r="A179" s="223" t="b">
        <f t="shared" si="2"/>
        <v>0</v>
      </c>
      <c r="B179" s="398"/>
      <c r="C179" s="394"/>
      <c r="D179" s="395"/>
      <c r="E179" s="393"/>
      <c r="F179" s="394"/>
      <c r="G179" s="395"/>
      <c r="H179" s="395"/>
      <c r="I179" s="395"/>
      <c r="J179" s="217">
        <v>172</v>
      </c>
    </row>
    <row r="180" spans="1:10" x14ac:dyDescent="0.35">
      <c r="A180" s="223" t="b">
        <f t="shared" si="2"/>
        <v>0</v>
      </c>
      <c r="B180" s="398"/>
      <c r="C180" s="394"/>
      <c r="D180" s="395"/>
      <c r="E180" s="393"/>
      <c r="F180" s="394"/>
      <c r="G180" s="395"/>
      <c r="H180" s="395"/>
      <c r="I180" s="395"/>
      <c r="J180" s="217">
        <v>173</v>
      </c>
    </row>
    <row r="181" spans="1:10" x14ac:dyDescent="0.35">
      <c r="A181" s="223" t="b">
        <f t="shared" si="2"/>
        <v>0</v>
      </c>
      <c r="B181" s="398"/>
      <c r="C181" s="394"/>
      <c r="D181" s="395"/>
      <c r="E181" s="393"/>
      <c r="F181" s="394"/>
      <c r="G181" s="395"/>
      <c r="H181" s="395"/>
      <c r="I181" s="395"/>
      <c r="J181" s="217">
        <v>174</v>
      </c>
    </row>
    <row r="182" spans="1:10" x14ac:dyDescent="0.35">
      <c r="A182" s="223" t="b">
        <f t="shared" si="2"/>
        <v>0</v>
      </c>
      <c r="B182" s="398"/>
      <c r="C182" s="394"/>
      <c r="D182" s="395"/>
      <c r="E182" s="393"/>
      <c r="F182" s="394"/>
      <c r="G182" s="395"/>
      <c r="H182" s="395"/>
      <c r="I182" s="395"/>
      <c r="J182" s="217">
        <v>175</v>
      </c>
    </row>
    <row r="183" spans="1:10" x14ac:dyDescent="0.35">
      <c r="A183" s="223" t="b">
        <f t="shared" si="2"/>
        <v>0</v>
      </c>
      <c r="B183" s="398"/>
      <c r="C183" s="394"/>
      <c r="D183" s="395"/>
      <c r="E183" s="393"/>
      <c r="F183" s="394"/>
      <c r="G183" s="395"/>
      <c r="H183" s="395"/>
      <c r="I183" s="395"/>
      <c r="J183" s="217">
        <v>176</v>
      </c>
    </row>
    <row r="184" spans="1:10" x14ac:dyDescent="0.35">
      <c r="A184" s="223" t="b">
        <f t="shared" si="2"/>
        <v>0</v>
      </c>
      <c r="B184" s="398"/>
      <c r="C184" s="394"/>
      <c r="D184" s="395"/>
      <c r="E184" s="393"/>
      <c r="F184" s="394"/>
      <c r="G184" s="395"/>
      <c r="H184" s="395"/>
      <c r="I184" s="395"/>
      <c r="J184" s="217">
        <v>177</v>
      </c>
    </row>
    <row r="185" spans="1:10" x14ac:dyDescent="0.35">
      <c r="A185" s="223" t="b">
        <f t="shared" si="2"/>
        <v>0</v>
      </c>
      <c r="B185" s="398"/>
      <c r="C185" s="394"/>
      <c r="D185" s="395"/>
      <c r="E185" s="393"/>
      <c r="F185" s="394"/>
      <c r="G185" s="395"/>
      <c r="H185" s="395"/>
      <c r="I185" s="395"/>
      <c r="J185" s="217">
        <v>178</v>
      </c>
    </row>
    <row r="186" spans="1:10" x14ac:dyDescent="0.35">
      <c r="A186" s="223" t="b">
        <f t="shared" si="2"/>
        <v>0</v>
      </c>
      <c r="B186" s="398"/>
      <c r="C186" s="394"/>
      <c r="D186" s="395"/>
      <c r="E186" s="393"/>
      <c r="F186" s="394"/>
      <c r="G186" s="395"/>
      <c r="H186" s="395"/>
      <c r="I186" s="395"/>
      <c r="J186" s="217">
        <v>179</v>
      </c>
    </row>
    <row r="187" spans="1:10" x14ac:dyDescent="0.35">
      <c r="A187" s="223" t="b">
        <f t="shared" si="2"/>
        <v>0</v>
      </c>
      <c r="B187" s="398"/>
      <c r="C187" s="394"/>
      <c r="D187" s="395"/>
      <c r="E187" s="393"/>
      <c r="F187" s="394"/>
      <c r="G187" s="395"/>
      <c r="H187" s="395"/>
      <c r="I187" s="395"/>
      <c r="J187" s="217">
        <v>180</v>
      </c>
    </row>
    <row r="188" spans="1:10" x14ac:dyDescent="0.35">
      <c r="A188" s="223" t="b">
        <f t="shared" si="2"/>
        <v>0</v>
      </c>
      <c r="B188" s="398"/>
      <c r="C188" s="394"/>
      <c r="D188" s="395"/>
      <c r="E188" s="393"/>
      <c r="F188" s="394"/>
      <c r="G188" s="395"/>
      <c r="H188" s="395"/>
      <c r="I188" s="395"/>
      <c r="J188" s="217">
        <v>181</v>
      </c>
    </row>
    <row r="189" spans="1:10" x14ac:dyDescent="0.35">
      <c r="A189" s="223" t="b">
        <f t="shared" si="2"/>
        <v>0</v>
      </c>
      <c r="B189" s="398"/>
      <c r="C189" s="394"/>
      <c r="D189" s="395"/>
      <c r="E189" s="393"/>
      <c r="F189" s="394"/>
      <c r="G189" s="395"/>
      <c r="H189" s="395"/>
      <c r="I189" s="395"/>
      <c r="J189" s="217">
        <v>182</v>
      </c>
    </row>
    <row r="190" spans="1:10" x14ac:dyDescent="0.35">
      <c r="A190" s="223" t="b">
        <f t="shared" si="2"/>
        <v>0</v>
      </c>
      <c r="B190" s="398"/>
      <c r="C190" s="394"/>
      <c r="D190" s="395"/>
      <c r="E190" s="393"/>
      <c r="F190" s="394"/>
      <c r="G190" s="395"/>
      <c r="H190" s="395"/>
      <c r="I190" s="395"/>
      <c r="J190" s="217">
        <v>183</v>
      </c>
    </row>
    <row r="191" spans="1:10" x14ac:dyDescent="0.35">
      <c r="A191" s="223" t="b">
        <f t="shared" si="2"/>
        <v>0</v>
      </c>
      <c r="B191" s="398"/>
      <c r="C191" s="394"/>
      <c r="D191" s="395"/>
      <c r="E191" s="393"/>
      <c r="F191" s="394"/>
      <c r="G191" s="395"/>
      <c r="H191" s="395"/>
      <c r="I191" s="395"/>
      <c r="J191" s="217">
        <v>184</v>
      </c>
    </row>
    <row r="192" spans="1:10" x14ac:dyDescent="0.35">
      <c r="A192" s="223" t="b">
        <f t="shared" si="2"/>
        <v>0</v>
      </c>
      <c r="B192" s="398"/>
      <c r="C192" s="394"/>
      <c r="D192" s="395"/>
      <c r="E192" s="393"/>
      <c r="F192" s="394"/>
      <c r="G192" s="395"/>
      <c r="H192" s="395"/>
      <c r="I192" s="395"/>
      <c r="J192" s="217">
        <v>185</v>
      </c>
    </row>
    <row r="193" spans="1:10" x14ac:dyDescent="0.35">
      <c r="A193" s="223" t="b">
        <f t="shared" si="2"/>
        <v>0</v>
      </c>
      <c r="B193" s="398"/>
      <c r="C193" s="394"/>
      <c r="D193" s="395"/>
      <c r="E193" s="393"/>
      <c r="F193" s="394"/>
      <c r="G193" s="395"/>
      <c r="H193" s="395"/>
      <c r="I193" s="395"/>
      <c r="J193" s="217">
        <v>186</v>
      </c>
    </row>
    <row r="194" spans="1:10" x14ac:dyDescent="0.35">
      <c r="A194" s="223" t="b">
        <f t="shared" si="2"/>
        <v>0</v>
      </c>
      <c r="B194" s="398"/>
      <c r="C194" s="394"/>
      <c r="D194" s="395"/>
      <c r="E194" s="393"/>
      <c r="F194" s="394"/>
      <c r="G194" s="395"/>
      <c r="H194" s="395"/>
      <c r="I194" s="395"/>
      <c r="J194" s="217">
        <v>187</v>
      </c>
    </row>
    <row r="195" spans="1:10" x14ac:dyDescent="0.35">
      <c r="A195" s="223" t="b">
        <f t="shared" si="2"/>
        <v>0</v>
      </c>
      <c r="B195" s="398"/>
      <c r="C195" s="394"/>
      <c r="D195" s="395"/>
      <c r="E195" s="393"/>
      <c r="F195" s="394"/>
      <c r="G195" s="395"/>
      <c r="H195" s="395"/>
      <c r="I195" s="395"/>
      <c r="J195" s="217">
        <v>188</v>
      </c>
    </row>
    <row r="196" spans="1:10" x14ac:dyDescent="0.35">
      <c r="A196" s="223" t="b">
        <f t="shared" si="2"/>
        <v>0</v>
      </c>
      <c r="B196" s="398"/>
      <c r="C196" s="394"/>
      <c r="D196" s="395"/>
      <c r="E196" s="393"/>
      <c r="F196" s="394"/>
      <c r="G196" s="395"/>
      <c r="H196" s="395"/>
      <c r="I196" s="395"/>
      <c r="J196" s="217">
        <v>189</v>
      </c>
    </row>
    <row r="197" spans="1:10" x14ac:dyDescent="0.35">
      <c r="A197" s="223" t="b">
        <f t="shared" si="2"/>
        <v>0</v>
      </c>
      <c r="B197" s="398"/>
      <c r="C197" s="394"/>
      <c r="D197" s="395"/>
      <c r="E197" s="393"/>
      <c r="F197" s="394"/>
      <c r="G197" s="395"/>
      <c r="H197" s="395"/>
      <c r="I197" s="395"/>
      <c r="J197" s="217">
        <v>190</v>
      </c>
    </row>
    <row r="198" spans="1:10" x14ac:dyDescent="0.35">
      <c r="A198" s="223" t="b">
        <f t="shared" si="2"/>
        <v>0</v>
      </c>
      <c r="B198" s="398"/>
      <c r="C198" s="394"/>
      <c r="D198" s="395"/>
      <c r="E198" s="393"/>
      <c r="F198" s="394"/>
      <c r="G198" s="395"/>
      <c r="H198" s="395"/>
      <c r="I198" s="395"/>
      <c r="J198" s="217">
        <v>191</v>
      </c>
    </row>
    <row r="199" spans="1:10" x14ac:dyDescent="0.35">
      <c r="A199" s="223" t="b">
        <f t="shared" si="2"/>
        <v>0</v>
      </c>
      <c r="B199" s="398"/>
      <c r="C199" s="394"/>
      <c r="D199" s="395"/>
      <c r="E199" s="393"/>
      <c r="F199" s="394"/>
      <c r="G199" s="395"/>
      <c r="H199" s="395"/>
      <c r="I199" s="395"/>
      <c r="J199" s="217">
        <v>192</v>
      </c>
    </row>
    <row r="200" spans="1:10" x14ac:dyDescent="0.35">
      <c r="A200" s="223" t="b">
        <f t="shared" ref="A200:A263" si="3">OR(B200&lt;&gt;"",D200&lt;&gt;"",C200&lt;&gt;"",E200&lt;&gt;"",F200&lt;&gt;"",G200&lt;&gt;"")</f>
        <v>0</v>
      </c>
      <c r="B200" s="398"/>
      <c r="C200" s="394"/>
      <c r="D200" s="395"/>
      <c r="E200" s="393"/>
      <c r="F200" s="394"/>
      <c r="G200" s="395"/>
      <c r="H200" s="395"/>
      <c r="I200" s="395"/>
      <c r="J200" s="217">
        <v>193</v>
      </c>
    </row>
    <row r="201" spans="1:10" x14ac:dyDescent="0.35">
      <c r="A201" s="223" t="b">
        <f t="shared" si="3"/>
        <v>0</v>
      </c>
      <c r="B201" s="398"/>
      <c r="C201" s="394"/>
      <c r="D201" s="395"/>
      <c r="E201" s="393"/>
      <c r="F201" s="394"/>
      <c r="G201" s="395"/>
      <c r="H201" s="395"/>
      <c r="I201" s="395"/>
      <c r="J201" s="217">
        <v>194</v>
      </c>
    </row>
    <row r="202" spans="1:10" x14ac:dyDescent="0.35">
      <c r="A202" s="223" t="b">
        <f t="shared" si="3"/>
        <v>0</v>
      </c>
      <c r="B202" s="398"/>
      <c r="C202" s="394"/>
      <c r="D202" s="395"/>
      <c r="E202" s="393"/>
      <c r="F202" s="394"/>
      <c r="G202" s="395"/>
      <c r="H202" s="395"/>
      <c r="I202" s="395"/>
      <c r="J202" s="217">
        <v>195</v>
      </c>
    </row>
    <row r="203" spans="1:10" x14ac:dyDescent="0.35">
      <c r="A203" s="223" t="b">
        <f t="shared" si="3"/>
        <v>0</v>
      </c>
      <c r="B203" s="398"/>
      <c r="C203" s="394"/>
      <c r="D203" s="395"/>
      <c r="E203" s="393"/>
      <c r="F203" s="394"/>
      <c r="G203" s="395"/>
      <c r="H203" s="395"/>
      <c r="I203" s="395"/>
      <c r="J203" s="217">
        <v>196</v>
      </c>
    </row>
    <row r="204" spans="1:10" x14ac:dyDescent="0.35">
      <c r="A204" s="223" t="b">
        <f t="shared" si="3"/>
        <v>0</v>
      </c>
      <c r="B204" s="398"/>
      <c r="C204" s="394"/>
      <c r="D204" s="395"/>
      <c r="E204" s="393"/>
      <c r="F204" s="394"/>
      <c r="G204" s="395"/>
      <c r="H204" s="395"/>
      <c r="I204" s="395"/>
      <c r="J204" s="217">
        <v>197</v>
      </c>
    </row>
    <row r="205" spans="1:10" x14ac:dyDescent="0.35">
      <c r="A205" s="223" t="b">
        <f t="shared" si="3"/>
        <v>0</v>
      </c>
      <c r="B205" s="398"/>
      <c r="C205" s="394"/>
      <c r="D205" s="395"/>
      <c r="E205" s="393"/>
      <c r="F205" s="394"/>
      <c r="G205" s="395"/>
      <c r="H205" s="395"/>
      <c r="I205" s="395"/>
      <c r="J205" s="217">
        <v>198</v>
      </c>
    </row>
    <row r="206" spans="1:10" x14ac:dyDescent="0.35">
      <c r="A206" s="223" t="b">
        <f t="shared" si="3"/>
        <v>0</v>
      </c>
      <c r="B206" s="398"/>
      <c r="C206" s="394"/>
      <c r="D206" s="395"/>
      <c r="E206" s="393"/>
      <c r="F206" s="394"/>
      <c r="G206" s="395"/>
      <c r="H206" s="395"/>
      <c r="I206" s="395"/>
      <c r="J206" s="217">
        <v>199</v>
      </c>
    </row>
    <row r="207" spans="1:10" x14ac:dyDescent="0.35">
      <c r="A207" s="223" t="b">
        <f t="shared" si="3"/>
        <v>0</v>
      </c>
      <c r="B207" s="398"/>
      <c r="C207" s="394"/>
      <c r="D207" s="395"/>
      <c r="E207" s="393"/>
      <c r="F207" s="394"/>
      <c r="G207" s="395"/>
      <c r="H207" s="395"/>
      <c r="I207" s="395"/>
      <c r="J207" s="217">
        <v>200</v>
      </c>
    </row>
    <row r="208" spans="1:10" x14ac:dyDescent="0.35">
      <c r="A208" s="223" t="b">
        <f t="shared" si="3"/>
        <v>0</v>
      </c>
      <c r="B208" s="398"/>
      <c r="C208" s="394"/>
      <c r="D208" s="395"/>
      <c r="E208" s="393"/>
      <c r="F208" s="394"/>
      <c r="G208" s="395"/>
      <c r="H208" s="395"/>
      <c r="I208" s="395"/>
      <c r="J208" s="217">
        <v>201</v>
      </c>
    </row>
    <row r="209" spans="1:10" x14ac:dyDescent="0.35">
      <c r="A209" s="223" t="b">
        <f t="shared" si="3"/>
        <v>0</v>
      </c>
      <c r="B209" s="398"/>
      <c r="C209" s="394"/>
      <c r="D209" s="395"/>
      <c r="E209" s="393"/>
      <c r="F209" s="394"/>
      <c r="G209" s="395"/>
      <c r="H209" s="395"/>
      <c r="I209" s="395"/>
      <c r="J209" s="217">
        <v>202</v>
      </c>
    </row>
    <row r="210" spans="1:10" x14ac:dyDescent="0.35">
      <c r="A210" s="223" t="b">
        <f t="shared" si="3"/>
        <v>0</v>
      </c>
      <c r="B210" s="398"/>
      <c r="C210" s="394"/>
      <c r="D210" s="395"/>
      <c r="E210" s="393"/>
      <c r="F210" s="394"/>
      <c r="G210" s="395"/>
      <c r="H210" s="395"/>
      <c r="I210" s="395"/>
      <c r="J210" s="217">
        <v>203</v>
      </c>
    </row>
    <row r="211" spans="1:10" x14ac:dyDescent="0.35">
      <c r="A211" s="223" t="b">
        <f t="shared" si="3"/>
        <v>0</v>
      </c>
      <c r="B211" s="398"/>
      <c r="C211" s="394"/>
      <c r="D211" s="395"/>
      <c r="E211" s="393"/>
      <c r="F211" s="394"/>
      <c r="G211" s="395"/>
      <c r="H211" s="395"/>
      <c r="I211" s="395"/>
      <c r="J211" s="217">
        <v>204</v>
      </c>
    </row>
    <row r="212" spans="1:10" x14ac:dyDescent="0.35">
      <c r="A212" s="223" t="b">
        <f t="shared" si="3"/>
        <v>0</v>
      </c>
      <c r="B212" s="398"/>
      <c r="C212" s="394"/>
      <c r="D212" s="395"/>
      <c r="E212" s="393"/>
      <c r="F212" s="394"/>
      <c r="G212" s="395"/>
      <c r="H212" s="395"/>
      <c r="I212" s="395"/>
      <c r="J212" s="217">
        <v>205</v>
      </c>
    </row>
    <row r="213" spans="1:10" x14ac:dyDescent="0.35">
      <c r="A213" s="223" t="b">
        <f t="shared" si="3"/>
        <v>0</v>
      </c>
      <c r="B213" s="398"/>
      <c r="C213" s="394"/>
      <c r="D213" s="395"/>
      <c r="E213" s="393"/>
      <c r="F213" s="394"/>
      <c r="G213" s="395"/>
      <c r="H213" s="395"/>
      <c r="I213" s="395"/>
      <c r="J213" s="217">
        <v>206</v>
      </c>
    </row>
    <row r="214" spans="1:10" x14ac:dyDescent="0.35">
      <c r="A214" s="223" t="b">
        <f t="shared" si="3"/>
        <v>0</v>
      </c>
      <c r="B214" s="398"/>
      <c r="C214" s="394"/>
      <c r="D214" s="395"/>
      <c r="E214" s="393"/>
      <c r="F214" s="394"/>
      <c r="G214" s="395"/>
      <c r="H214" s="395"/>
      <c r="I214" s="395"/>
      <c r="J214" s="217">
        <v>207</v>
      </c>
    </row>
    <row r="215" spans="1:10" x14ac:dyDescent="0.35">
      <c r="A215" s="223" t="b">
        <f t="shared" si="3"/>
        <v>0</v>
      </c>
      <c r="B215" s="398"/>
      <c r="C215" s="394"/>
      <c r="D215" s="395"/>
      <c r="E215" s="393"/>
      <c r="F215" s="394"/>
      <c r="G215" s="395"/>
      <c r="H215" s="395"/>
      <c r="I215" s="395"/>
      <c r="J215" s="217">
        <v>208</v>
      </c>
    </row>
    <row r="216" spans="1:10" x14ac:dyDescent="0.35">
      <c r="A216" s="223" t="b">
        <f t="shared" si="3"/>
        <v>0</v>
      </c>
      <c r="B216" s="398"/>
      <c r="C216" s="394"/>
      <c r="D216" s="395"/>
      <c r="E216" s="393"/>
      <c r="F216" s="394"/>
      <c r="G216" s="395"/>
      <c r="H216" s="395"/>
      <c r="I216" s="395"/>
      <c r="J216" s="217">
        <v>209</v>
      </c>
    </row>
    <row r="217" spans="1:10" x14ac:dyDescent="0.35">
      <c r="A217" s="223" t="b">
        <f t="shared" si="3"/>
        <v>0</v>
      </c>
      <c r="B217" s="398"/>
      <c r="C217" s="394"/>
      <c r="D217" s="395"/>
      <c r="E217" s="393"/>
      <c r="F217" s="394"/>
      <c r="G217" s="395"/>
      <c r="H217" s="395"/>
      <c r="I217" s="395"/>
      <c r="J217" s="217">
        <v>210</v>
      </c>
    </row>
    <row r="218" spans="1:10" x14ac:dyDescent="0.35">
      <c r="A218" s="223" t="b">
        <f t="shared" si="3"/>
        <v>0</v>
      </c>
      <c r="B218" s="398"/>
      <c r="C218" s="394"/>
      <c r="D218" s="395"/>
      <c r="E218" s="393"/>
      <c r="F218" s="394"/>
      <c r="G218" s="395"/>
      <c r="H218" s="395"/>
      <c r="I218" s="395"/>
      <c r="J218" s="217">
        <v>211</v>
      </c>
    </row>
    <row r="219" spans="1:10" x14ac:dyDescent="0.35">
      <c r="A219" s="223" t="b">
        <f t="shared" si="3"/>
        <v>0</v>
      </c>
      <c r="B219" s="398"/>
      <c r="C219" s="394"/>
      <c r="D219" s="395"/>
      <c r="E219" s="393"/>
      <c r="F219" s="394"/>
      <c r="G219" s="395"/>
      <c r="H219" s="395"/>
      <c r="I219" s="395"/>
      <c r="J219" s="217">
        <v>212</v>
      </c>
    </row>
    <row r="220" spans="1:10" x14ac:dyDescent="0.35">
      <c r="A220" s="223" t="b">
        <f t="shared" si="3"/>
        <v>0</v>
      </c>
      <c r="B220" s="398"/>
      <c r="C220" s="394"/>
      <c r="D220" s="395"/>
      <c r="E220" s="393"/>
      <c r="F220" s="394"/>
      <c r="G220" s="395"/>
      <c r="H220" s="395"/>
      <c r="I220" s="395"/>
      <c r="J220" s="217">
        <v>213</v>
      </c>
    </row>
    <row r="221" spans="1:10" x14ac:dyDescent="0.35">
      <c r="A221" s="223" t="b">
        <f t="shared" si="3"/>
        <v>0</v>
      </c>
      <c r="B221" s="398"/>
      <c r="C221" s="394"/>
      <c r="D221" s="395"/>
      <c r="E221" s="393"/>
      <c r="F221" s="394"/>
      <c r="G221" s="395"/>
      <c r="H221" s="395"/>
      <c r="I221" s="395"/>
      <c r="J221" s="217">
        <v>214</v>
      </c>
    </row>
    <row r="222" spans="1:10" x14ac:dyDescent="0.35">
      <c r="A222" s="223" t="b">
        <f t="shared" si="3"/>
        <v>0</v>
      </c>
      <c r="B222" s="398"/>
      <c r="C222" s="394"/>
      <c r="D222" s="395"/>
      <c r="E222" s="393"/>
      <c r="F222" s="394"/>
      <c r="G222" s="395"/>
      <c r="H222" s="395"/>
      <c r="I222" s="395"/>
      <c r="J222" s="217">
        <v>215</v>
      </c>
    </row>
    <row r="223" spans="1:10" x14ac:dyDescent="0.35">
      <c r="A223" s="223" t="b">
        <f t="shared" si="3"/>
        <v>0</v>
      </c>
      <c r="B223" s="398"/>
      <c r="C223" s="394"/>
      <c r="D223" s="395"/>
      <c r="E223" s="393"/>
      <c r="F223" s="394"/>
      <c r="G223" s="395"/>
      <c r="H223" s="395"/>
      <c r="I223" s="395"/>
      <c r="J223" s="217">
        <v>216</v>
      </c>
    </row>
    <row r="224" spans="1:10" x14ac:dyDescent="0.35">
      <c r="A224" s="223" t="b">
        <f t="shared" si="3"/>
        <v>0</v>
      </c>
      <c r="B224" s="398"/>
      <c r="C224" s="394"/>
      <c r="D224" s="395"/>
      <c r="E224" s="393"/>
      <c r="F224" s="394"/>
      <c r="G224" s="395"/>
      <c r="H224" s="395"/>
      <c r="I224" s="395"/>
      <c r="J224" s="217">
        <v>217</v>
      </c>
    </row>
    <row r="225" spans="1:10" x14ac:dyDescent="0.35">
      <c r="A225" s="223" t="b">
        <f t="shared" si="3"/>
        <v>0</v>
      </c>
      <c r="B225" s="398"/>
      <c r="C225" s="394"/>
      <c r="D225" s="395"/>
      <c r="E225" s="393"/>
      <c r="F225" s="394"/>
      <c r="G225" s="395"/>
      <c r="H225" s="395"/>
      <c r="I225" s="395"/>
      <c r="J225" s="217">
        <v>218</v>
      </c>
    </row>
    <row r="226" spans="1:10" x14ac:dyDescent="0.35">
      <c r="A226" s="223" t="b">
        <f t="shared" si="3"/>
        <v>0</v>
      </c>
      <c r="B226" s="398"/>
      <c r="C226" s="394"/>
      <c r="D226" s="395"/>
      <c r="E226" s="393"/>
      <c r="F226" s="394"/>
      <c r="G226" s="395"/>
      <c r="H226" s="395"/>
      <c r="I226" s="395"/>
      <c r="J226" s="217">
        <v>219</v>
      </c>
    </row>
    <row r="227" spans="1:10" x14ac:dyDescent="0.35">
      <c r="A227" s="223" t="b">
        <f t="shared" si="3"/>
        <v>0</v>
      </c>
      <c r="B227" s="398"/>
      <c r="C227" s="394"/>
      <c r="D227" s="395"/>
      <c r="E227" s="393"/>
      <c r="F227" s="394"/>
      <c r="G227" s="395"/>
      <c r="H227" s="395"/>
      <c r="I227" s="395"/>
      <c r="J227" s="217">
        <v>220</v>
      </c>
    </row>
    <row r="228" spans="1:10" x14ac:dyDescent="0.35">
      <c r="A228" s="223" t="b">
        <f t="shared" si="3"/>
        <v>0</v>
      </c>
      <c r="B228" s="398"/>
      <c r="C228" s="394"/>
      <c r="D228" s="395"/>
      <c r="E228" s="393"/>
      <c r="F228" s="394"/>
      <c r="G228" s="395"/>
      <c r="H228" s="395"/>
      <c r="I228" s="395"/>
      <c r="J228" s="217">
        <v>221</v>
      </c>
    </row>
    <row r="229" spans="1:10" x14ac:dyDescent="0.35">
      <c r="A229" s="223" t="b">
        <f t="shared" si="3"/>
        <v>0</v>
      </c>
      <c r="B229" s="398"/>
      <c r="C229" s="394"/>
      <c r="D229" s="395"/>
      <c r="E229" s="393"/>
      <c r="F229" s="394"/>
      <c r="G229" s="395"/>
      <c r="H229" s="395"/>
      <c r="I229" s="395"/>
      <c r="J229" s="217">
        <v>222</v>
      </c>
    </row>
    <row r="230" spans="1:10" x14ac:dyDescent="0.35">
      <c r="A230" s="223" t="b">
        <f t="shared" si="3"/>
        <v>0</v>
      </c>
      <c r="B230" s="398"/>
      <c r="C230" s="394"/>
      <c r="D230" s="395"/>
      <c r="E230" s="393"/>
      <c r="F230" s="394"/>
      <c r="G230" s="395"/>
      <c r="H230" s="395"/>
      <c r="I230" s="395"/>
      <c r="J230" s="217">
        <v>223</v>
      </c>
    </row>
    <row r="231" spans="1:10" x14ac:dyDescent="0.35">
      <c r="A231" s="223" t="b">
        <f t="shared" si="3"/>
        <v>0</v>
      </c>
      <c r="B231" s="398"/>
      <c r="C231" s="394"/>
      <c r="D231" s="395"/>
      <c r="E231" s="393"/>
      <c r="F231" s="394"/>
      <c r="G231" s="395"/>
      <c r="H231" s="395"/>
      <c r="I231" s="395"/>
      <c r="J231" s="217">
        <v>224</v>
      </c>
    </row>
    <row r="232" spans="1:10" x14ac:dyDescent="0.35">
      <c r="A232" s="223" t="b">
        <f t="shared" si="3"/>
        <v>0</v>
      </c>
      <c r="B232" s="398"/>
      <c r="C232" s="394"/>
      <c r="D232" s="395"/>
      <c r="E232" s="393"/>
      <c r="F232" s="394"/>
      <c r="G232" s="395"/>
      <c r="H232" s="395"/>
      <c r="I232" s="395"/>
      <c r="J232" s="217">
        <v>225</v>
      </c>
    </row>
    <row r="233" spans="1:10" x14ac:dyDescent="0.35">
      <c r="A233" s="223" t="b">
        <f t="shared" si="3"/>
        <v>0</v>
      </c>
      <c r="B233" s="398"/>
      <c r="C233" s="394"/>
      <c r="D233" s="395"/>
      <c r="E233" s="393"/>
      <c r="F233" s="394"/>
      <c r="G233" s="395"/>
      <c r="H233" s="395"/>
      <c r="I233" s="395"/>
      <c r="J233" s="217">
        <v>226</v>
      </c>
    </row>
    <row r="234" spans="1:10" x14ac:dyDescent="0.35">
      <c r="A234" s="223" t="b">
        <f t="shared" si="3"/>
        <v>0</v>
      </c>
      <c r="B234" s="398"/>
      <c r="C234" s="394"/>
      <c r="D234" s="395"/>
      <c r="E234" s="393"/>
      <c r="F234" s="394"/>
      <c r="G234" s="395"/>
      <c r="H234" s="395"/>
      <c r="I234" s="395"/>
      <c r="J234" s="217">
        <v>227</v>
      </c>
    </row>
    <row r="235" spans="1:10" x14ac:dyDescent="0.35">
      <c r="A235" s="223" t="b">
        <f t="shared" si="3"/>
        <v>0</v>
      </c>
      <c r="B235" s="398"/>
      <c r="C235" s="394"/>
      <c r="D235" s="395"/>
      <c r="E235" s="393"/>
      <c r="F235" s="394"/>
      <c r="G235" s="395"/>
      <c r="H235" s="395"/>
      <c r="I235" s="395"/>
      <c r="J235" s="217">
        <v>228</v>
      </c>
    </row>
    <row r="236" spans="1:10" x14ac:dyDescent="0.35">
      <c r="A236" s="223" t="b">
        <f t="shared" si="3"/>
        <v>0</v>
      </c>
      <c r="B236" s="398"/>
      <c r="C236" s="394"/>
      <c r="D236" s="395"/>
      <c r="E236" s="393"/>
      <c r="F236" s="394"/>
      <c r="G236" s="395"/>
      <c r="H236" s="395"/>
      <c r="I236" s="395"/>
      <c r="J236" s="217">
        <v>229</v>
      </c>
    </row>
    <row r="237" spans="1:10" x14ac:dyDescent="0.35">
      <c r="A237" s="223" t="b">
        <f t="shared" si="3"/>
        <v>0</v>
      </c>
      <c r="B237" s="398"/>
      <c r="C237" s="394"/>
      <c r="D237" s="395"/>
      <c r="E237" s="393"/>
      <c r="F237" s="394"/>
      <c r="G237" s="395"/>
      <c r="H237" s="395"/>
      <c r="I237" s="395"/>
      <c r="J237" s="217">
        <v>230</v>
      </c>
    </row>
    <row r="238" spans="1:10" x14ac:dyDescent="0.35">
      <c r="A238" s="223" t="b">
        <f t="shared" si="3"/>
        <v>0</v>
      </c>
      <c r="B238" s="398"/>
      <c r="C238" s="394"/>
      <c r="D238" s="395"/>
      <c r="E238" s="393"/>
      <c r="F238" s="394"/>
      <c r="G238" s="395"/>
      <c r="H238" s="395"/>
      <c r="I238" s="395"/>
      <c r="J238" s="217">
        <v>231</v>
      </c>
    </row>
    <row r="239" spans="1:10" x14ac:dyDescent="0.35">
      <c r="A239" s="223" t="b">
        <f t="shared" si="3"/>
        <v>0</v>
      </c>
      <c r="B239" s="398"/>
      <c r="C239" s="394"/>
      <c r="D239" s="395"/>
      <c r="E239" s="393"/>
      <c r="F239" s="394"/>
      <c r="G239" s="395"/>
      <c r="H239" s="395"/>
      <c r="I239" s="395"/>
      <c r="J239" s="217">
        <v>232</v>
      </c>
    </row>
    <row r="240" spans="1:10" x14ac:dyDescent="0.35">
      <c r="A240" s="223" t="b">
        <f t="shared" si="3"/>
        <v>0</v>
      </c>
      <c r="B240" s="398"/>
      <c r="C240" s="394"/>
      <c r="D240" s="395"/>
      <c r="E240" s="393"/>
      <c r="F240" s="394"/>
      <c r="G240" s="395"/>
      <c r="H240" s="395"/>
      <c r="I240" s="395"/>
      <c r="J240" s="217">
        <v>233</v>
      </c>
    </row>
    <row r="241" spans="1:10" x14ac:dyDescent="0.35">
      <c r="A241" s="223" t="b">
        <f t="shared" si="3"/>
        <v>0</v>
      </c>
      <c r="B241" s="398"/>
      <c r="C241" s="394"/>
      <c r="D241" s="395"/>
      <c r="E241" s="393"/>
      <c r="F241" s="394"/>
      <c r="G241" s="395"/>
      <c r="H241" s="395"/>
      <c r="I241" s="395"/>
      <c r="J241" s="217">
        <v>234</v>
      </c>
    </row>
    <row r="242" spans="1:10" x14ac:dyDescent="0.35">
      <c r="A242" s="223" t="b">
        <f t="shared" si="3"/>
        <v>0</v>
      </c>
      <c r="B242" s="398"/>
      <c r="C242" s="394"/>
      <c r="D242" s="395"/>
      <c r="E242" s="393"/>
      <c r="F242" s="394"/>
      <c r="G242" s="395"/>
      <c r="H242" s="395"/>
      <c r="I242" s="395"/>
      <c r="J242" s="217">
        <v>235</v>
      </c>
    </row>
    <row r="243" spans="1:10" x14ac:dyDescent="0.35">
      <c r="A243" s="223" t="b">
        <f t="shared" si="3"/>
        <v>0</v>
      </c>
      <c r="B243" s="398"/>
      <c r="C243" s="394"/>
      <c r="D243" s="395"/>
      <c r="E243" s="393"/>
      <c r="F243" s="394"/>
      <c r="G243" s="395"/>
      <c r="H243" s="395"/>
      <c r="I243" s="395"/>
      <c r="J243" s="217">
        <v>236</v>
      </c>
    </row>
    <row r="244" spans="1:10" x14ac:dyDescent="0.35">
      <c r="A244" s="223" t="b">
        <f t="shared" si="3"/>
        <v>0</v>
      </c>
      <c r="B244" s="398"/>
      <c r="C244" s="394"/>
      <c r="D244" s="395"/>
      <c r="E244" s="393"/>
      <c r="F244" s="394"/>
      <c r="G244" s="395"/>
      <c r="H244" s="395"/>
      <c r="I244" s="395"/>
      <c r="J244" s="217">
        <v>237</v>
      </c>
    </row>
    <row r="245" spans="1:10" x14ac:dyDescent="0.35">
      <c r="A245" s="223" t="b">
        <f t="shared" si="3"/>
        <v>0</v>
      </c>
      <c r="B245" s="398"/>
      <c r="C245" s="394"/>
      <c r="D245" s="395"/>
      <c r="E245" s="393"/>
      <c r="F245" s="394"/>
      <c r="G245" s="395"/>
      <c r="H245" s="395"/>
      <c r="I245" s="395"/>
      <c r="J245" s="217">
        <v>238</v>
      </c>
    </row>
    <row r="246" spans="1:10" x14ac:dyDescent="0.35">
      <c r="A246" s="223" t="b">
        <f t="shared" si="3"/>
        <v>0</v>
      </c>
      <c r="B246" s="398"/>
      <c r="C246" s="394"/>
      <c r="D246" s="395"/>
      <c r="E246" s="393"/>
      <c r="F246" s="394"/>
      <c r="G246" s="395"/>
      <c r="H246" s="395"/>
      <c r="I246" s="395"/>
      <c r="J246" s="217">
        <v>239</v>
      </c>
    </row>
    <row r="247" spans="1:10" x14ac:dyDescent="0.35">
      <c r="A247" s="223" t="b">
        <f t="shared" si="3"/>
        <v>0</v>
      </c>
      <c r="B247" s="398"/>
      <c r="C247" s="394"/>
      <c r="D247" s="395"/>
      <c r="E247" s="393"/>
      <c r="F247" s="394"/>
      <c r="G247" s="395"/>
      <c r="H247" s="395"/>
      <c r="I247" s="395"/>
      <c r="J247" s="217">
        <v>240</v>
      </c>
    </row>
    <row r="248" spans="1:10" x14ac:dyDescent="0.35">
      <c r="A248" s="223" t="b">
        <f t="shared" si="3"/>
        <v>0</v>
      </c>
      <c r="B248" s="398"/>
      <c r="C248" s="394"/>
      <c r="D248" s="395"/>
      <c r="E248" s="393"/>
      <c r="F248" s="394"/>
      <c r="G248" s="395"/>
      <c r="H248" s="395"/>
      <c r="I248" s="395"/>
      <c r="J248" s="217">
        <v>241</v>
      </c>
    </row>
    <row r="249" spans="1:10" x14ac:dyDescent="0.35">
      <c r="A249" s="223" t="b">
        <f t="shared" si="3"/>
        <v>0</v>
      </c>
      <c r="B249" s="398"/>
      <c r="C249" s="394"/>
      <c r="D249" s="395"/>
      <c r="E249" s="393"/>
      <c r="F249" s="394"/>
      <c r="G249" s="395"/>
      <c r="H249" s="395"/>
      <c r="I249" s="395"/>
      <c r="J249" s="217">
        <v>242</v>
      </c>
    </row>
    <row r="250" spans="1:10" x14ac:dyDescent="0.35">
      <c r="A250" s="223" t="b">
        <f t="shared" si="3"/>
        <v>0</v>
      </c>
      <c r="B250" s="398"/>
      <c r="C250" s="394"/>
      <c r="D250" s="395"/>
      <c r="E250" s="393"/>
      <c r="F250" s="394"/>
      <c r="G250" s="395"/>
      <c r="H250" s="395"/>
      <c r="I250" s="395"/>
      <c r="J250" s="217">
        <v>243</v>
      </c>
    </row>
    <row r="251" spans="1:10" x14ac:dyDescent="0.35">
      <c r="A251" s="223" t="b">
        <f t="shared" si="3"/>
        <v>0</v>
      </c>
      <c r="B251" s="398"/>
      <c r="C251" s="394"/>
      <c r="D251" s="395"/>
      <c r="E251" s="393"/>
      <c r="F251" s="394"/>
      <c r="G251" s="395"/>
      <c r="H251" s="395"/>
      <c r="I251" s="395"/>
      <c r="J251" s="217">
        <v>244</v>
      </c>
    </row>
    <row r="252" spans="1:10" x14ac:dyDescent="0.35">
      <c r="A252" s="223" t="b">
        <f t="shared" si="3"/>
        <v>0</v>
      </c>
      <c r="B252" s="398"/>
      <c r="C252" s="394"/>
      <c r="D252" s="395"/>
      <c r="E252" s="393"/>
      <c r="F252" s="394"/>
      <c r="G252" s="395"/>
      <c r="H252" s="395"/>
      <c r="I252" s="395"/>
      <c r="J252" s="217">
        <v>245</v>
      </c>
    </row>
    <row r="253" spans="1:10" x14ac:dyDescent="0.35">
      <c r="A253" s="223" t="b">
        <f t="shared" si="3"/>
        <v>0</v>
      </c>
      <c r="B253" s="398"/>
      <c r="C253" s="394"/>
      <c r="D253" s="395"/>
      <c r="E253" s="393"/>
      <c r="F253" s="394"/>
      <c r="G253" s="395"/>
      <c r="H253" s="395"/>
      <c r="I253" s="395"/>
      <c r="J253" s="217">
        <v>246</v>
      </c>
    </row>
    <row r="254" spans="1:10" x14ac:dyDescent="0.35">
      <c r="A254" s="223" t="b">
        <f t="shared" si="3"/>
        <v>0</v>
      </c>
      <c r="B254" s="398"/>
      <c r="C254" s="394"/>
      <c r="D254" s="395"/>
      <c r="E254" s="393"/>
      <c r="F254" s="394"/>
      <c r="G254" s="395"/>
      <c r="H254" s="395"/>
      <c r="I254" s="395"/>
      <c r="J254" s="217">
        <v>247</v>
      </c>
    </row>
    <row r="255" spans="1:10" x14ac:dyDescent="0.35">
      <c r="A255" s="223" t="b">
        <f t="shared" si="3"/>
        <v>0</v>
      </c>
      <c r="B255" s="398"/>
      <c r="C255" s="394"/>
      <c r="D255" s="395"/>
      <c r="E255" s="393"/>
      <c r="F255" s="394"/>
      <c r="G255" s="395"/>
      <c r="H255" s="395"/>
      <c r="I255" s="395"/>
      <c r="J255" s="217">
        <v>248</v>
      </c>
    </row>
    <row r="256" spans="1:10" x14ac:dyDescent="0.35">
      <c r="A256" s="223" t="b">
        <f t="shared" si="3"/>
        <v>0</v>
      </c>
      <c r="B256" s="398"/>
      <c r="C256" s="394"/>
      <c r="D256" s="395"/>
      <c r="E256" s="393"/>
      <c r="F256" s="394"/>
      <c r="G256" s="395"/>
      <c r="H256" s="395"/>
      <c r="I256" s="395"/>
      <c r="J256" s="217">
        <v>249</v>
      </c>
    </row>
    <row r="257" spans="1:10" x14ac:dyDescent="0.35">
      <c r="A257" s="223" t="b">
        <f t="shared" si="3"/>
        <v>0</v>
      </c>
      <c r="B257" s="398"/>
      <c r="C257" s="394"/>
      <c r="D257" s="395"/>
      <c r="E257" s="393"/>
      <c r="F257" s="394"/>
      <c r="G257" s="395"/>
      <c r="H257" s="395"/>
      <c r="I257" s="395"/>
      <c r="J257" s="217">
        <v>250</v>
      </c>
    </row>
    <row r="258" spans="1:10" x14ac:dyDescent="0.35">
      <c r="A258" s="223" t="b">
        <f t="shared" si="3"/>
        <v>0</v>
      </c>
      <c r="B258" s="398"/>
      <c r="C258" s="394"/>
      <c r="D258" s="395"/>
      <c r="E258" s="393"/>
      <c r="F258" s="394"/>
      <c r="G258" s="395"/>
      <c r="H258" s="395"/>
      <c r="I258" s="395"/>
      <c r="J258" s="217">
        <v>251</v>
      </c>
    </row>
    <row r="259" spans="1:10" x14ac:dyDescent="0.35">
      <c r="A259" s="223" t="b">
        <f t="shared" si="3"/>
        <v>0</v>
      </c>
      <c r="B259" s="398"/>
      <c r="C259" s="394"/>
      <c r="D259" s="395"/>
      <c r="E259" s="393"/>
      <c r="F259" s="394"/>
      <c r="G259" s="395"/>
      <c r="H259" s="395"/>
      <c r="I259" s="395"/>
      <c r="J259" s="217">
        <v>252</v>
      </c>
    </row>
    <row r="260" spans="1:10" x14ac:dyDescent="0.35">
      <c r="A260" s="223" t="b">
        <f t="shared" si="3"/>
        <v>0</v>
      </c>
      <c r="B260" s="398"/>
      <c r="C260" s="394"/>
      <c r="D260" s="395"/>
      <c r="E260" s="393"/>
      <c r="F260" s="394"/>
      <c r="G260" s="395"/>
      <c r="H260" s="395"/>
      <c r="I260" s="395"/>
      <c r="J260" s="217">
        <v>253</v>
      </c>
    </row>
    <row r="261" spans="1:10" x14ac:dyDescent="0.35">
      <c r="A261" s="223" t="b">
        <f t="shared" si="3"/>
        <v>0</v>
      </c>
      <c r="B261" s="398"/>
      <c r="C261" s="394"/>
      <c r="D261" s="395"/>
      <c r="E261" s="393"/>
      <c r="F261" s="394"/>
      <c r="G261" s="395"/>
      <c r="H261" s="395"/>
      <c r="I261" s="395"/>
      <c r="J261" s="217">
        <v>254</v>
      </c>
    </row>
    <row r="262" spans="1:10" x14ac:dyDescent="0.35">
      <c r="A262" s="223" t="b">
        <f t="shared" si="3"/>
        <v>0</v>
      </c>
      <c r="B262" s="398"/>
      <c r="C262" s="394"/>
      <c r="D262" s="395"/>
      <c r="E262" s="393"/>
      <c r="F262" s="394"/>
      <c r="G262" s="395"/>
      <c r="H262" s="395"/>
      <c r="I262" s="395"/>
      <c r="J262" s="217">
        <v>255</v>
      </c>
    </row>
    <row r="263" spans="1:10" x14ac:dyDescent="0.35">
      <c r="A263" s="223" t="b">
        <f t="shared" si="3"/>
        <v>0</v>
      </c>
      <c r="B263" s="398"/>
      <c r="C263" s="394"/>
      <c r="D263" s="395"/>
      <c r="E263" s="393"/>
      <c r="F263" s="394"/>
      <c r="G263" s="395"/>
      <c r="H263" s="395"/>
      <c r="I263" s="395"/>
      <c r="J263" s="217">
        <v>256</v>
      </c>
    </row>
    <row r="264" spans="1:10" x14ac:dyDescent="0.35">
      <c r="A264" s="223" t="b">
        <f t="shared" ref="A264:A327" si="4">OR(B264&lt;&gt;"",D264&lt;&gt;"",C264&lt;&gt;"",E264&lt;&gt;"",F264&lt;&gt;"",G264&lt;&gt;"")</f>
        <v>0</v>
      </c>
      <c r="B264" s="398"/>
      <c r="C264" s="394"/>
      <c r="D264" s="395"/>
      <c r="E264" s="393"/>
      <c r="F264" s="394"/>
      <c r="G264" s="395"/>
      <c r="H264" s="395"/>
      <c r="I264" s="395"/>
      <c r="J264" s="217">
        <v>257</v>
      </c>
    </row>
    <row r="265" spans="1:10" x14ac:dyDescent="0.35">
      <c r="A265" s="223" t="b">
        <f t="shared" si="4"/>
        <v>0</v>
      </c>
      <c r="B265" s="398"/>
      <c r="C265" s="394"/>
      <c r="D265" s="395"/>
      <c r="E265" s="393"/>
      <c r="F265" s="394"/>
      <c r="G265" s="395"/>
      <c r="H265" s="395"/>
      <c r="I265" s="395"/>
      <c r="J265" s="217">
        <v>258</v>
      </c>
    </row>
    <row r="266" spans="1:10" x14ac:dyDescent="0.35">
      <c r="A266" s="223" t="b">
        <f t="shared" si="4"/>
        <v>0</v>
      </c>
      <c r="B266" s="398"/>
      <c r="C266" s="394"/>
      <c r="D266" s="395"/>
      <c r="E266" s="393"/>
      <c r="F266" s="394"/>
      <c r="G266" s="395"/>
      <c r="H266" s="395"/>
      <c r="I266" s="395"/>
      <c r="J266" s="217">
        <v>259</v>
      </c>
    </row>
    <row r="267" spans="1:10" x14ac:dyDescent="0.35">
      <c r="A267" s="223" t="b">
        <f t="shared" si="4"/>
        <v>0</v>
      </c>
      <c r="B267" s="398"/>
      <c r="C267" s="394"/>
      <c r="D267" s="395"/>
      <c r="E267" s="393"/>
      <c r="F267" s="394"/>
      <c r="G267" s="395"/>
      <c r="H267" s="395"/>
      <c r="I267" s="395"/>
      <c r="J267" s="217">
        <v>260</v>
      </c>
    </row>
    <row r="268" spans="1:10" x14ac:dyDescent="0.35">
      <c r="A268" s="223" t="b">
        <f t="shared" si="4"/>
        <v>0</v>
      </c>
      <c r="B268" s="398"/>
      <c r="C268" s="394"/>
      <c r="D268" s="395"/>
      <c r="E268" s="393"/>
      <c r="F268" s="394"/>
      <c r="G268" s="395"/>
      <c r="H268" s="395"/>
      <c r="I268" s="395"/>
      <c r="J268" s="217">
        <v>261</v>
      </c>
    </row>
    <row r="269" spans="1:10" x14ac:dyDescent="0.35">
      <c r="A269" s="223" t="b">
        <f t="shared" si="4"/>
        <v>0</v>
      </c>
      <c r="B269" s="398"/>
      <c r="C269" s="394"/>
      <c r="D269" s="395"/>
      <c r="E269" s="393"/>
      <c r="F269" s="394"/>
      <c r="G269" s="395"/>
      <c r="H269" s="395"/>
      <c r="I269" s="395"/>
      <c r="J269" s="217">
        <v>262</v>
      </c>
    </row>
    <row r="270" spans="1:10" x14ac:dyDescent="0.35">
      <c r="A270" s="223" t="b">
        <f t="shared" si="4"/>
        <v>0</v>
      </c>
      <c r="B270" s="398"/>
      <c r="C270" s="394"/>
      <c r="D270" s="395"/>
      <c r="E270" s="393"/>
      <c r="F270" s="394"/>
      <c r="G270" s="395"/>
      <c r="H270" s="395"/>
      <c r="I270" s="395"/>
      <c r="J270" s="217">
        <v>263</v>
      </c>
    </row>
    <row r="271" spans="1:10" x14ac:dyDescent="0.35">
      <c r="A271" s="223" t="b">
        <f t="shared" si="4"/>
        <v>0</v>
      </c>
      <c r="B271" s="398"/>
      <c r="C271" s="394"/>
      <c r="D271" s="395"/>
      <c r="E271" s="393"/>
      <c r="F271" s="394"/>
      <c r="G271" s="395"/>
      <c r="H271" s="395"/>
      <c r="I271" s="395"/>
      <c r="J271" s="217">
        <v>264</v>
      </c>
    </row>
    <row r="272" spans="1:10" x14ac:dyDescent="0.35">
      <c r="A272" s="223" t="b">
        <f t="shared" si="4"/>
        <v>0</v>
      </c>
      <c r="B272" s="398"/>
      <c r="C272" s="394"/>
      <c r="D272" s="395"/>
      <c r="E272" s="393"/>
      <c r="F272" s="394"/>
      <c r="G272" s="395"/>
      <c r="H272" s="395"/>
      <c r="I272" s="395"/>
      <c r="J272" s="217">
        <v>265</v>
      </c>
    </row>
    <row r="273" spans="1:10" x14ac:dyDescent="0.35">
      <c r="A273" s="223" t="b">
        <f t="shared" si="4"/>
        <v>0</v>
      </c>
      <c r="B273" s="398"/>
      <c r="C273" s="394"/>
      <c r="D273" s="395"/>
      <c r="E273" s="393"/>
      <c r="F273" s="394"/>
      <c r="G273" s="395"/>
      <c r="H273" s="395"/>
      <c r="I273" s="395"/>
      <c r="J273" s="217">
        <v>266</v>
      </c>
    </row>
    <row r="274" spans="1:10" x14ac:dyDescent="0.35">
      <c r="A274" s="223" t="b">
        <f t="shared" si="4"/>
        <v>0</v>
      </c>
      <c r="B274" s="398"/>
      <c r="C274" s="394"/>
      <c r="D274" s="395"/>
      <c r="E274" s="393"/>
      <c r="F274" s="394"/>
      <c r="G274" s="395"/>
      <c r="H274" s="395"/>
      <c r="I274" s="395"/>
      <c r="J274" s="217">
        <v>267</v>
      </c>
    </row>
    <row r="275" spans="1:10" x14ac:dyDescent="0.35">
      <c r="A275" s="223" t="b">
        <f t="shared" si="4"/>
        <v>0</v>
      </c>
      <c r="B275" s="398"/>
      <c r="C275" s="394"/>
      <c r="D275" s="395"/>
      <c r="E275" s="393"/>
      <c r="F275" s="394"/>
      <c r="G275" s="395"/>
      <c r="H275" s="395"/>
      <c r="I275" s="395"/>
      <c r="J275" s="217">
        <v>268</v>
      </c>
    </row>
    <row r="276" spans="1:10" x14ac:dyDescent="0.35">
      <c r="A276" s="223" t="b">
        <f t="shared" si="4"/>
        <v>0</v>
      </c>
      <c r="B276" s="398"/>
      <c r="C276" s="394"/>
      <c r="D276" s="395"/>
      <c r="E276" s="393"/>
      <c r="F276" s="394"/>
      <c r="G276" s="395"/>
      <c r="H276" s="395"/>
      <c r="I276" s="395"/>
      <c r="J276" s="217">
        <v>269</v>
      </c>
    </row>
    <row r="277" spans="1:10" x14ac:dyDescent="0.35">
      <c r="A277" s="223" t="b">
        <f t="shared" si="4"/>
        <v>0</v>
      </c>
      <c r="B277" s="398"/>
      <c r="C277" s="394"/>
      <c r="D277" s="395"/>
      <c r="E277" s="393"/>
      <c r="F277" s="394"/>
      <c r="G277" s="395"/>
      <c r="H277" s="395"/>
      <c r="I277" s="395"/>
      <c r="J277" s="217">
        <v>270</v>
      </c>
    </row>
    <row r="278" spans="1:10" x14ac:dyDescent="0.35">
      <c r="A278" s="223" t="b">
        <f t="shared" si="4"/>
        <v>0</v>
      </c>
      <c r="B278" s="398"/>
      <c r="C278" s="394"/>
      <c r="D278" s="395"/>
      <c r="E278" s="393"/>
      <c r="F278" s="394"/>
      <c r="G278" s="395"/>
      <c r="H278" s="395"/>
      <c r="I278" s="395"/>
      <c r="J278" s="217">
        <v>271</v>
      </c>
    </row>
    <row r="279" spans="1:10" x14ac:dyDescent="0.35">
      <c r="A279" s="223" t="b">
        <f t="shared" si="4"/>
        <v>0</v>
      </c>
      <c r="B279" s="398"/>
      <c r="C279" s="394"/>
      <c r="D279" s="395"/>
      <c r="E279" s="393"/>
      <c r="F279" s="394"/>
      <c r="G279" s="395"/>
      <c r="H279" s="395"/>
      <c r="I279" s="395"/>
      <c r="J279" s="217">
        <v>272</v>
      </c>
    </row>
    <row r="280" spans="1:10" x14ac:dyDescent="0.35">
      <c r="A280" s="223" t="b">
        <f t="shared" si="4"/>
        <v>0</v>
      </c>
      <c r="B280" s="398"/>
      <c r="C280" s="394"/>
      <c r="D280" s="395"/>
      <c r="E280" s="393"/>
      <c r="F280" s="394"/>
      <c r="G280" s="395"/>
      <c r="H280" s="395"/>
      <c r="I280" s="395"/>
      <c r="J280" s="217">
        <v>273</v>
      </c>
    </row>
    <row r="281" spans="1:10" x14ac:dyDescent="0.35">
      <c r="A281" s="223" t="b">
        <f t="shared" si="4"/>
        <v>0</v>
      </c>
      <c r="B281" s="398"/>
      <c r="C281" s="394"/>
      <c r="D281" s="395"/>
      <c r="E281" s="393"/>
      <c r="F281" s="394"/>
      <c r="G281" s="395"/>
      <c r="H281" s="395"/>
      <c r="I281" s="395"/>
      <c r="J281" s="217">
        <v>274</v>
      </c>
    </row>
    <row r="282" spans="1:10" x14ac:dyDescent="0.35">
      <c r="A282" s="223" t="b">
        <f t="shared" si="4"/>
        <v>0</v>
      </c>
      <c r="B282" s="398"/>
      <c r="C282" s="394"/>
      <c r="D282" s="395"/>
      <c r="E282" s="393"/>
      <c r="F282" s="394"/>
      <c r="G282" s="395"/>
      <c r="H282" s="395"/>
      <c r="I282" s="395"/>
      <c r="J282" s="217">
        <v>275</v>
      </c>
    </row>
    <row r="283" spans="1:10" x14ac:dyDescent="0.35">
      <c r="A283" s="223" t="b">
        <f t="shared" si="4"/>
        <v>0</v>
      </c>
      <c r="B283" s="398"/>
      <c r="C283" s="394"/>
      <c r="D283" s="395"/>
      <c r="E283" s="393"/>
      <c r="F283" s="394"/>
      <c r="G283" s="395"/>
      <c r="H283" s="395"/>
      <c r="I283" s="395"/>
      <c r="J283" s="217">
        <v>276</v>
      </c>
    </row>
    <row r="284" spans="1:10" x14ac:dyDescent="0.35">
      <c r="A284" s="223" t="b">
        <f t="shared" si="4"/>
        <v>0</v>
      </c>
      <c r="B284" s="398"/>
      <c r="C284" s="394"/>
      <c r="D284" s="395"/>
      <c r="E284" s="393"/>
      <c r="F284" s="394"/>
      <c r="G284" s="395"/>
      <c r="H284" s="395"/>
      <c r="I284" s="395"/>
      <c r="J284" s="217">
        <v>277</v>
      </c>
    </row>
    <row r="285" spans="1:10" x14ac:dyDescent="0.35">
      <c r="A285" s="223" t="b">
        <f t="shared" si="4"/>
        <v>0</v>
      </c>
      <c r="B285" s="398"/>
      <c r="C285" s="394"/>
      <c r="D285" s="395"/>
      <c r="E285" s="393"/>
      <c r="F285" s="394"/>
      <c r="G285" s="395"/>
      <c r="H285" s="395"/>
      <c r="I285" s="395"/>
      <c r="J285" s="217">
        <v>278</v>
      </c>
    </row>
    <row r="286" spans="1:10" x14ac:dyDescent="0.35">
      <c r="A286" s="223" t="b">
        <f t="shared" si="4"/>
        <v>0</v>
      </c>
      <c r="B286" s="398"/>
      <c r="C286" s="394"/>
      <c r="D286" s="395"/>
      <c r="E286" s="393"/>
      <c r="F286" s="394"/>
      <c r="G286" s="395"/>
      <c r="H286" s="395"/>
      <c r="I286" s="395"/>
      <c r="J286" s="217">
        <v>279</v>
      </c>
    </row>
    <row r="287" spans="1:10" x14ac:dyDescent="0.35">
      <c r="A287" s="223" t="b">
        <f t="shared" si="4"/>
        <v>0</v>
      </c>
      <c r="B287" s="398"/>
      <c r="C287" s="394"/>
      <c r="D287" s="395"/>
      <c r="E287" s="393"/>
      <c r="F287" s="394"/>
      <c r="G287" s="395"/>
      <c r="H287" s="395"/>
      <c r="I287" s="395"/>
      <c r="J287" s="217">
        <v>280</v>
      </c>
    </row>
    <row r="288" spans="1:10" x14ac:dyDescent="0.35">
      <c r="A288" s="223" t="b">
        <f t="shared" si="4"/>
        <v>0</v>
      </c>
      <c r="B288" s="398"/>
      <c r="C288" s="394"/>
      <c r="D288" s="395"/>
      <c r="E288" s="393"/>
      <c r="F288" s="394"/>
      <c r="G288" s="395"/>
      <c r="H288" s="395"/>
      <c r="I288" s="395"/>
      <c r="J288" s="217">
        <v>281</v>
      </c>
    </row>
    <row r="289" spans="1:10" x14ac:dyDescent="0.35">
      <c r="A289" s="223" t="b">
        <f t="shared" si="4"/>
        <v>0</v>
      </c>
      <c r="B289" s="398"/>
      <c r="C289" s="394"/>
      <c r="D289" s="395"/>
      <c r="E289" s="393"/>
      <c r="F289" s="394"/>
      <c r="G289" s="395"/>
      <c r="H289" s="395"/>
      <c r="I289" s="395"/>
      <c r="J289" s="217">
        <v>282</v>
      </c>
    </row>
    <row r="290" spans="1:10" x14ac:dyDescent="0.35">
      <c r="A290" s="223" t="b">
        <f t="shared" si="4"/>
        <v>0</v>
      </c>
      <c r="B290" s="398"/>
      <c r="C290" s="394"/>
      <c r="D290" s="395"/>
      <c r="E290" s="393"/>
      <c r="F290" s="394"/>
      <c r="G290" s="395"/>
      <c r="H290" s="395"/>
      <c r="I290" s="395"/>
      <c r="J290" s="217">
        <v>283</v>
      </c>
    </row>
    <row r="291" spans="1:10" x14ac:dyDescent="0.35">
      <c r="A291" s="223" t="b">
        <f t="shared" si="4"/>
        <v>0</v>
      </c>
      <c r="B291" s="398"/>
      <c r="C291" s="394"/>
      <c r="D291" s="395"/>
      <c r="E291" s="393"/>
      <c r="F291" s="394"/>
      <c r="G291" s="395"/>
      <c r="H291" s="395"/>
      <c r="I291" s="395"/>
      <c r="J291" s="217">
        <v>284</v>
      </c>
    </row>
    <row r="292" spans="1:10" x14ac:dyDescent="0.35">
      <c r="A292" s="223" t="b">
        <f t="shared" si="4"/>
        <v>0</v>
      </c>
      <c r="B292" s="398"/>
      <c r="C292" s="394"/>
      <c r="D292" s="395"/>
      <c r="E292" s="393"/>
      <c r="F292" s="394"/>
      <c r="G292" s="395"/>
      <c r="H292" s="395"/>
      <c r="I292" s="395"/>
      <c r="J292" s="217">
        <v>285</v>
      </c>
    </row>
    <row r="293" spans="1:10" x14ac:dyDescent="0.35">
      <c r="A293" s="223" t="b">
        <f t="shared" si="4"/>
        <v>0</v>
      </c>
      <c r="B293" s="398"/>
      <c r="C293" s="394"/>
      <c r="D293" s="395"/>
      <c r="E293" s="393"/>
      <c r="F293" s="394"/>
      <c r="G293" s="395"/>
      <c r="H293" s="395"/>
      <c r="I293" s="395"/>
      <c r="J293" s="217">
        <v>286</v>
      </c>
    </row>
    <row r="294" spans="1:10" x14ac:dyDescent="0.35">
      <c r="A294" s="223" t="b">
        <f t="shared" si="4"/>
        <v>0</v>
      </c>
      <c r="B294" s="398"/>
      <c r="C294" s="394"/>
      <c r="D294" s="395"/>
      <c r="E294" s="393"/>
      <c r="F294" s="394"/>
      <c r="G294" s="395"/>
      <c r="H294" s="395"/>
      <c r="I294" s="395"/>
      <c r="J294" s="217">
        <v>287</v>
      </c>
    </row>
    <row r="295" spans="1:10" x14ac:dyDescent="0.35">
      <c r="A295" s="223" t="b">
        <f t="shared" si="4"/>
        <v>0</v>
      </c>
      <c r="B295" s="398"/>
      <c r="C295" s="394"/>
      <c r="D295" s="395"/>
      <c r="E295" s="393"/>
      <c r="F295" s="394"/>
      <c r="G295" s="395"/>
      <c r="H295" s="395"/>
      <c r="I295" s="395"/>
      <c r="J295" s="217">
        <v>288</v>
      </c>
    </row>
    <row r="296" spans="1:10" x14ac:dyDescent="0.35">
      <c r="A296" s="223" t="b">
        <f t="shared" si="4"/>
        <v>0</v>
      </c>
      <c r="B296" s="398"/>
      <c r="C296" s="394"/>
      <c r="D296" s="395"/>
      <c r="E296" s="393"/>
      <c r="F296" s="394"/>
      <c r="G296" s="395"/>
      <c r="H296" s="395"/>
      <c r="I296" s="395"/>
      <c r="J296" s="217">
        <v>289</v>
      </c>
    </row>
    <row r="297" spans="1:10" x14ac:dyDescent="0.35">
      <c r="A297" s="223" t="b">
        <f t="shared" si="4"/>
        <v>0</v>
      </c>
      <c r="B297" s="398"/>
      <c r="C297" s="394"/>
      <c r="D297" s="395"/>
      <c r="E297" s="393"/>
      <c r="F297" s="394"/>
      <c r="G297" s="395"/>
      <c r="H297" s="395"/>
      <c r="I297" s="395"/>
      <c r="J297" s="217">
        <v>290</v>
      </c>
    </row>
    <row r="298" spans="1:10" x14ac:dyDescent="0.35">
      <c r="A298" s="223" t="b">
        <f t="shared" si="4"/>
        <v>0</v>
      </c>
      <c r="B298" s="398"/>
      <c r="C298" s="394"/>
      <c r="D298" s="395"/>
      <c r="E298" s="393"/>
      <c r="F298" s="394"/>
      <c r="G298" s="395"/>
      <c r="H298" s="395"/>
      <c r="I298" s="395"/>
      <c r="J298" s="217">
        <v>291</v>
      </c>
    </row>
    <row r="299" spans="1:10" x14ac:dyDescent="0.35">
      <c r="A299" s="223" t="b">
        <f t="shared" si="4"/>
        <v>0</v>
      </c>
      <c r="B299" s="398"/>
      <c r="C299" s="394"/>
      <c r="D299" s="395"/>
      <c r="E299" s="393"/>
      <c r="F299" s="394"/>
      <c r="G299" s="395"/>
      <c r="H299" s="395"/>
      <c r="I299" s="395"/>
      <c r="J299" s="217">
        <v>292</v>
      </c>
    </row>
    <row r="300" spans="1:10" x14ac:dyDescent="0.35">
      <c r="A300" s="223" t="b">
        <f t="shared" si="4"/>
        <v>0</v>
      </c>
      <c r="B300" s="398"/>
      <c r="C300" s="394"/>
      <c r="D300" s="395"/>
      <c r="E300" s="393"/>
      <c r="F300" s="394"/>
      <c r="G300" s="395"/>
      <c r="H300" s="395"/>
      <c r="I300" s="395"/>
      <c r="J300" s="217">
        <v>293</v>
      </c>
    </row>
    <row r="301" spans="1:10" x14ac:dyDescent="0.35">
      <c r="A301" s="223" t="b">
        <f t="shared" si="4"/>
        <v>0</v>
      </c>
      <c r="B301" s="398"/>
      <c r="C301" s="394"/>
      <c r="D301" s="395"/>
      <c r="E301" s="393"/>
      <c r="F301" s="394"/>
      <c r="G301" s="395"/>
      <c r="H301" s="395"/>
      <c r="I301" s="395"/>
      <c r="J301" s="217">
        <v>294</v>
      </c>
    </row>
    <row r="302" spans="1:10" x14ac:dyDescent="0.35">
      <c r="A302" s="223" t="b">
        <f t="shared" si="4"/>
        <v>0</v>
      </c>
      <c r="B302" s="398"/>
      <c r="C302" s="394"/>
      <c r="D302" s="395"/>
      <c r="E302" s="393"/>
      <c r="F302" s="394"/>
      <c r="G302" s="395"/>
      <c r="H302" s="395"/>
      <c r="I302" s="395"/>
      <c r="J302" s="217">
        <v>295</v>
      </c>
    </row>
    <row r="303" spans="1:10" x14ac:dyDescent="0.35">
      <c r="A303" s="223" t="b">
        <f t="shared" si="4"/>
        <v>0</v>
      </c>
      <c r="B303" s="398"/>
      <c r="C303" s="394"/>
      <c r="D303" s="395"/>
      <c r="E303" s="393"/>
      <c r="F303" s="394"/>
      <c r="G303" s="395"/>
      <c r="H303" s="395"/>
      <c r="I303" s="395"/>
      <c r="J303" s="217">
        <v>296</v>
      </c>
    </row>
    <row r="304" spans="1:10" x14ac:dyDescent="0.35">
      <c r="A304" s="223" t="b">
        <f t="shared" si="4"/>
        <v>0</v>
      </c>
      <c r="B304" s="398"/>
      <c r="C304" s="394"/>
      <c r="D304" s="395"/>
      <c r="E304" s="393"/>
      <c r="F304" s="394"/>
      <c r="G304" s="395"/>
      <c r="H304" s="395"/>
      <c r="I304" s="395"/>
      <c r="J304" s="217">
        <v>297</v>
      </c>
    </row>
    <row r="305" spans="1:10" x14ac:dyDescent="0.35">
      <c r="A305" s="223" t="b">
        <f t="shared" si="4"/>
        <v>0</v>
      </c>
      <c r="B305" s="398"/>
      <c r="C305" s="394"/>
      <c r="D305" s="395"/>
      <c r="E305" s="393"/>
      <c r="F305" s="394"/>
      <c r="G305" s="395"/>
      <c r="H305" s="395"/>
      <c r="I305" s="395"/>
      <c r="J305" s="217">
        <v>298</v>
      </c>
    </row>
    <row r="306" spans="1:10" x14ac:dyDescent="0.35">
      <c r="A306" s="223" t="b">
        <f t="shared" si="4"/>
        <v>0</v>
      </c>
      <c r="B306" s="398"/>
      <c r="C306" s="394"/>
      <c r="D306" s="395"/>
      <c r="E306" s="393"/>
      <c r="F306" s="394"/>
      <c r="G306" s="395"/>
      <c r="H306" s="395"/>
      <c r="I306" s="395"/>
      <c r="J306" s="217">
        <v>299</v>
      </c>
    </row>
    <row r="307" spans="1:10" x14ac:dyDescent="0.35">
      <c r="A307" s="223" t="b">
        <f t="shared" si="4"/>
        <v>0</v>
      </c>
      <c r="B307" s="398"/>
      <c r="C307" s="394"/>
      <c r="D307" s="395"/>
      <c r="E307" s="393"/>
      <c r="F307" s="394"/>
      <c r="G307" s="395"/>
      <c r="H307" s="395"/>
      <c r="I307" s="395"/>
      <c r="J307" s="217">
        <v>300</v>
      </c>
    </row>
    <row r="308" spans="1:10" x14ac:dyDescent="0.35">
      <c r="A308" s="223" t="b">
        <f t="shared" si="4"/>
        <v>0</v>
      </c>
      <c r="B308" s="398"/>
      <c r="C308" s="394"/>
      <c r="D308" s="395"/>
      <c r="E308" s="393"/>
      <c r="F308" s="394"/>
      <c r="G308" s="395"/>
      <c r="H308" s="395"/>
      <c r="I308" s="395"/>
      <c r="J308" s="217">
        <v>301</v>
      </c>
    </row>
    <row r="309" spans="1:10" x14ac:dyDescent="0.35">
      <c r="A309" s="223" t="b">
        <f t="shared" si="4"/>
        <v>0</v>
      </c>
      <c r="B309" s="398"/>
      <c r="C309" s="394"/>
      <c r="D309" s="395"/>
      <c r="E309" s="393"/>
      <c r="F309" s="394"/>
      <c r="G309" s="395"/>
      <c r="H309" s="395"/>
      <c r="I309" s="395"/>
      <c r="J309" s="217">
        <v>302</v>
      </c>
    </row>
    <row r="310" spans="1:10" x14ac:dyDescent="0.35">
      <c r="A310" s="223" t="b">
        <f t="shared" si="4"/>
        <v>0</v>
      </c>
      <c r="B310" s="398"/>
      <c r="C310" s="394"/>
      <c r="D310" s="395"/>
      <c r="E310" s="393"/>
      <c r="F310" s="394"/>
      <c r="G310" s="395"/>
      <c r="H310" s="395"/>
      <c r="I310" s="395"/>
      <c r="J310" s="217">
        <v>303</v>
      </c>
    </row>
    <row r="311" spans="1:10" x14ac:dyDescent="0.35">
      <c r="A311" s="223" t="b">
        <f t="shared" si="4"/>
        <v>0</v>
      </c>
      <c r="B311" s="398"/>
      <c r="C311" s="394"/>
      <c r="D311" s="395"/>
      <c r="E311" s="393"/>
      <c r="F311" s="394"/>
      <c r="G311" s="395"/>
      <c r="H311" s="395"/>
      <c r="I311" s="395"/>
      <c r="J311" s="217">
        <v>304</v>
      </c>
    </row>
    <row r="312" spans="1:10" x14ac:dyDescent="0.35">
      <c r="A312" s="223" t="b">
        <f t="shared" si="4"/>
        <v>0</v>
      </c>
      <c r="B312" s="398"/>
      <c r="C312" s="394"/>
      <c r="D312" s="395"/>
      <c r="E312" s="393"/>
      <c r="F312" s="394"/>
      <c r="G312" s="395"/>
      <c r="H312" s="395"/>
      <c r="I312" s="395"/>
      <c r="J312" s="217">
        <v>305</v>
      </c>
    </row>
    <row r="313" spans="1:10" x14ac:dyDescent="0.35">
      <c r="A313" s="223" t="b">
        <f t="shared" si="4"/>
        <v>0</v>
      </c>
      <c r="B313" s="398"/>
      <c r="C313" s="394"/>
      <c r="D313" s="395"/>
      <c r="E313" s="393"/>
      <c r="F313" s="394"/>
      <c r="G313" s="395"/>
      <c r="H313" s="395"/>
      <c r="I313" s="395"/>
      <c r="J313" s="217">
        <v>306</v>
      </c>
    </row>
    <row r="314" spans="1:10" x14ac:dyDescent="0.35">
      <c r="A314" s="223" t="b">
        <f t="shared" si="4"/>
        <v>0</v>
      </c>
      <c r="B314" s="398"/>
      <c r="C314" s="394"/>
      <c r="D314" s="395"/>
      <c r="E314" s="393"/>
      <c r="F314" s="394"/>
      <c r="G314" s="395"/>
      <c r="H314" s="395"/>
      <c r="I314" s="395"/>
      <c r="J314" s="217">
        <v>307</v>
      </c>
    </row>
    <row r="315" spans="1:10" x14ac:dyDescent="0.35">
      <c r="A315" s="223" t="b">
        <f t="shared" si="4"/>
        <v>0</v>
      </c>
      <c r="B315" s="398"/>
      <c r="C315" s="394"/>
      <c r="D315" s="395"/>
      <c r="E315" s="393"/>
      <c r="F315" s="394"/>
      <c r="G315" s="395"/>
      <c r="H315" s="395"/>
      <c r="I315" s="395"/>
      <c r="J315" s="217">
        <v>308</v>
      </c>
    </row>
    <row r="316" spans="1:10" x14ac:dyDescent="0.35">
      <c r="A316" s="223" t="b">
        <f t="shared" si="4"/>
        <v>0</v>
      </c>
      <c r="B316" s="398"/>
      <c r="C316" s="394"/>
      <c r="D316" s="395"/>
      <c r="E316" s="393"/>
      <c r="F316" s="394"/>
      <c r="G316" s="395"/>
      <c r="H316" s="395"/>
      <c r="I316" s="395"/>
      <c r="J316" s="217">
        <v>309</v>
      </c>
    </row>
    <row r="317" spans="1:10" x14ac:dyDescent="0.35">
      <c r="A317" s="223" t="b">
        <f t="shared" si="4"/>
        <v>0</v>
      </c>
      <c r="B317" s="398"/>
      <c r="C317" s="394"/>
      <c r="D317" s="395"/>
      <c r="E317" s="393"/>
      <c r="F317" s="394"/>
      <c r="G317" s="395"/>
      <c r="H317" s="395"/>
      <c r="I317" s="395"/>
      <c r="J317" s="217">
        <v>310</v>
      </c>
    </row>
    <row r="318" spans="1:10" x14ac:dyDescent="0.35">
      <c r="A318" s="223" t="b">
        <f t="shared" si="4"/>
        <v>0</v>
      </c>
      <c r="B318" s="398"/>
      <c r="C318" s="394"/>
      <c r="D318" s="395"/>
      <c r="E318" s="393"/>
      <c r="F318" s="394"/>
      <c r="G318" s="395"/>
      <c r="H318" s="395"/>
      <c r="I318" s="395"/>
      <c r="J318" s="217">
        <v>311</v>
      </c>
    </row>
    <row r="319" spans="1:10" x14ac:dyDescent="0.35">
      <c r="A319" s="223" t="b">
        <f t="shared" si="4"/>
        <v>0</v>
      </c>
      <c r="B319" s="398"/>
      <c r="C319" s="394"/>
      <c r="D319" s="395"/>
      <c r="E319" s="393"/>
      <c r="F319" s="394"/>
      <c r="G319" s="395"/>
      <c r="H319" s="395"/>
      <c r="I319" s="395"/>
      <c r="J319" s="217">
        <v>312</v>
      </c>
    </row>
    <row r="320" spans="1:10" x14ac:dyDescent="0.35">
      <c r="A320" s="223" t="b">
        <f t="shared" si="4"/>
        <v>0</v>
      </c>
      <c r="B320" s="398"/>
      <c r="C320" s="394"/>
      <c r="D320" s="395"/>
      <c r="E320" s="393"/>
      <c r="F320" s="394"/>
      <c r="G320" s="395"/>
      <c r="H320" s="395"/>
      <c r="I320" s="395"/>
      <c r="J320" s="217">
        <v>313</v>
      </c>
    </row>
    <row r="321" spans="1:10" x14ac:dyDescent="0.35">
      <c r="A321" s="223" t="b">
        <f t="shared" si="4"/>
        <v>0</v>
      </c>
      <c r="B321" s="398"/>
      <c r="C321" s="394"/>
      <c r="D321" s="395"/>
      <c r="E321" s="393"/>
      <c r="F321" s="394"/>
      <c r="G321" s="395"/>
      <c r="H321" s="395"/>
      <c r="I321" s="395"/>
      <c r="J321" s="217">
        <v>314</v>
      </c>
    </row>
    <row r="322" spans="1:10" x14ac:dyDescent="0.35">
      <c r="A322" s="223" t="b">
        <f t="shared" si="4"/>
        <v>0</v>
      </c>
      <c r="B322" s="398"/>
      <c r="C322" s="394"/>
      <c r="D322" s="395"/>
      <c r="E322" s="393"/>
      <c r="F322" s="394"/>
      <c r="G322" s="395"/>
      <c r="H322" s="395"/>
      <c r="I322" s="395"/>
      <c r="J322" s="217">
        <v>315</v>
      </c>
    </row>
    <row r="323" spans="1:10" x14ac:dyDescent="0.35">
      <c r="A323" s="223" t="b">
        <f t="shared" si="4"/>
        <v>0</v>
      </c>
      <c r="B323" s="398"/>
      <c r="C323" s="394"/>
      <c r="D323" s="395"/>
      <c r="E323" s="393"/>
      <c r="F323" s="394"/>
      <c r="G323" s="395"/>
      <c r="H323" s="395"/>
      <c r="I323" s="395"/>
      <c r="J323" s="217">
        <v>316</v>
      </c>
    </row>
    <row r="324" spans="1:10" x14ac:dyDescent="0.35">
      <c r="A324" s="223" t="b">
        <f t="shared" si="4"/>
        <v>0</v>
      </c>
      <c r="B324" s="398"/>
      <c r="C324" s="394"/>
      <c r="D324" s="395"/>
      <c r="E324" s="393"/>
      <c r="F324" s="394"/>
      <c r="G324" s="395"/>
      <c r="H324" s="395"/>
      <c r="I324" s="395"/>
      <c r="J324" s="217">
        <v>317</v>
      </c>
    </row>
    <row r="325" spans="1:10" x14ac:dyDescent="0.35">
      <c r="A325" s="223" t="b">
        <f t="shared" si="4"/>
        <v>0</v>
      </c>
      <c r="B325" s="398"/>
      <c r="C325" s="394"/>
      <c r="D325" s="395"/>
      <c r="E325" s="393"/>
      <c r="F325" s="394"/>
      <c r="G325" s="395"/>
      <c r="H325" s="395"/>
      <c r="I325" s="395"/>
      <c r="J325" s="217">
        <v>318</v>
      </c>
    </row>
    <row r="326" spans="1:10" x14ac:dyDescent="0.35">
      <c r="A326" s="223" t="b">
        <f t="shared" si="4"/>
        <v>0</v>
      </c>
      <c r="B326" s="398"/>
      <c r="C326" s="394"/>
      <c r="D326" s="395"/>
      <c r="E326" s="393"/>
      <c r="F326" s="394"/>
      <c r="G326" s="395"/>
      <c r="H326" s="395"/>
      <c r="I326" s="395"/>
      <c r="J326" s="217">
        <v>319</v>
      </c>
    </row>
    <row r="327" spans="1:10" x14ac:dyDescent="0.35">
      <c r="A327" s="223" t="b">
        <f t="shared" si="4"/>
        <v>0</v>
      </c>
      <c r="B327" s="398"/>
      <c r="C327" s="394"/>
      <c r="D327" s="395"/>
      <c r="E327" s="393"/>
      <c r="F327" s="394"/>
      <c r="G327" s="395"/>
      <c r="H327" s="395"/>
      <c r="I327" s="395"/>
      <c r="J327" s="217">
        <v>320</v>
      </c>
    </row>
    <row r="328" spans="1:10" x14ac:dyDescent="0.35">
      <c r="A328" s="223" t="b">
        <f t="shared" ref="A328:A391" si="5">OR(B328&lt;&gt;"",D328&lt;&gt;"",C328&lt;&gt;"",E328&lt;&gt;"",F328&lt;&gt;"",G328&lt;&gt;"")</f>
        <v>0</v>
      </c>
      <c r="B328" s="398"/>
      <c r="C328" s="394"/>
      <c r="D328" s="395"/>
      <c r="E328" s="393"/>
      <c r="F328" s="394"/>
      <c r="G328" s="395"/>
      <c r="H328" s="395"/>
      <c r="I328" s="395"/>
      <c r="J328" s="217">
        <v>321</v>
      </c>
    </row>
    <row r="329" spans="1:10" x14ac:dyDescent="0.35">
      <c r="A329" s="223" t="b">
        <f t="shared" si="5"/>
        <v>0</v>
      </c>
      <c r="B329" s="398"/>
      <c r="C329" s="394"/>
      <c r="D329" s="395"/>
      <c r="E329" s="393"/>
      <c r="F329" s="394"/>
      <c r="G329" s="395"/>
      <c r="H329" s="395"/>
      <c r="I329" s="395"/>
      <c r="J329" s="217">
        <v>322</v>
      </c>
    </row>
    <row r="330" spans="1:10" x14ac:dyDescent="0.35">
      <c r="A330" s="223" t="b">
        <f t="shared" si="5"/>
        <v>0</v>
      </c>
      <c r="B330" s="398"/>
      <c r="C330" s="394"/>
      <c r="D330" s="395"/>
      <c r="E330" s="393"/>
      <c r="F330" s="394"/>
      <c r="G330" s="395"/>
      <c r="H330" s="395"/>
      <c r="I330" s="395"/>
      <c r="J330" s="217">
        <v>323</v>
      </c>
    </row>
    <row r="331" spans="1:10" x14ac:dyDescent="0.35">
      <c r="A331" s="223" t="b">
        <f t="shared" si="5"/>
        <v>0</v>
      </c>
      <c r="B331" s="398"/>
      <c r="C331" s="394"/>
      <c r="D331" s="395"/>
      <c r="E331" s="393"/>
      <c r="F331" s="394"/>
      <c r="G331" s="395"/>
      <c r="H331" s="395"/>
      <c r="I331" s="395"/>
      <c r="J331" s="217">
        <v>324</v>
      </c>
    </row>
    <row r="332" spans="1:10" x14ac:dyDescent="0.35">
      <c r="A332" s="223" t="b">
        <f t="shared" si="5"/>
        <v>0</v>
      </c>
      <c r="B332" s="398"/>
      <c r="C332" s="394"/>
      <c r="D332" s="395"/>
      <c r="E332" s="393"/>
      <c r="F332" s="394"/>
      <c r="G332" s="395"/>
      <c r="H332" s="395"/>
      <c r="I332" s="395"/>
      <c r="J332" s="217">
        <v>325</v>
      </c>
    </row>
    <row r="333" spans="1:10" x14ac:dyDescent="0.35">
      <c r="A333" s="223" t="b">
        <f t="shared" si="5"/>
        <v>0</v>
      </c>
      <c r="B333" s="398"/>
      <c r="C333" s="394"/>
      <c r="D333" s="395"/>
      <c r="E333" s="393"/>
      <c r="F333" s="394"/>
      <c r="G333" s="395"/>
      <c r="H333" s="395"/>
      <c r="I333" s="395"/>
      <c r="J333" s="217">
        <v>326</v>
      </c>
    </row>
    <row r="334" spans="1:10" x14ac:dyDescent="0.35">
      <c r="A334" s="223" t="b">
        <f t="shared" si="5"/>
        <v>0</v>
      </c>
      <c r="B334" s="398"/>
      <c r="C334" s="394"/>
      <c r="D334" s="395"/>
      <c r="E334" s="393"/>
      <c r="F334" s="394"/>
      <c r="G334" s="395"/>
      <c r="H334" s="395"/>
      <c r="I334" s="395"/>
      <c r="J334" s="217">
        <v>327</v>
      </c>
    </row>
    <row r="335" spans="1:10" x14ac:dyDescent="0.35">
      <c r="A335" s="223" t="b">
        <f t="shared" si="5"/>
        <v>0</v>
      </c>
      <c r="B335" s="398"/>
      <c r="C335" s="394"/>
      <c r="D335" s="395"/>
      <c r="E335" s="393"/>
      <c r="F335" s="394"/>
      <c r="G335" s="395"/>
      <c r="H335" s="395"/>
      <c r="I335" s="395"/>
      <c r="J335" s="217">
        <v>328</v>
      </c>
    </row>
    <row r="336" spans="1:10" x14ac:dyDescent="0.35">
      <c r="A336" s="223" t="b">
        <f t="shared" si="5"/>
        <v>0</v>
      </c>
      <c r="B336" s="398"/>
      <c r="C336" s="394"/>
      <c r="D336" s="395"/>
      <c r="E336" s="393"/>
      <c r="F336" s="394"/>
      <c r="G336" s="395"/>
      <c r="H336" s="395"/>
      <c r="I336" s="395"/>
      <c r="J336" s="217">
        <v>329</v>
      </c>
    </row>
    <row r="337" spans="1:10" x14ac:dyDescent="0.35">
      <c r="A337" s="223" t="b">
        <f t="shared" si="5"/>
        <v>0</v>
      </c>
      <c r="B337" s="398"/>
      <c r="C337" s="394"/>
      <c r="D337" s="395"/>
      <c r="E337" s="393"/>
      <c r="F337" s="394"/>
      <c r="G337" s="395"/>
      <c r="H337" s="395"/>
      <c r="I337" s="395"/>
      <c r="J337" s="217">
        <v>330</v>
      </c>
    </row>
    <row r="338" spans="1:10" x14ac:dyDescent="0.35">
      <c r="A338" s="223" t="b">
        <f t="shared" si="5"/>
        <v>0</v>
      </c>
      <c r="B338" s="398"/>
      <c r="C338" s="394"/>
      <c r="D338" s="395"/>
      <c r="E338" s="393"/>
      <c r="F338" s="394"/>
      <c r="G338" s="395"/>
      <c r="H338" s="395"/>
      <c r="I338" s="395"/>
      <c r="J338" s="217">
        <v>331</v>
      </c>
    </row>
    <row r="339" spans="1:10" x14ac:dyDescent="0.35">
      <c r="A339" s="223" t="b">
        <f t="shared" si="5"/>
        <v>0</v>
      </c>
      <c r="B339" s="398"/>
      <c r="C339" s="394"/>
      <c r="D339" s="395"/>
      <c r="E339" s="393"/>
      <c r="F339" s="394"/>
      <c r="G339" s="395"/>
      <c r="H339" s="395"/>
      <c r="I339" s="395"/>
      <c r="J339" s="217">
        <v>332</v>
      </c>
    </row>
    <row r="340" spans="1:10" x14ac:dyDescent="0.35">
      <c r="A340" s="223" t="b">
        <f t="shared" si="5"/>
        <v>0</v>
      </c>
      <c r="B340" s="398"/>
      <c r="C340" s="394"/>
      <c r="D340" s="395"/>
      <c r="E340" s="393"/>
      <c r="F340" s="394"/>
      <c r="G340" s="395"/>
      <c r="H340" s="395"/>
      <c r="I340" s="395"/>
      <c r="J340" s="217">
        <v>333</v>
      </c>
    </row>
    <row r="341" spans="1:10" x14ac:dyDescent="0.35">
      <c r="A341" s="223" t="b">
        <f t="shared" si="5"/>
        <v>0</v>
      </c>
      <c r="B341" s="398"/>
      <c r="C341" s="394"/>
      <c r="D341" s="395"/>
      <c r="E341" s="393"/>
      <c r="F341" s="394"/>
      <c r="G341" s="395"/>
      <c r="H341" s="395"/>
      <c r="I341" s="395"/>
      <c r="J341" s="217">
        <v>334</v>
      </c>
    </row>
    <row r="342" spans="1:10" x14ac:dyDescent="0.35">
      <c r="A342" s="223" t="b">
        <f t="shared" si="5"/>
        <v>0</v>
      </c>
      <c r="B342" s="398"/>
      <c r="C342" s="394"/>
      <c r="D342" s="395"/>
      <c r="E342" s="393"/>
      <c r="F342" s="394"/>
      <c r="G342" s="395"/>
      <c r="H342" s="395"/>
      <c r="I342" s="395"/>
      <c r="J342" s="217">
        <v>335</v>
      </c>
    </row>
    <row r="343" spans="1:10" x14ac:dyDescent="0.35">
      <c r="A343" s="223" t="b">
        <f t="shared" si="5"/>
        <v>0</v>
      </c>
      <c r="B343" s="398"/>
      <c r="C343" s="394"/>
      <c r="D343" s="395"/>
      <c r="E343" s="393"/>
      <c r="F343" s="394"/>
      <c r="G343" s="395"/>
      <c r="H343" s="395"/>
      <c r="I343" s="395"/>
      <c r="J343" s="217">
        <v>336</v>
      </c>
    </row>
    <row r="344" spans="1:10" x14ac:dyDescent="0.35">
      <c r="A344" s="223" t="b">
        <f t="shared" si="5"/>
        <v>0</v>
      </c>
      <c r="B344" s="398"/>
      <c r="C344" s="394"/>
      <c r="D344" s="395"/>
      <c r="E344" s="393"/>
      <c r="F344" s="394"/>
      <c r="G344" s="395"/>
      <c r="H344" s="395"/>
      <c r="I344" s="395"/>
      <c r="J344" s="217">
        <v>337</v>
      </c>
    </row>
    <row r="345" spans="1:10" x14ac:dyDescent="0.35">
      <c r="A345" s="223" t="b">
        <f t="shared" si="5"/>
        <v>0</v>
      </c>
      <c r="B345" s="398"/>
      <c r="C345" s="394"/>
      <c r="D345" s="395"/>
      <c r="E345" s="393"/>
      <c r="F345" s="394"/>
      <c r="G345" s="395"/>
      <c r="H345" s="395"/>
      <c r="I345" s="395"/>
      <c r="J345" s="217">
        <v>338</v>
      </c>
    </row>
    <row r="346" spans="1:10" x14ac:dyDescent="0.35">
      <c r="A346" s="223" t="b">
        <f t="shared" si="5"/>
        <v>0</v>
      </c>
      <c r="B346" s="398"/>
      <c r="C346" s="394"/>
      <c r="D346" s="395"/>
      <c r="E346" s="393"/>
      <c r="F346" s="394"/>
      <c r="G346" s="395"/>
      <c r="H346" s="395"/>
      <c r="I346" s="395"/>
      <c r="J346" s="217">
        <v>339</v>
      </c>
    </row>
    <row r="347" spans="1:10" x14ac:dyDescent="0.35">
      <c r="A347" s="223" t="b">
        <f t="shared" si="5"/>
        <v>0</v>
      </c>
      <c r="B347" s="398"/>
      <c r="C347" s="394"/>
      <c r="D347" s="395"/>
      <c r="E347" s="393"/>
      <c r="F347" s="394"/>
      <c r="G347" s="395"/>
      <c r="H347" s="395"/>
      <c r="I347" s="395"/>
      <c r="J347" s="217">
        <v>340</v>
      </c>
    </row>
    <row r="348" spans="1:10" x14ac:dyDescent="0.35">
      <c r="A348" s="223" t="b">
        <f t="shared" si="5"/>
        <v>0</v>
      </c>
      <c r="B348" s="398"/>
      <c r="C348" s="394"/>
      <c r="D348" s="395"/>
      <c r="E348" s="393"/>
      <c r="F348" s="394"/>
      <c r="G348" s="395"/>
      <c r="H348" s="395"/>
      <c r="I348" s="395"/>
      <c r="J348" s="217">
        <v>341</v>
      </c>
    </row>
    <row r="349" spans="1:10" x14ac:dyDescent="0.35">
      <c r="A349" s="223" t="b">
        <f t="shared" si="5"/>
        <v>0</v>
      </c>
      <c r="B349" s="398"/>
      <c r="C349" s="394"/>
      <c r="D349" s="395"/>
      <c r="E349" s="393"/>
      <c r="F349" s="394"/>
      <c r="G349" s="395"/>
      <c r="H349" s="395"/>
      <c r="I349" s="395"/>
      <c r="J349" s="217">
        <v>342</v>
      </c>
    </row>
    <row r="350" spans="1:10" x14ac:dyDescent="0.35">
      <c r="A350" s="223" t="b">
        <f t="shared" si="5"/>
        <v>0</v>
      </c>
      <c r="B350" s="398"/>
      <c r="C350" s="394"/>
      <c r="D350" s="395"/>
      <c r="E350" s="393"/>
      <c r="F350" s="394"/>
      <c r="G350" s="395"/>
      <c r="H350" s="395"/>
      <c r="I350" s="395"/>
      <c r="J350" s="217">
        <v>343</v>
      </c>
    </row>
    <row r="351" spans="1:10" x14ac:dyDescent="0.35">
      <c r="A351" s="223" t="b">
        <f t="shared" si="5"/>
        <v>0</v>
      </c>
      <c r="B351" s="398"/>
      <c r="C351" s="394"/>
      <c r="D351" s="395"/>
      <c r="E351" s="393"/>
      <c r="F351" s="394"/>
      <c r="G351" s="395"/>
      <c r="H351" s="395"/>
      <c r="I351" s="395"/>
      <c r="J351" s="217">
        <v>344</v>
      </c>
    </row>
    <row r="352" spans="1:10" x14ac:dyDescent="0.35">
      <c r="A352" s="223" t="b">
        <f t="shared" si="5"/>
        <v>0</v>
      </c>
      <c r="B352" s="398"/>
      <c r="C352" s="394"/>
      <c r="D352" s="395"/>
      <c r="E352" s="393"/>
      <c r="F352" s="394"/>
      <c r="G352" s="395"/>
      <c r="H352" s="395"/>
      <c r="I352" s="395"/>
      <c r="J352" s="217">
        <v>345</v>
      </c>
    </row>
    <row r="353" spans="1:10" x14ac:dyDescent="0.35">
      <c r="A353" s="223" t="b">
        <f t="shared" si="5"/>
        <v>0</v>
      </c>
      <c r="B353" s="398"/>
      <c r="C353" s="394"/>
      <c r="D353" s="395"/>
      <c r="E353" s="393"/>
      <c r="F353" s="394"/>
      <c r="G353" s="395"/>
      <c r="H353" s="395"/>
      <c r="I353" s="395"/>
      <c r="J353" s="217">
        <v>346</v>
      </c>
    </row>
    <row r="354" spans="1:10" x14ac:dyDescent="0.35">
      <c r="A354" s="223" t="b">
        <f t="shared" si="5"/>
        <v>0</v>
      </c>
      <c r="B354" s="398"/>
      <c r="C354" s="394"/>
      <c r="D354" s="395"/>
      <c r="E354" s="393"/>
      <c r="F354" s="394"/>
      <c r="G354" s="395"/>
      <c r="H354" s="395"/>
      <c r="I354" s="395"/>
      <c r="J354" s="217">
        <v>347</v>
      </c>
    </row>
    <row r="355" spans="1:10" x14ac:dyDescent="0.35">
      <c r="A355" s="223" t="b">
        <f t="shared" si="5"/>
        <v>0</v>
      </c>
      <c r="B355" s="398"/>
      <c r="C355" s="394"/>
      <c r="D355" s="395"/>
      <c r="E355" s="393"/>
      <c r="F355" s="394"/>
      <c r="G355" s="395"/>
      <c r="H355" s="395"/>
      <c r="I355" s="395"/>
      <c r="J355" s="217">
        <v>348</v>
      </c>
    </row>
    <row r="356" spans="1:10" x14ac:dyDescent="0.35">
      <c r="A356" s="223" t="b">
        <f t="shared" si="5"/>
        <v>0</v>
      </c>
      <c r="B356" s="398"/>
      <c r="C356" s="394"/>
      <c r="D356" s="395"/>
      <c r="E356" s="393"/>
      <c r="F356" s="394"/>
      <c r="G356" s="395"/>
      <c r="H356" s="395"/>
      <c r="I356" s="395"/>
      <c r="J356" s="217">
        <v>349</v>
      </c>
    </row>
    <row r="357" spans="1:10" x14ac:dyDescent="0.35">
      <c r="A357" s="223" t="b">
        <f t="shared" si="5"/>
        <v>0</v>
      </c>
      <c r="B357" s="398"/>
      <c r="C357" s="394"/>
      <c r="D357" s="395"/>
      <c r="E357" s="393"/>
      <c r="F357" s="394"/>
      <c r="G357" s="395"/>
      <c r="H357" s="395"/>
      <c r="I357" s="395"/>
      <c r="J357" s="217">
        <v>350</v>
      </c>
    </row>
    <row r="358" spans="1:10" x14ac:dyDescent="0.35">
      <c r="A358" s="223" t="b">
        <f t="shared" si="5"/>
        <v>0</v>
      </c>
      <c r="B358" s="398"/>
      <c r="C358" s="394"/>
      <c r="D358" s="395"/>
      <c r="E358" s="393"/>
      <c r="F358" s="394"/>
      <c r="G358" s="395"/>
      <c r="H358" s="395"/>
      <c r="I358" s="395"/>
      <c r="J358" s="217">
        <v>351</v>
      </c>
    </row>
    <row r="359" spans="1:10" x14ac:dyDescent="0.35">
      <c r="A359" s="223" t="b">
        <f t="shared" si="5"/>
        <v>0</v>
      </c>
      <c r="B359" s="398"/>
      <c r="C359" s="394"/>
      <c r="D359" s="395"/>
      <c r="E359" s="393"/>
      <c r="F359" s="394"/>
      <c r="G359" s="395"/>
      <c r="H359" s="395"/>
      <c r="I359" s="395"/>
      <c r="J359" s="217">
        <v>352</v>
      </c>
    </row>
    <row r="360" spans="1:10" x14ac:dyDescent="0.35">
      <c r="A360" s="223" t="b">
        <f t="shared" si="5"/>
        <v>0</v>
      </c>
      <c r="B360" s="398"/>
      <c r="C360" s="394"/>
      <c r="D360" s="395"/>
      <c r="E360" s="393"/>
      <c r="F360" s="394"/>
      <c r="G360" s="395"/>
      <c r="H360" s="395"/>
      <c r="I360" s="395"/>
      <c r="J360" s="217">
        <v>353</v>
      </c>
    </row>
    <row r="361" spans="1:10" x14ac:dyDescent="0.35">
      <c r="A361" s="223" t="b">
        <f t="shared" si="5"/>
        <v>0</v>
      </c>
      <c r="B361" s="398"/>
      <c r="C361" s="394"/>
      <c r="D361" s="395"/>
      <c r="E361" s="393"/>
      <c r="F361" s="394"/>
      <c r="G361" s="395"/>
      <c r="H361" s="395"/>
      <c r="I361" s="395"/>
      <c r="J361" s="217">
        <v>354</v>
      </c>
    </row>
    <row r="362" spans="1:10" x14ac:dyDescent="0.35">
      <c r="A362" s="223" t="b">
        <f t="shared" si="5"/>
        <v>0</v>
      </c>
      <c r="B362" s="398"/>
      <c r="C362" s="394"/>
      <c r="D362" s="395"/>
      <c r="E362" s="393"/>
      <c r="F362" s="394"/>
      <c r="G362" s="395"/>
      <c r="H362" s="395"/>
      <c r="I362" s="395"/>
      <c r="J362" s="217">
        <v>355</v>
      </c>
    </row>
    <row r="363" spans="1:10" x14ac:dyDescent="0.35">
      <c r="A363" s="223" t="b">
        <f t="shared" si="5"/>
        <v>0</v>
      </c>
      <c r="B363" s="398"/>
      <c r="C363" s="394"/>
      <c r="D363" s="395"/>
      <c r="E363" s="393"/>
      <c r="F363" s="394"/>
      <c r="G363" s="395"/>
      <c r="H363" s="395"/>
      <c r="I363" s="395"/>
      <c r="J363" s="217">
        <v>356</v>
      </c>
    </row>
    <row r="364" spans="1:10" x14ac:dyDescent="0.35">
      <c r="A364" s="223" t="b">
        <f t="shared" si="5"/>
        <v>0</v>
      </c>
      <c r="B364" s="398"/>
      <c r="C364" s="394"/>
      <c r="D364" s="395"/>
      <c r="E364" s="393"/>
      <c r="F364" s="394"/>
      <c r="G364" s="395"/>
      <c r="H364" s="395"/>
      <c r="I364" s="395"/>
      <c r="J364" s="217">
        <v>357</v>
      </c>
    </row>
    <row r="365" spans="1:10" x14ac:dyDescent="0.35">
      <c r="A365" s="223" t="b">
        <f t="shared" si="5"/>
        <v>0</v>
      </c>
      <c r="B365" s="398"/>
      <c r="C365" s="394"/>
      <c r="D365" s="395"/>
      <c r="E365" s="393"/>
      <c r="F365" s="394"/>
      <c r="G365" s="395"/>
      <c r="H365" s="395"/>
      <c r="I365" s="395"/>
      <c r="J365" s="217">
        <v>358</v>
      </c>
    </row>
    <row r="366" spans="1:10" x14ac:dyDescent="0.35">
      <c r="A366" s="223" t="b">
        <f t="shared" si="5"/>
        <v>0</v>
      </c>
      <c r="B366" s="398"/>
      <c r="C366" s="394"/>
      <c r="D366" s="395"/>
      <c r="E366" s="393"/>
      <c r="F366" s="394"/>
      <c r="G366" s="395"/>
      <c r="H366" s="395"/>
      <c r="I366" s="395"/>
      <c r="J366" s="217">
        <v>359</v>
      </c>
    </row>
    <row r="367" spans="1:10" x14ac:dyDescent="0.35">
      <c r="A367" s="223" t="b">
        <f t="shared" si="5"/>
        <v>0</v>
      </c>
      <c r="B367" s="398"/>
      <c r="C367" s="394"/>
      <c r="D367" s="395"/>
      <c r="E367" s="393"/>
      <c r="F367" s="394"/>
      <c r="G367" s="395"/>
      <c r="H367" s="395"/>
      <c r="I367" s="395"/>
      <c r="J367" s="217">
        <v>360</v>
      </c>
    </row>
    <row r="368" spans="1:10" x14ac:dyDescent="0.35">
      <c r="A368" s="223" t="b">
        <f t="shared" si="5"/>
        <v>0</v>
      </c>
      <c r="B368" s="398"/>
      <c r="C368" s="394"/>
      <c r="D368" s="395"/>
      <c r="E368" s="393"/>
      <c r="F368" s="394"/>
      <c r="G368" s="395"/>
      <c r="H368" s="395"/>
      <c r="I368" s="395"/>
      <c r="J368" s="217">
        <v>361</v>
      </c>
    </row>
    <row r="369" spans="1:10" x14ac:dyDescent="0.35">
      <c r="A369" s="223" t="b">
        <f t="shared" si="5"/>
        <v>0</v>
      </c>
      <c r="B369" s="398"/>
      <c r="C369" s="394"/>
      <c r="D369" s="395"/>
      <c r="E369" s="393"/>
      <c r="F369" s="394"/>
      <c r="G369" s="395"/>
      <c r="H369" s="395"/>
      <c r="I369" s="395"/>
      <c r="J369" s="217">
        <v>362</v>
      </c>
    </row>
    <row r="370" spans="1:10" x14ac:dyDescent="0.35">
      <c r="A370" s="223" t="b">
        <f t="shared" si="5"/>
        <v>0</v>
      </c>
      <c r="B370" s="398"/>
      <c r="C370" s="394"/>
      <c r="D370" s="395"/>
      <c r="E370" s="393"/>
      <c r="F370" s="394"/>
      <c r="G370" s="395"/>
      <c r="H370" s="395"/>
      <c r="I370" s="395"/>
      <c r="J370" s="217">
        <v>363</v>
      </c>
    </row>
    <row r="371" spans="1:10" x14ac:dyDescent="0.35">
      <c r="A371" s="223" t="b">
        <f t="shared" si="5"/>
        <v>0</v>
      </c>
      <c r="B371" s="398"/>
      <c r="C371" s="394"/>
      <c r="D371" s="395"/>
      <c r="E371" s="393"/>
      <c r="F371" s="394"/>
      <c r="G371" s="395"/>
      <c r="H371" s="395"/>
      <c r="I371" s="395"/>
      <c r="J371" s="217">
        <v>364</v>
      </c>
    </row>
    <row r="372" spans="1:10" x14ac:dyDescent="0.35">
      <c r="A372" s="223" t="b">
        <f t="shared" si="5"/>
        <v>0</v>
      </c>
      <c r="B372" s="398"/>
      <c r="C372" s="394"/>
      <c r="D372" s="395"/>
      <c r="E372" s="393"/>
      <c r="F372" s="394"/>
      <c r="G372" s="395"/>
      <c r="H372" s="395"/>
      <c r="I372" s="395"/>
      <c r="J372" s="217">
        <v>365</v>
      </c>
    </row>
    <row r="373" spans="1:10" x14ac:dyDescent="0.35">
      <c r="A373" s="223" t="b">
        <f t="shared" si="5"/>
        <v>0</v>
      </c>
      <c r="B373" s="398"/>
      <c r="C373" s="394"/>
      <c r="D373" s="395"/>
      <c r="E373" s="393"/>
      <c r="F373" s="394"/>
      <c r="G373" s="395"/>
      <c r="H373" s="395"/>
      <c r="I373" s="395"/>
      <c r="J373" s="217">
        <v>366</v>
      </c>
    </row>
    <row r="374" spans="1:10" x14ac:dyDescent="0.35">
      <c r="A374" s="223" t="b">
        <f t="shared" si="5"/>
        <v>0</v>
      </c>
      <c r="B374" s="398"/>
      <c r="C374" s="394"/>
      <c r="D374" s="395"/>
      <c r="E374" s="393"/>
      <c r="F374" s="394"/>
      <c r="G374" s="395"/>
      <c r="H374" s="395"/>
      <c r="I374" s="395"/>
      <c r="J374" s="217">
        <v>367</v>
      </c>
    </row>
    <row r="375" spans="1:10" x14ac:dyDescent="0.35">
      <c r="A375" s="223" t="b">
        <f t="shared" si="5"/>
        <v>0</v>
      </c>
      <c r="B375" s="398"/>
      <c r="C375" s="394"/>
      <c r="D375" s="395"/>
      <c r="E375" s="393"/>
      <c r="F375" s="394"/>
      <c r="G375" s="395"/>
      <c r="H375" s="395"/>
      <c r="I375" s="395"/>
      <c r="J375" s="217">
        <v>368</v>
      </c>
    </row>
    <row r="376" spans="1:10" x14ac:dyDescent="0.35">
      <c r="A376" s="223" t="b">
        <f t="shared" si="5"/>
        <v>0</v>
      </c>
      <c r="B376" s="398"/>
      <c r="C376" s="394"/>
      <c r="D376" s="395"/>
      <c r="E376" s="393"/>
      <c r="F376" s="394"/>
      <c r="G376" s="395"/>
      <c r="H376" s="395"/>
      <c r="I376" s="395"/>
      <c r="J376" s="217">
        <v>369</v>
      </c>
    </row>
    <row r="377" spans="1:10" x14ac:dyDescent="0.35">
      <c r="A377" s="223" t="b">
        <f t="shared" si="5"/>
        <v>0</v>
      </c>
      <c r="B377" s="398"/>
      <c r="C377" s="394"/>
      <c r="D377" s="395"/>
      <c r="E377" s="393"/>
      <c r="F377" s="394"/>
      <c r="G377" s="395"/>
      <c r="H377" s="395"/>
      <c r="I377" s="395"/>
      <c r="J377" s="217">
        <v>370</v>
      </c>
    </row>
    <row r="378" spans="1:10" x14ac:dyDescent="0.35">
      <c r="A378" s="223" t="b">
        <f t="shared" si="5"/>
        <v>0</v>
      </c>
      <c r="B378" s="398"/>
      <c r="C378" s="394"/>
      <c r="D378" s="395"/>
      <c r="E378" s="393"/>
      <c r="F378" s="394"/>
      <c r="G378" s="395"/>
      <c r="H378" s="395"/>
      <c r="I378" s="395"/>
      <c r="J378" s="217">
        <v>371</v>
      </c>
    </row>
    <row r="379" spans="1:10" x14ac:dyDescent="0.35">
      <c r="A379" s="223" t="b">
        <f t="shared" si="5"/>
        <v>0</v>
      </c>
      <c r="B379" s="398"/>
      <c r="C379" s="394"/>
      <c r="D379" s="395"/>
      <c r="E379" s="393"/>
      <c r="F379" s="394"/>
      <c r="G379" s="395"/>
      <c r="H379" s="395"/>
      <c r="I379" s="395"/>
      <c r="J379" s="217">
        <v>372</v>
      </c>
    </row>
    <row r="380" spans="1:10" x14ac:dyDescent="0.35">
      <c r="A380" s="223" t="b">
        <f t="shared" si="5"/>
        <v>0</v>
      </c>
      <c r="B380" s="398"/>
      <c r="C380" s="394"/>
      <c r="D380" s="395"/>
      <c r="E380" s="393"/>
      <c r="F380" s="394"/>
      <c r="G380" s="395"/>
      <c r="H380" s="395"/>
      <c r="I380" s="395"/>
      <c r="J380" s="217">
        <v>373</v>
      </c>
    </row>
    <row r="381" spans="1:10" x14ac:dyDescent="0.35">
      <c r="A381" s="223" t="b">
        <f t="shared" si="5"/>
        <v>0</v>
      </c>
      <c r="B381" s="398"/>
      <c r="C381" s="394"/>
      <c r="D381" s="395"/>
      <c r="E381" s="393"/>
      <c r="F381" s="394"/>
      <c r="G381" s="395"/>
      <c r="H381" s="395"/>
      <c r="I381" s="395"/>
      <c r="J381" s="217">
        <v>374</v>
      </c>
    </row>
    <row r="382" spans="1:10" x14ac:dyDescent="0.35">
      <c r="A382" s="223" t="b">
        <f t="shared" si="5"/>
        <v>0</v>
      </c>
      <c r="B382" s="398"/>
      <c r="C382" s="394"/>
      <c r="D382" s="395"/>
      <c r="E382" s="393"/>
      <c r="F382" s="394"/>
      <c r="G382" s="395"/>
      <c r="H382" s="395"/>
      <c r="I382" s="395"/>
      <c r="J382" s="217">
        <v>375</v>
      </c>
    </row>
    <row r="383" spans="1:10" x14ac:dyDescent="0.35">
      <c r="A383" s="223" t="b">
        <f t="shared" si="5"/>
        <v>0</v>
      </c>
      <c r="B383" s="398"/>
      <c r="C383" s="394"/>
      <c r="D383" s="395"/>
      <c r="E383" s="393"/>
      <c r="F383" s="394"/>
      <c r="G383" s="395"/>
      <c r="H383" s="395"/>
      <c r="I383" s="395"/>
      <c r="J383" s="217">
        <v>376</v>
      </c>
    </row>
    <row r="384" spans="1:10" x14ac:dyDescent="0.35">
      <c r="A384" s="223" t="b">
        <f t="shared" si="5"/>
        <v>0</v>
      </c>
      <c r="B384" s="398"/>
      <c r="C384" s="394"/>
      <c r="D384" s="395"/>
      <c r="E384" s="393"/>
      <c r="F384" s="394"/>
      <c r="G384" s="395"/>
      <c r="H384" s="395"/>
      <c r="I384" s="395"/>
      <c r="J384" s="217">
        <v>377</v>
      </c>
    </row>
    <row r="385" spans="1:10" x14ac:dyDescent="0.35">
      <c r="A385" s="223" t="b">
        <f t="shared" si="5"/>
        <v>0</v>
      </c>
      <c r="B385" s="398"/>
      <c r="C385" s="394"/>
      <c r="D385" s="395"/>
      <c r="E385" s="393"/>
      <c r="F385" s="394"/>
      <c r="G385" s="395"/>
      <c r="H385" s="395"/>
      <c r="I385" s="395"/>
      <c r="J385" s="217">
        <v>378</v>
      </c>
    </row>
    <row r="386" spans="1:10" x14ac:dyDescent="0.35">
      <c r="A386" s="223" t="b">
        <f t="shared" si="5"/>
        <v>0</v>
      </c>
      <c r="B386" s="398"/>
      <c r="C386" s="394"/>
      <c r="D386" s="395"/>
      <c r="E386" s="393"/>
      <c r="F386" s="394"/>
      <c r="G386" s="395"/>
      <c r="H386" s="395"/>
      <c r="I386" s="395"/>
      <c r="J386" s="217">
        <v>379</v>
      </c>
    </row>
    <row r="387" spans="1:10" x14ac:dyDescent="0.35">
      <c r="A387" s="223" t="b">
        <f t="shared" si="5"/>
        <v>0</v>
      </c>
      <c r="B387" s="398"/>
      <c r="C387" s="394"/>
      <c r="D387" s="395"/>
      <c r="E387" s="393"/>
      <c r="F387" s="394"/>
      <c r="G387" s="395"/>
      <c r="H387" s="395"/>
      <c r="I387" s="395"/>
      <c r="J387" s="217">
        <v>380</v>
      </c>
    </row>
    <row r="388" spans="1:10" x14ac:dyDescent="0.35">
      <c r="A388" s="223" t="b">
        <f t="shared" si="5"/>
        <v>0</v>
      </c>
      <c r="B388" s="398"/>
      <c r="C388" s="394"/>
      <c r="D388" s="395"/>
      <c r="E388" s="393"/>
      <c r="F388" s="394"/>
      <c r="G388" s="395"/>
      <c r="H388" s="395"/>
      <c r="I388" s="395"/>
      <c r="J388" s="217">
        <v>381</v>
      </c>
    </row>
    <row r="389" spans="1:10" x14ac:dyDescent="0.35">
      <c r="A389" s="223" t="b">
        <f t="shared" si="5"/>
        <v>0</v>
      </c>
      <c r="B389" s="398"/>
      <c r="C389" s="394"/>
      <c r="D389" s="395"/>
      <c r="E389" s="393"/>
      <c r="F389" s="394"/>
      <c r="G389" s="395"/>
      <c r="H389" s="395"/>
      <c r="I389" s="395"/>
      <c r="J389" s="217">
        <v>382</v>
      </c>
    </row>
    <row r="390" spans="1:10" x14ac:dyDescent="0.35">
      <c r="A390" s="223" t="b">
        <f t="shared" si="5"/>
        <v>0</v>
      </c>
      <c r="B390" s="398"/>
      <c r="C390" s="394"/>
      <c r="D390" s="395"/>
      <c r="E390" s="393"/>
      <c r="F390" s="394"/>
      <c r="G390" s="395"/>
      <c r="H390" s="395"/>
      <c r="I390" s="395"/>
      <c r="J390" s="217">
        <v>383</v>
      </c>
    </row>
    <row r="391" spans="1:10" x14ac:dyDescent="0.35">
      <c r="A391" s="223" t="b">
        <f t="shared" si="5"/>
        <v>0</v>
      </c>
      <c r="B391" s="398"/>
      <c r="C391" s="394"/>
      <c r="D391" s="395"/>
      <c r="E391" s="393"/>
      <c r="F391" s="394"/>
      <c r="G391" s="395"/>
      <c r="H391" s="395"/>
      <c r="I391" s="395"/>
      <c r="J391" s="217">
        <v>384</v>
      </c>
    </row>
    <row r="392" spans="1:10" x14ac:dyDescent="0.35">
      <c r="A392" s="223" t="b">
        <f t="shared" ref="A392:A455" si="6">OR(B392&lt;&gt;"",D392&lt;&gt;"",C392&lt;&gt;"",E392&lt;&gt;"",F392&lt;&gt;"",G392&lt;&gt;"")</f>
        <v>0</v>
      </c>
      <c r="B392" s="398"/>
      <c r="C392" s="394"/>
      <c r="D392" s="395"/>
      <c r="E392" s="393"/>
      <c r="F392" s="394"/>
      <c r="G392" s="395"/>
      <c r="H392" s="395"/>
      <c r="I392" s="395"/>
      <c r="J392" s="217">
        <v>385</v>
      </c>
    </row>
    <row r="393" spans="1:10" x14ac:dyDescent="0.35">
      <c r="A393" s="223" t="b">
        <f t="shared" si="6"/>
        <v>0</v>
      </c>
      <c r="B393" s="398"/>
      <c r="C393" s="394"/>
      <c r="D393" s="395"/>
      <c r="E393" s="393"/>
      <c r="F393" s="394"/>
      <c r="G393" s="395"/>
      <c r="H393" s="395"/>
      <c r="I393" s="395"/>
      <c r="J393" s="217">
        <v>386</v>
      </c>
    </row>
    <row r="394" spans="1:10" x14ac:dyDescent="0.35">
      <c r="A394" s="223" t="b">
        <f t="shared" si="6"/>
        <v>0</v>
      </c>
      <c r="B394" s="398"/>
      <c r="C394" s="394"/>
      <c r="D394" s="395"/>
      <c r="E394" s="393"/>
      <c r="F394" s="394"/>
      <c r="G394" s="395"/>
      <c r="H394" s="395"/>
      <c r="I394" s="395"/>
      <c r="J394" s="217">
        <v>387</v>
      </c>
    </row>
    <row r="395" spans="1:10" x14ac:dyDescent="0.35">
      <c r="A395" s="223" t="b">
        <f t="shared" si="6"/>
        <v>0</v>
      </c>
      <c r="B395" s="398"/>
      <c r="C395" s="394"/>
      <c r="D395" s="395"/>
      <c r="E395" s="393"/>
      <c r="F395" s="394"/>
      <c r="G395" s="395"/>
      <c r="H395" s="395"/>
      <c r="I395" s="395"/>
      <c r="J395" s="217">
        <v>388</v>
      </c>
    </row>
    <row r="396" spans="1:10" x14ac:dyDescent="0.35">
      <c r="A396" s="223" t="b">
        <f t="shared" si="6"/>
        <v>0</v>
      </c>
      <c r="B396" s="398"/>
      <c r="C396" s="394"/>
      <c r="D396" s="395"/>
      <c r="E396" s="393"/>
      <c r="F396" s="394"/>
      <c r="G396" s="395"/>
      <c r="H396" s="395"/>
      <c r="I396" s="395"/>
      <c r="J396" s="217">
        <v>389</v>
      </c>
    </row>
    <row r="397" spans="1:10" x14ac:dyDescent="0.35">
      <c r="A397" s="223" t="b">
        <f t="shared" si="6"/>
        <v>0</v>
      </c>
      <c r="B397" s="398"/>
      <c r="C397" s="394"/>
      <c r="D397" s="395"/>
      <c r="E397" s="393"/>
      <c r="F397" s="394"/>
      <c r="G397" s="395"/>
      <c r="H397" s="395"/>
      <c r="I397" s="395"/>
      <c r="J397" s="217">
        <v>390</v>
      </c>
    </row>
    <row r="398" spans="1:10" x14ac:dyDescent="0.35">
      <c r="A398" s="223" t="b">
        <f t="shared" si="6"/>
        <v>0</v>
      </c>
      <c r="B398" s="398"/>
      <c r="C398" s="394"/>
      <c r="D398" s="395"/>
      <c r="E398" s="393"/>
      <c r="F398" s="394"/>
      <c r="G398" s="395"/>
      <c r="H398" s="395"/>
      <c r="I398" s="395"/>
      <c r="J398" s="217">
        <v>391</v>
      </c>
    </row>
    <row r="399" spans="1:10" x14ac:dyDescent="0.35">
      <c r="A399" s="223" t="b">
        <f t="shared" si="6"/>
        <v>0</v>
      </c>
      <c r="B399" s="398"/>
      <c r="C399" s="394"/>
      <c r="D399" s="395"/>
      <c r="E399" s="393"/>
      <c r="F399" s="394"/>
      <c r="G399" s="395"/>
      <c r="H399" s="395"/>
      <c r="I399" s="395"/>
      <c r="J399" s="217">
        <v>392</v>
      </c>
    </row>
    <row r="400" spans="1:10" x14ac:dyDescent="0.35">
      <c r="A400" s="223" t="b">
        <f t="shared" si="6"/>
        <v>0</v>
      </c>
      <c r="B400" s="398"/>
      <c r="C400" s="394"/>
      <c r="D400" s="395"/>
      <c r="E400" s="393"/>
      <c r="F400" s="394"/>
      <c r="G400" s="395"/>
      <c r="H400" s="395"/>
      <c r="I400" s="395"/>
      <c r="J400" s="217">
        <v>393</v>
      </c>
    </row>
    <row r="401" spans="1:10" x14ac:dyDescent="0.35">
      <c r="A401" s="223" t="b">
        <f t="shared" si="6"/>
        <v>0</v>
      </c>
      <c r="B401" s="398"/>
      <c r="C401" s="394"/>
      <c r="D401" s="395"/>
      <c r="E401" s="393"/>
      <c r="F401" s="394"/>
      <c r="G401" s="395"/>
      <c r="H401" s="395"/>
      <c r="I401" s="395"/>
      <c r="J401" s="217">
        <v>394</v>
      </c>
    </row>
    <row r="402" spans="1:10" x14ac:dyDescent="0.35">
      <c r="A402" s="223" t="b">
        <f t="shared" si="6"/>
        <v>0</v>
      </c>
      <c r="B402" s="398"/>
      <c r="C402" s="394"/>
      <c r="D402" s="395"/>
      <c r="E402" s="393"/>
      <c r="F402" s="394"/>
      <c r="G402" s="395"/>
      <c r="H402" s="395"/>
      <c r="I402" s="395"/>
      <c r="J402" s="217">
        <v>395</v>
      </c>
    </row>
    <row r="403" spans="1:10" x14ac:dyDescent="0.35">
      <c r="A403" s="223" t="b">
        <f t="shared" si="6"/>
        <v>0</v>
      </c>
      <c r="B403" s="398"/>
      <c r="C403" s="394"/>
      <c r="D403" s="395"/>
      <c r="E403" s="393"/>
      <c r="F403" s="394"/>
      <c r="G403" s="395"/>
      <c r="H403" s="395"/>
      <c r="I403" s="395"/>
      <c r="J403" s="217">
        <v>396</v>
      </c>
    </row>
    <row r="404" spans="1:10" x14ac:dyDescent="0.35">
      <c r="A404" s="223" t="b">
        <f t="shared" si="6"/>
        <v>0</v>
      </c>
      <c r="B404" s="398"/>
      <c r="C404" s="394"/>
      <c r="D404" s="395"/>
      <c r="E404" s="393"/>
      <c r="F404" s="394"/>
      <c r="G404" s="395"/>
      <c r="H404" s="395"/>
      <c r="I404" s="395"/>
      <c r="J404" s="217">
        <v>397</v>
      </c>
    </row>
    <row r="405" spans="1:10" x14ac:dyDescent="0.35">
      <c r="A405" s="223" t="b">
        <f t="shared" si="6"/>
        <v>0</v>
      </c>
      <c r="B405" s="398"/>
      <c r="C405" s="394"/>
      <c r="D405" s="395"/>
      <c r="E405" s="393"/>
      <c r="F405" s="394"/>
      <c r="G405" s="395"/>
      <c r="H405" s="395"/>
      <c r="I405" s="395"/>
      <c r="J405" s="217">
        <v>398</v>
      </c>
    </row>
    <row r="406" spans="1:10" x14ac:dyDescent="0.35">
      <c r="A406" s="223" t="b">
        <f t="shared" si="6"/>
        <v>0</v>
      </c>
      <c r="B406" s="398"/>
      <c r="C406" s="394"/>
      <c r="D406" s="395"/>
      <c r="E406" s="393"/>
      <c r="F406" s="394"/>
      <c r="G406" s="395"/>
      <c r="H406" s="395"/>
      <c r="I406" s="395"/>
      <c r="J406" s="217">
        <v>399</v>
      </c>
    </row>
    <row r="407" spans="1:10" x14ac:dyDescent="0.35">
      <c r="A407" s="223" t="b">
        <f t="shared" si="6"/>
        <v>0</v>
      </c>
      <c r="B407" s="398"/>
      <c r="C407" s="394"/>
      <c r="D407" s="395"/>
      <c r="E407" s="393"/>
      <c r="F407" s="394"/>
      <c r="G407" s="395"/>
      <c r="H407" s="395"/>
      <c r="I407" s="395"/>
      <c r="J407" s="217">
        <v>400</v>
      </c>
    </row>
    <row r="408" spans="1:10" x14ac:dyDescent="0.35">
      <c r="A408" s="223" t="b">
        <f t="shared" si="6"/>
        <v>0</v>
      </c>
      <c r="B408" s="398"/>
      <c r="C408" s="394"/>
      <c r="D408" s="395"/>
      <c r="E408" s="393"/>
      <c r="F408" s="394"/>
      <c r="G408" s="395"/>
      <c r="H408" s="395"/>
      <c r="I408" s="395"/>
      <c r="J408" s="217">
        <v>401</v>
      </c>
    </row>
    <row r="409" spans="1:10" x14ac:dyDescent="0.35">
      <c r="A409" s="223" t="b">
        <f t="shared" si="6"/>
        <v>0</v>
      </c>
      <c r="B409" s="398"/>
      <c r="C409" s="394"/>
      <c r="D409" s="395"/>
      <c r="E409" s="393"/>
      <c r="F409" s="394"/>
      <c r="G409" s="395"/>
      <c r="H409" s="395"/>
      <c r="I409" s="395"/>
      <c r="J409" s="217">
        <v>402</v>
      </c>
    </row>
    <row r="410" spans="1:10" x14ac:dyDescent="0.35">
      <c r="A410" s="223" t="b">
        <f t="shared" si="6"/>
        <v>0</v>
      </c>
      <c r="B410" s="398"/>
      <c r="C410" s="394"/>
      <c r="D410" s="395"/>
      <c r="E410" s="393"/>
      <c r="F410" s="394"/>
      <c r="G410" s="395"/>
      <c r="H410" s="395"/>
      <c r="I410" s="395"/>
      <c r="J410" s="217">
        <v>403</v>
      </c>
    </row>
    <row r="411" spans="1:10" x14ac:dyDescent="0.35">
      <c r="A411" s="223" t="b">
        <f t="shared" si="6"/>
        <v>0</v>
      </c>
      <c r="B411" s="398"/>
      <c r="C411" s="394"/>
      <c r="D411" s="395"/>
      <c r="E411" s="393"/>
      <c r="F411" s="394"/>
      <c r="G411" s="395"/>
      <c r="H411" s="395"/>
      <c r="I411" s="395"/>
      <c r="J411" s="217">
        <v>404</v>
      </c>
    </row>
    <row r="412" spans="1:10" x14ac:dyDescent="0.35">
      <c r="A412" s="223" t="b">
        <f t="shared" si="6"/>
        <v>0</v>
      </c>
      <c r="B412" s="398"/>
      <c r="C412" s="394"/>
      <c r="D412" s="395"/>
      <c r="E412" s="393"/>
      <c r="F412" s="394"/>
      <c r="G412" s="395"/>
      <c r="H412" s="395"/>
      <c r="I412" s="395"/>
      <c r="J412" s="217">
        <v>405</v>
      </c>
    </row>
    <row r="413" spans="1:10" x14ac:dyDescent="0.35">
      <c r="A413" s="223" t="b">
        <f t="shared" si="6"/>
        <v>0</v>
      </c>
      <c r="B413" s="398"/>
      <c r="C413" s="394"/>
      <c r="D413" s="395"/>
      <c r="E413" s="393"/>
      <c r="F413" s="394"/>
      <c r="G413" s="395"/>
      <c r="H413" s="395"/>
      <c r="I413" s="395"/>
      <c r="J413" s="217">
        <v>406</v>
      </c>
    </row>
    <row r="414" spans="1:10" x14ac:dyDescent="0.35">
      <c r="A414" s="223" t="b">
        <f t="shared" si="6"/>
        <v>0</v>
      </c>
      <c r="B414" s="398"/>
      <c r="C414" s="394"/>
      <c r="D414" s="395"/>
      <c r="E414" s="393"/>
      <c r="F414" s="394"/>
      <c r="G414" s="395"/>
      <c r="H414" s="395"/>
      <c r="I414" s="395"/>
      <c r="J414" s="217">
        <v>407</v>
      </c>
    </row>
    <row r="415" spans="1:10" x14ac:dyDescent="0.35">
      <c r="A415" s="223" t="b">
        <f t="shared" si="6"/>
        <v>0</v>
      </c>
      <c r="B415" s="398"/>
      <c r="C415" s="394"/>
      <c r="D415" s="395"/>
      <c r="E415" s="393"/>
      <c r="F415" s="394"/>
      <c r="G415" s="395"/>
      <c r="H415" s="395"/>
      <c r="I415" s="395"/>
      <c r="J415" s="217">
        <v>408</v>
      </c>
    </row>
    <row r="416" spans="1:10" x14ac:dyDescent="0.35">
      <c r="A416" s="223" t="b">
        <f t="shared" si="6"/>
        <v>0</v>
      </c>
      <c r="B416" s="398"/>
      <c r="C416" s="394"/>
      <c r="D416" s="395"/>
      <c r="E416" s="393"/>
      <c r="F416" s="394"/>
      <c r="G416" s="395"/>
      <c r="H416" s="395"/>
      <c r="I416" s="395"/>
      <c r="J416" s="217">
        <v>409</v>
      </c>
    </row>
    <row r="417" spans="1:10" x14ac:dyDescent="0.35">
      <c r="A417" s="223" t="b">
        <f t="shared" si="6"/>
        <v>0</v>
      </c>
      <c r="B417" s="398"/>
      <c r="C417" s="394"/>
      <c r="D417" s="395"/>
      <c r="E417" s="393"/>
      <c r="F417" s="394"/>
      <c r="G417" s="395"/>
      <c r="H417" s="395"/>
      <c r="I417" s="395"/>
      <c r="J417" s="217">
        <v>410</v>
      </c>
    </row>
    <row r="418" spans="1:10" x14ac:dyDescent="0.35">
      <c r="A418" s="223" t="b">
        <f t="shared" si="6"/>
        <v>0</v>
      </c>
      <c r="B418" s="398"/>
      <c r="C418" s="394"/>
      <c r="D418" s="395"/>
      <c r="E418" s="393"/>
      <c r="F418" s="394"/>
      <c r="G418" s="395"/>
      <c r="H418" s="395"/>
      <c r="I418" s="395"/>
      <c r="J418" s="217">
        <v>411</v>
      </c>
    </row>
    <row r="419" spans="1:10" x14ac:dyDescent="0.35">
      <c r="A419" s="223" t="b">
        <f t="shared" si="6"/>
        <v>0</v>
      </c>
      <c r="B419" s="398"/>
      <c r="C419" s="394"/>
      <c r="D419" s="395"/>
      <c r="E419" s="393"/>
      <c r="F419" s="394"/>
      <c r="G419" s="395"/>
      <c r="H419" s="395"/>
      <c r="I419" s="395"/>
      <c r="J419" s="217">
        <v>412</v>
      </c>
    </row>
    <row r="420" spans="1:10" x14ac:dyDescent="0.35">
      <c r="A420" s="223" t="b">
        <f t="shared" si="6"/>
        <v>0</v>
      </c>
      <c r="B420" s="398"/>
      <c r="C420" s="394"/>
      <c r="D420" s="395"/>
      <c r="E420" s="393"/>
      <c r="F420" s="394"/>
      <c r="G420" s="395"/>
      <c r="H420" s="395"/>
      <c r="I420" s="395"/>
      <c r="J420" s="217">
        <v>413</v>
      </c>
    </row>
    <row r="421" spans="1:10" x14ac:dyDescent="0.35">
      <c r="A421" s="223" t="b">
        <f t="shared" si="6"/>
        <v>0</v>
      </c>
      <c r="B421" s="398"/>
      <c r="C421" s="394"/>
      <c r="D421" s="395"/>
      <c r="E421" s="393"/>
      <c r="F421" s="394"/>
      <c r="G421" s="395"/>
      <c r="H421" s="395"/>
      <c r="I421" s="395"/>
      <c r="J421" s="217">
        <v>414</v>
      </c>
    </row>
    <row r="422" spans="1:10" x14ac:dyDescent="0.35">
      <c r="A422" s="223" t="b">
        <f t="shared" si="6"/>
        <v>0</v>
      </c>
      <c r="B422" s="398"/>
      <c r="C422" s="394"/>
      <c r="D422" s="395"/>
      <c r="E422" s="393"/>
      <c r="F422" s="394"/>
      <c r="G422" s="395"/>
      <c r="H422" s="395"/>
      <c r="I422" s="395"/>
      <c r="J422" s="217">
        <v>415</v>
      </c>
    </row>
    <row r="423" spans="1:10" x14ac:dyDescent="0.35">
      <c r="A423" s="223" t="b">
        <f t="shared" si="6"/>
        <v>0</v>
      </c>
      <c r="B423" s="398"/>
      <c r="C423" s="394"/>
      <c r="D423" s="395"/>
      <c r="E423" s="393"/>
      <c r="F423" s="394"/>
      <c r="G423" s="395"/>
      <c r="H423" s="395"/>
      <c r="I423" s="395"/>
      <c r="J423" s="217">
        <v>416</v>
      </c>
    </row>
    <row r="424" spans="1:10" x14ac:dyDescent="0.35">
      <c r="A424" s="223" t="b">
        <f t="shared" si="6"/>
        <v>0</v>
      </c>
      <c r="B424" s="398"/>
      <c r="C424" s="394"/>
      <c r="D424" s="395"/>
      <c r="E424" s="393"/>
      <c r="F424" s="394"/>
      <c r="G424" s="395"/>
      <c r="H424" s="395"/>
      <c r="I424" s="395"/>
      <c r="J424" s="217">
        <v>417</v>
      </c>
    </row>
    <row r="425" spans="1:10" x14ac:dyDescent="0.35">
      <c r="A425" s="223" t="b">
        <f t="shared" si="6"/>
        <v>0</v>
      </c>
      <c r="B425" s="398"/>
      <c r="C425" s="394"/>
      <c r="D425" s="395"/>
      <c r="E425" s="393"/>
      <c r="F425" s="394"/>
      <c r="G425" s="395"/>
      <c r="H425" s="395"/>
      <c r="I425" s="395"/>
      <c r="J425" s="217">
        <v>418</v>
      </c>
    </row>
    <row r="426" spans="1:10" x14ac:dyDescent="0.35">
      <c r="A426" s="223" t="b">
        <f t="shared" si="6"/>
        <v>0</v>
      </c>
      <c r="B426" s="398"/>
      <c r="C426" s="394"/>
      <c r="D426" s="395"/>
      <c r="E426" s="393"/>
      <c r="F426" s="394"/>
      <c r="G426" s="395"/>
      <c r="H426" s="395"/>
      <c r="I426" s="395"/>
      <c r="J426" s="217">
        <v>419</v>
      </c>
    </row>
    <row r="427" spans="1:10" x14ac:dyDescent="0.35">
      <c r="A427" s="223" t="b">
        <f t="shared" si="6"/>
        <v>0</v>
      </c>
      <c r="B427" s="398"/>
      <c r="C427" s="394"/>
      <c r="D427" s="395"/>
      <c r="E427" s="393"/>
      <c r="F427" s="394"/>
      <c r="G427" s="395"/>
      <c r="H427" s="395"/>
      <c r="I427" s="395"/>
      <c r="J427" s="217">
        <v>420</v>
      </c>
    </row>
    <row r="428" spans="1:10" x14ac:dyDescent="0.35">
      <c r="A428" s="223" t="b">
        <f t="shared" si="6"/>
        <v>0</v>
      </c>
      <c r="B428" s="398"/>
      <c r="C428" s="394"/>
      <c r="D428" s="395"/>
      <c r="E428" s="393"/>
      <c r="F428" s="394"/>
      <c r="G428" s="395"/>
      <c r="H428" s="395"/>
      <c r="I428" s="395"/>
      <c r="J428" s="217">
        <v>421</v>
      </c>
    </row>
    <row r="429" spans="1:10" x14ac:dyDescent="0.35">
      <c r="A429" s="223" t="b">
        <f t="shared" si="6"/>
        <v>0</v>
      </c>
      <c r="B429" s="398"/>
      <c r="C429" s="394"/>
      <c r="D429" s="395"/>
      <c r="E429" s="393"/>
      <c r="F429" s="394"/>
      <c r="G429" s="395"/>
      <c r="H429" s="395"/>
      <c r="I429" s="395"/>
      <c r="J429" s="217">
        <v>422</v>
      </c>
    </row>
    <row r="430" spans="1:10" x14ac:dyDescent="0.35">
      <c r="A430" s="223" t="b">
        <f t="shared" si="6"/>
        <v>0</v>
      </c>
      <c r="B430" s="398"/>
      <c r="C430" s="394"/>
      <c r="D430" s="395"/>
      <c r="E430" s="393"/>
      <c r="F430" s="394"/>
      <c r="G430" s="395"/>
      <c r="H430" s="395"/>
      <c r="I430" s="395"/>
      <c r="J430" s="217">
        <v>423</v>
      </c>
    </row>
    <row r="431" spans="1:10" x14ac:dyDescent="0.35">
      <c r="A431" s="223" t="b">
        <f t="shared" si="6"/>
        <v>0</v>
      </c>
      <c r="B431" s="398"/>
      <c r="C431" s="394"/>
      <c r="D431" s="395"/>
      <c r="E431" s="393"/>
      <c r="F431" s="394"/>
      <c r="G431" s="395"/>
      <c r="H431" s="395"/>
      <c r="I431" s="395"/>
      <c r="J431" s="217">
        <v>424</v>
      </c>
    </row>
    <row r="432" spans="1:10" x14ac:dyDescent="0.35">
      <c r="A432" s="223" t="b">
        <f t="shared" si="6"/>
        <v>0</v>
      </c>
      <c r="B432" s="398"/>
      <c r="C432" s="394"/>
      <c r="D432" s="395"/>
      <c r="E432" s="393"/>
      <c r="F432" s="394"/>
      <c r="G432" s="395"/>
      <c r="H432" s="395"/>
      <c r="I432" s="395"/>
      <c r="J432" s="217">
        <v>425</v>
      </c>
    </row>
    <row r="433" spans="1:10" x14ac:dyDescent="0.35">
      <c r="A433" s="223" t="b">
        <f t="shared" si="6"/>
        <v>0</v>
      </c>
      <c r="B433" s="398"/>
      <c r="C433" s="394"/>
      <c r="D433" s="395"/>
      <c r="E433" s="393"/>
      <c r="F433" s="394"/>
      <c r="G433" s="395"/>
      <c r="H433" s="395"/>
      <c r="I433" s="395"/>
      <c r="J433" s="217">
        <v>426</v>
      </c>
    </row>
    <row r="434" spans="1:10" x14ac:dyDescent="0.35">
      <c r="A434" s="223" t="b">
        <f t="shared" si="6"/>
        <v>0</v>
      </c>
      <c r="B434" s="398"/>
      <c r="C434" s="394"/>
      <c r="D434" s="395"/>
      <c r="E434" s="393"/>
      <c r="F434" s="394"/>
      <c r="G434" s="395"/>
      <c r="H434" s="395"/>
      <c r="I434" s="395"/>
      <c r="J434" s="217">
        <v>427</v>
      </c>
    </row>
    <row r="435" spans="1:10" x14ac:dyDescent="0.35">
      <c r="A435" s="223" t="b">
        <f t="shared" si="6"/>
        <v>0</v>
      </c>
      <c r="B435" s="398"/>
      <c r="C435" s="394"/>
      <c r="D435" s="395"/>
      <c r="E435" s="393"/>
      <c r="F435" s="394"/>
      <c r="G435" s="395"/>
      <c r="H435" s="395"/>
      <c r="I435" s="395"/>
      <c r="J435" s="217">
        <v>428</v>
      </c>
    </row>
    <row r="436" spans="1:10" x14ac:dyDescent="0.35">
      <c r="A436" s="223" t="b">
        <f t="shared" si="6"/>
        <v>0</v>
      </c>
      <c r="B436" s="398"/>
      <c r="C436" s="394"/>
      <c r="D436" s="395"/>
      <c r="E436" s="393"/>
      <c r="F436" s="394"/>
      <c r="G436" s="395"/>
      <c r="H436" s="395"/>
      <c r="I436" s="395"/>
      <c r="J436" s="217">
        <v>429</v>
      </c>
    </row>
    <row r="437" spans="1:10" x14ac:dyDescent="0.35">
      <c r="A437" s="223" t="b">
        <f t="shared" si="6"/>
        <v>0</v>
      </c>
      <c r="B437" s="398"/>
      <c r="C437" s="394"/>
      <c r="D437" s="395"/>
      <c r="E437" s="393"/>
      <c r="F437" s="394"/>
      <c r="G437" s="395"/>
      <c r="H437" s="395"/>
      <c r="I437" s="395"/>
      <c r="J437" s="217">
        <v>430</v>
      </c>
    </row>
    <row r="438" spans="1:10" x14ac:dyDescent="0.35">
      <c r="A438" s="223" t="b">
        <f t="shared" si="6"/>
        <v>0</v>
      </c>
      <c r="B438" s="398"/>
      <c r="C438" s="394"/>
      <c r="D438" s="395"/>
      <c r="E438" s="393"/>
      <c r="F438" s="394"/>
      <c r="G438" s="395"/>
      <c r="H438" s="395"/>
      <c r="I438" s="395"/>
      <c r="J438" s="217">
        <v>431</v>
      </c>
    </row>
    <row r="439" spans="1:10" x14ac:dyDescent="0.35">
      <c r="A439" s="223" t="b">
        <f t="shared" si="6"/>
        <v>0</v>
      </c>
      <c r="B439" s="398"/>
      <c r="C439" s="394"/>
      <c r="D439" s="395"/>
      <c r="E439" s="393"/>
      <c r="F439" s="394"/>
      <c r="G439" s="395"/>
      <c r="H439" s="395"/>
      <c r="I439" s="395"/>
      <c r="J439" s="217">
        <v>432</v>
      </c>
    </row>
    <row r="440" spans="1:10" x14ac:dyDescent="0.35">
      <c r="A440" s="223" t="b">
        <f t="shared" si="6"/>
        <v>0</v>
      </c>
      <c r="B440" s="398"/>
      <c r="C440" s="394"/>
      <c r="D440" s="395"/>
      <c r="E440" s="393"/>
      <c r="F440" s="394"/>
      <c r="G440" s="395"/>
      <c r="H440" s="395"/>
      <c r="I440" s="395"/>
      <c r="J440" s="217">
        <v>433</v>
      </c>
    </row>
    <row r="441" spans="1:10" x14ac:dyDescent="0.35">
      <c r="A441" s="223" t="b">
        <f t="shared" si="6"/>
        <v>0</v>
      </c>
      <c r="B441" s="398"/>
      <c r="C441" s="394"/>
      <c r="D441" s="395"/>
      <c r="E441" s="393"/>
      <c r="F441" s="394"/>
      <c r="G441" s="395"/>
      <c r="H441" s="395"/>
      <c r="I441" s="395"/>
      <c r="J441" s="217">
        <v>434</v>
      </c>
    </row>
    <row r="442" spans="1:10" x14ac:dyDescent="0.35">
      <c r="A442" s="223" t="b">
        <f t="shared" si="6"/>
        <v>0</v>
      </c>
      <c r="B442" s="398"/>
      <c r="C442" s="394"/>
      <c r="D442" s="395"/>
      <c r="E442" s="393"/>
      <c r="F442" s="394"/>
      <c r="G442" s="395"/>
      <c r="H442" s="395"/>
      <c r="I442" s="395"/>
      <c r="J442" s="217">
        <v>435</v>
      </c>
    </row>
    <row r="443" spans="1:10" x14ac:dyDescent="0.35">
      <c r="A443" s="223" t="b">
        <f t="shared" si="6"/>
        <v>0</v>
      </c>
      <c r="B443" s="398"/>
      <c r="C443" s="394"/>
      <c r="D443" s="395"/>
      <c r="E443" s="393"/>
      <c r="F443" s="394"/>
      <c r="G443" s="395"/>
      <c r="H443" s="395"/>
      <c r="I443" s="395"/>
      <c r="J443" s="217">
        <v>436</v>
      </c>
    </row>
    <row r="444" spans="1:10" x14ac:dyDescent="0.35">
      <c r="A444" s="223" t="b">
        <f t="shared" si="6"/>
        <v>0</v>
      </c>
      <c r="B444" s="398"/>
      <c r="C444" s="394"/>
      <c r="D444" s="395"/>
      <c r="E444" s="393"/>
      <c r="F444" s="394"/>
      <c r="G444" s="395"/>
      <c r="H444" s="395"/>
      <c r="I444" s="395"/>
      <c r="J444" s="217">
        <v>437</v>
      </c>
    </row>
    <row r="445" spans="1:10" x14ac:dyDescent="0.35">
      <c r="A445" s="223" t="b">
        <f t="shared" si="6"/>
        <v>0</v>
      </c>
      <c r="B445" s="398"/>
      <c r="C445" s="394"/>
      <c r="D445" s="395"/>
      <c r="E445" s="393"/>
      <c r="F445" s="394"/>
      <c r="G445" s="395"/>
      <c r="H445" s="395"/>
      <c r="I445" s="395"/>
      <c r="J445" s="217">
        <v>438</v>
      </c>
    </row>
    <row r="446" spans="1:10" x14ac:dyDescent="0.35">
      <c r="A446" s="223" t="b">
        <f t="shared" si="6"/>
        <v>0</v>
      </c>
      <c r="B446" s="398"/>
      <c r="C446" s="394"/>
      <c r="D446" s="395"/>
      <c r="E446" s="393"/>
      <c r="F446" s="394"/>
      <c r="G446" s="395"/>
      <c r="H446" s="395"/>
      <c r="I446" s="395"/>
      <c r="J446" s="217">
        <v>439</v>
      </c>
    </row>
    <row r="447" spans="1:10" x14ac:dyDescent="0.35">
      <c r="A447" s="223" t="b">
        <f t="shared" si="6"/>
        <v>0</v>
      </c>
      <c r="B447" s="398"/>
      <c r="C447" s="394"/>
      <c r="D447" s="395"/>
      <c r="E447" s="393"/>
      <c r="F447" s="394"/>
      <c r="G447" s="395"/>
      <c r="H447" s="395"/>
      <c r="I447" s="395"/>
      <c r="J447" s="217">
        <v>440</v>
      </c>
    </row>
    <row r="448" spans="1:10" x14ac:dyDescent="0.35">
      <c r="A448" s="223" t="b">
        <f t="shared" si="6"/>
        <v>0</v>
      </c>
      <c r="B448" s="398"/>
      <c r="C448" s="394"/>
      <c r="D448" s="395"/>
      <c r="E448" s="393"/>
      <c r="F448" s="394"/>
      <c r="G448" s="395"/>
      <c r="H448" s="395"/>
      <c r="I448" s="395"/>
      <c r="J448" s="217">
        <v>441</v>
      </c>
    </row>
    <row r="449" spans="1:10" x14ac:dyDescent="0.35">
      <c r="A449" s="223" t="b">
        <f t="shared" si="6"/>
        <v>0</v>
      </c>
      <c r="B449" s="398"/>
      <c r="C449" s="394"/>
      <c r="D449" s="395"/>
      <c r="E449" s="393"/>
      <c r="F449" s="394"/>
      <c r="G449" s="395"/>
      <c r="H449" s="395"/>
      <c r="I449" s="395"/>
      <c r="J449" s="217">
        <v>442</v>
      </c>
    </row>
    <row r="450" spans="1:10" x14ac:dyDescent="0.35">
      <c r="A450" s="223" t="b">
        <f t="shared" si="6"/>
        <v>0</v>
      </c>
      <c r="B450" s="398"/>
      <c r="C450" s="394"/>
      <c r="D450" s="395"/>
      <c r="E450" s="393"/>
      <c r="F450" s="394"/>
      <c r="G450" s="395"/>
      <c r="H450" s="395"/>
      <c r="I450" s="395"/>
      <c r="J450" s="217">
        <v>443</v>
      </c>
    </row>
    <row r="451" spans="1:10" x14ac:dyDescent="0.35">
      <c r="A451" s="223" t="b">
        <f t="shared" si="6"/>
        <v>0</v>
      </c>
      <c r="B451" s="398"/>
      <c r="C451" s="394"/>
      <c r="D451" s="395"/>
      <c r="E451" s="393"/>
      <c r="F451" s="394"/>
      <c r="G451" s="395"/>
      <c r="H451" s="395"/>
      <c r="I451" s="395"/>
      <c r="J451" s="217">
        <v>444</v>
      </c>
    </row>
    <row r="452" spans="1:10" x14ac:dyDescent="0.35">
      <c r="A452" s="223" t="b">
        <f t="shared" si="6"/>
        <v>0</v>
      </c>
      <c r="B452" s="398"/>
      <c r="C452" s="394"/>
      <c r="D452" s="395"/>
      <c r="E452" s="393"/>
      <c r="F452" s="394"/>
      <c r="G452" s="395"/>
      <c r="H452" s="395"/>
      <c r="I452" s="395"/>
      <c r="J452" s="217">
        <v>445</v>
      </c>
    </row>
    <row r="453" spans="1:10" x14ac:dyDescent="0.35">
      <c r="A453" s="223" t="b">
        <f t="shared" si="6"/>
        <v>0</v>
      </c>
      <c r="B453" s="398"/>
      <c r="C453" s="394"/>
      <c r="D453" s="395"/>
      <c r="E453" s="393"/>
      <c r="F453" s="394"/>
      <c r="G453" s="395"/>
      <c r="H453" s="395"/>
      <c r="I453" s="395"/>
      <c r="J453" s="217">
        <v>446</v>
      </c>
    </row>
    <row r="454" spans="1:10" x14ac:dyDescent="0.35">
      <c r="A454" s="223" t="b">
        <f t="shared" si="6"/>
        <v>0</v>
      </c>
      <c r="B454" s="398"/>
      <c r="C454" s="394"/>
      <c r="D454" s="395"/>
      <c r="E454" s="393"/>
      <c r="F454" s="394"/>
      <c r="G454" s="395"/>
      <c r="H454" s="395"/>
      <c r="I454" s="395"/>
      <c r="J454" s="217">
        <v>447</v>
      </c>
    </row>
    <row r="455" spans="1:10" x14ac:dyDescent="0.35">
      <c r="A455" s="223" t="b">
        <f t="shared" si="6"/>
        <v>0</v>
      </c>
      <c r="B455" s="398"/>
      <c r="C455" s="394"/>
      <c r="D455" s="395"/>
      <c r="E455" s="393"/>
      <c r="F455" s="394"/>
      <c r="G455" s="395"/>
      <c r="H455" s="395"/>
      <c r="I455" s="395"/>
      <c r="J455" s="217">
        <v>448</v>
      </c>
    </row>
    <row r="456" spans="1:10" x14ac:dyDescent="0.35">
      <c r="A456" s="223" t="b">
        <f t="shared" ref="A456:A519" si="7">OR(B456&lt;&gt;"",D456&lt;&gt;"",C456&lt;&gt;"",E456&lt;&gt;"",F456&lt;&gt;"",G456&lt;&gt;"")</f>
        <v>0</v>
      </c>
      <c r="B456" s="398"/>
      <c r="C456" s="394"/>
      <c r="D456" s="395"/>
      <c r="E456" s="393"/>
      <c r="F456" s="394"/>
      <c r="G456" s="395"/>
      <c r="H456" s="395"/>
      <c r="I456" s="395"/>
      <c r="J456" s="217">
        <v>449</v>
      </c>
    </row>
    <row r="457" spans="1:10" x14ac:dyDescent="0.35">
      <c r="A457" s="223" t="b">
        <f t="shared" si="7"/>
        <v>0</v>
      </c>
      <c r="B457" s="398"/>
      <c r="C457" s="394"/>
      <c r="D457" s="395"/>
      <c r="E457" s="393"/>
      <c r="F457" s="394"/>
      <c r="G457" s="395"/>
      <c r="H457" s="395"/>
      <c r="I457" s="395"/>
      <c r="J457" s="217">
        <v>450</v>
      </c>
    </row>
    <row r="458" spans="1:10" x14ac:dyDescent="0.35">
      <c r="A458" s="223" t="b">
        <f t="shared" si="7"/>
        <v>0</v>
      </c>
      <c r="B458" s="398"/>
      <c r="C458" s="394"/>
      <c r="D458" s="395"/>
      <c r="E458" s="393"/>
      <c r="F458" s="394"/>
      <c r="G458" s="395"/>
      <c r="H458" s="395"/>
      <c r="I458" s="395"/>
      <c r="J458" s="217">
        <v>451</v>
      </c>
    </row>
    <row r="459" spans="1:10" x14ac:dyDescent="0.35">
      <c r="A459" s="223" t="b">
        <f t="shared" si="7"/>
        <v>0</v>
      </c>
      <c r="B459" s="398"/>
      <c r="C459" s="394"/>
      <c r="D459" s="395"/>
      <c r="E459" s="393"/>
      <c r="F459" s="394"/>
      <c r="G459" s="395"/>
      <c r="H459" s="395"/>
      <c r="I459" s="395"/>
      <c r="J459" s="217">
        <v>452</v>
      </c>
    </row>
    <row r="460" spans="1:10" x14ac:dyDescent="0.35">
      <c r="A460" s="223" t="b">
        <f t="shared" si="7"/>
        <v>0</v>
      </c>
      <c r="B460" s="398"/>
      <c r="C460" s="394"/>
      <c r="D460" s="395"/>
      <c r="E460" s="393"/>
      <c r="F460" s="394"/>
      <c r="G460" s="395"/>
      <c r="H460" s="395"/>
      <c r="I460" s="395"/>
      <c r="J460" s="217">
        <v>453</v>
      </c>
    </row>
    <row r="461" spans="1:10" x14ac:dyDescent="0.35">
      <c r="A461" s="223" t="b">
        <f t="shared" si="7"/>
        <v>0</v>
      </c>
      <c r="B461" s="398"/>
      <c r="C461" s="394"/>
      <c r="D461" s="395"/>
      <c r="E461" s="393"/>
      <c r="F461" s="394"/>
      <c r="G461" s="395"/>
      <c r="H461" s="395"/>
      <c r="I461" s="395"/>
      <c r="J461" s="217">
        <v>454</v>
      </c>
    </row>
    <row r="462" spans="1:10" x14ac:dyDescent="0.35">
      <c r="A462" s="223" t="b">
        <f t="shared" si="7"/>
        <v>0</v>
      </c>
      <c r="B462" s="398"/>
      <c r="C462" s="394"/>
      <c r="D462" s="395"/>
      <c r="E462" s="393"/>
      <c r="F462" s="394"/>
      <c r="G462" s="395"/>
      <c r="H462" s="395"/>
      <c r="I462" s="395"/>
      <c r="J462" s="217">
        <v>455</v>
      </c>
    </row>
    <row r="463" spans="1:10" x14ac:dyDescent="0.35">
      <c r="A463" s="223" t="b">
        <f t="shared" si="7"/>
        <v>0</v>
      </c>
      <c r="B463" s="398"/>
      <c r="C463" s="394"/>
      <c r="D463" s="395"/>
      <c r="E463" s="393"/>
      <c r="F463" s="394"/>
      <c r="G463" s="395"/>
      <c r="H463" s="395"/>
      <c r="I463" s="395"/>
      <c r="J463" s="217">
        <v>456</v>
      </c>
    </row>
    <row r="464" spans="1:10" x14ac:dyDescent="0.35">
      <c r="A464" s="223" t="b">
        <f t="shared" si="7"/>
        <v>0</v>
      </c>
      <c r="B464" s="398"/>
      <c r="C464" s="394"/>
      <c r="D464" s="395"/>
      <c r="E464" s="393"/>
      <c r="F464" s="394"/>
      <c r="G464" s="395"/>
      <c r="H464" s="395"/>
      <c r="I464" s="395"/>
      <c r="J464" s="217">
        <v>457</v>
      </c>
    </row>
    <row r="465" spans="1:10" x14ac:dyDescent="0.35">
      <c r="A465" s="223" t="b">
        <f t="shared" si="7"/>
        <v>0</v>
      </c>
      <c r="B465" s="398"/>
      <c r="C465" s="394"/>
      <c r="D465" s="395"/>
      <c r="E465" s="393"/>
      <c r="F465" s="394"/>
      <c r="G465" s="395"/>
      <c r="H465" s="395"/>
      <c r="I465" s="395"/>
      <c r="J465" s="217">
        <v>458</v>
      </c>
    </row>
    <row r="466" spans="1:10" x14ac:dyDescent="0.35">
      <c r="A466" s="223" t="b">
        <f t="shared" si="7"/>
        <v>0</v>
      </c>
      <c r="B466" s="398"/>
      <c r="C466" s="394"/>
      <c r="D466" s="395"/>
      <c r="E466" s="393"/>
      <c r="F466" s="394"/>
      <c r="G466" s="395"/>
      <c r="H466" s="395"/>
      <c r="I466" s="395"/>
      <c r="J466" s="217">
        <v>459</v>
      </c>
    </row>
    <row r="467" spans="1:10" x14ac:dyDescent="0.35">
      <c r="A467" s="223" t="b">
        <f t="shared" si="7"/>
        <v>0</v>
      </c>
      <c r="B467" s="398"/>
      <c r="C467" s="394"/>
      <c r="D467" s="395"/>
      <c r="E467" s="393"/>
      <c r="F467" s="394"/>
      <c r="G467" s="395"/>
      <c r="H467" s="395"/>
      <c r="I467" s="395"/>
      <c r="J467" s="217">
        <v>460</v>
      </c>
    </row>
    <row r="468" spans="1:10" x14ac:dyDescent="0.35">
      <c r="A468" s="223" t="b">
        <f t="shared" si="7"/>
        <v>0</v>
      </c>
      <c r="B468" s="398"/>
      <c r="C468" s="394"/>
      <c r="D468" s="395"/>
      <c r="E468" s="393"/>
      <c r="F468" s="394"/>
      <c r="G468" s="395"/>
      <c r="H468" s="395"/>
      <c r="I468" s="395"/>
      <c r="J468" s="217">
        <v>461</v>
      </c>
    </row>
    <row r="469" spans="1:10" x14ac:dyDescent="0.35">
      <c r="A469" s="223" t="b">
        <f t="shared" si="7"/>
        <v>0</v>
      </c>
      <c r="B469" s="398"/>
      <c r="C469" s="394"/>
      <c r="D469" s="395"/>
      <c r="E469" s="393"/>
      <c r="F469" s="394"/>
      <c r="G469" s="395"/>
      <c r="H469" s="395"/>
      <c r="I469" s="395"/>
      <c r="J469" s="217">
        <v>462</v>
      </c>
    </row>
    <row r="470" spans="1:10" x14ac:dyDescent="0.35">
      <c r="A470" s="223" t="b">
        <f t="shared" si="7"/>
        <v>0</v>
      </c>
      <c r="B470" s="398"/>
      <c r="C470" s="394"/>
      <c r="D470" s="395"/>
      <c r="E470" s="393"/>
      <c r="F470" s="394"/>
      <c r="G470" s="395"/>
      <c r="H470" s="395"/>
      <c r="I470" s="395"/>
      <c r="J470" s="217">
        <v>463</v>
      </c>
    </row>
    <row r="471" spans="1:10" x14ac:dyDescent="0.35">
      <c r="A471" s="223" t="b">
        <f t="shared" si="7"/>
        <v>0</v>
      </c>
      <c r="B471" s="398"/>
      <c r="C471" s="394"/>
      <c r="D471" s="395"/>
      <c r="E471" s="393"/>
      <c r="F471" s="394"/>
      <c r="G471" s="395"/>
      <c r="H471" s="395"/>
      <c r="I471" s="395"/>
      <c r="J471" s="217">
        <v>464</v>
      </c>
    </row>
    <row r="472" spans="1:10" x14ac:dyDescent="0.35">
      <c r="A472" s="223" t="b">
        <f t="shared" si="7"/>
        <v>0</v>
      </c>
      <c r="B472" s="398"/>
      <c r="C472" s="394"/>
      <c r="D472" s="395"/>
      <c r="E472" s="393"/>
      <c r="F472" s="394"/>
      <c r="G472" s="395"/>
      <c r="H472" s="395"/>
      <c r="I472" s="395"/>
      <c r="J472" s="217">
        <v>465</v>
      </c>
    </row>
    <row r="473" spans="1:10" x14ac:dyDescent="0.35">
      <c r="A473" s="223" t="b">
        <f t="shared" si="7"/>
        <v>0</v>
      </c>
      <c r="B473" s="398"/>
      <c r="C473" s="394"/>
      <c r="D473" s="395"/>
      <c r="E473" s="393"/>
      <c r="F473" s="394"/>
      <c r="G473" s="395"/>
      <c r="H473" s="395"/>
      <c r="I473" s="395"/>
      <c r="J473" s="217">
        <v>466</v>
      </c>
    </row>
    <row r="474" spans="1:10" x14ac:dyDescent="0.35">
      <c r="A474" s="223" t="b">
        <f t="shared" si="7"/>
        <v>0</v>
      </c>
      <c r="B474" s="398"/>
      <c r="C474" s="394"/>
      <c r="D474" s="395"/>
      <c r="E474" s="393"/>
      <c r="F474" s="394"/>
      <c r="G474" s="395"/>
      <c r="H474" s="395"/>
      <c r="I474" s="395"/>
      <c r="J474" s="217">
        <v>467</v>
      </c>
    </row>
    <row r="475" spans="1:10" x14ac:dyDescent="0.35">
      <c r="A475" s="223" t="b">
        <f t="shared" si="7"/>
        <v>0</v>
      </c>
      <c r="B475" s="398"/>
      <c r="C475" s="394"/>
      <c r="D475" s="395"/>
      <c r="E475" s="393"/>
      <c r="F475" s="394"/>
      <c r="G475" s="395"/>
      <c r="H475" s="395"/>
      <c r="I475" s="395"/>
      <c r="J475" s="217">
        <v>468</v>
      </c>
    </row>
    <row r="476" spans="1:10" x14ac:dyDescent="0.35">
      <c r="A476" s="223" t="b">
        <f t="shared" si="7"/>
        <v>0</v>
      </c>
      <c r="B476" s="398"/>
      <c r="C476" s="394"/>
      <c r="D476" s="395"/>
      <c r="E476" s="393"/>
      <c r="F476" s="394"/>
      <c r="G476" s="395"/>
      <c r="H476" s="395"/>
      <c r="I476" s="395"/>
      <c r="J476" s="217">
        <v>469</v>
      </c>
    </row>
    <row r="477" spans="1:10" x14ac:dyDescent="0.35">
      <c r="A477" s="223" t="b">
        <f t="shared" si="7"/>
        <v>0</v>
      </c>
      <c r="B477" s="398"/>
      <c r="C477" s="394"/>
      <c r="D477" s="395"/>
      <c r="E477" s="393"/>
      <c r="F477" s="394"/>
      <c r="G477" s="395"/>
      <c r="H477" s="395"/>
      <c r="I477" s="395"/>
      <c r="J477" s="217">
        <v>470</v>
      </c>
    </row>
    <row r="478" spans="1:10" x14ac:dyDescent="0.35">
      <c r="A478" s="223" t="b">
        <f t="shared" si="7"/>
        <v>0</v>
      </c>
      <c r="B478" s="398"/>
      <c r="C478" s="394"/>
      <c r="D478" s="395"/>
      <c r="E478" s="393"/>
      <c r="F478" s="394"/>
      <c r="G478" s="395"/>
      <c r="H478" s="395"/>
      <c r="I478" s="395"/>
      <c r="J478" s="217">
        <v>471</v>
      </c>
    </row>
    <row r="479" spans="1:10" x14ac:dyDescent="0.35">
      <c r="A479" s="223" t="b">
        <f t="shared" si="7"/>
        <v>0</v>
      </c>
      <c r="B479" s="398"/>
      <c r="C479" s="394"/>
      <c r="D479" s="395"/>
      <c r="E479" s="393"/>
      <c r="F479" s="394"/>
      <c r="G479" s="395"/>
      <c r="H479" s="395"/>
      <c r="I479" s="395"/>
      <c r="J479" s="217">
        <v>472</v>
      </c>
    </row>
    <row r="480" spans="1:10" x14ac:dyDescent="0.35">
      <c r="A480" s="223" t="b">
        <f t="shared" si="7"/>
        <v>0</v>
      </c>
      <c r="B480" s="398"/>
      <c r="C480" s="394"/>
      <c r="D480" s="395"/>
      <c r="E480" s="393"/>
      <c r="F480" s="394"/>
      <c r="G480" s="395"/>
      <c r="H480" s="395"/>
      <c r="I480" s="395"/>
      <c r="J480" s="217">
        <v>473</v>
      </c>
    </row>
    <row r="481" spans="1:10" x14ac:dyDescent="0.35">
      <c r="A481" s="223" t="b">
        <f t="shared" si="7"/>
        <v>0</v>
      </c>
      <c r="B481" s="398"/>
      <c r="C481" s="394"/>
      <c r="D481" s="395"/>
      <c r="E481" s="393"/>
      <c r="F481" s="394"/>
      <c r="G481" s="395"/>
      <c r="H481" s="395"/>
      <c r="I481" s="395"/>
      <c r="J481" s="217">
        <v>474</v>
      </c>
    </row>
    <row r="482" spans="1:10" x14ac:dyDescent="0.35">
      <c r="A482" s="223" t="b">
        <f t="shared" si="7"/>
        <v>0</v>
      </c>
      <c r="B482" s="398"/>
      <c r="C482" s="394"/>
      <c r="D482" s="395"/>
      <c r="E482" s="393"/>
      <c r="F482" s="394"/>
      <c r="G482" s="395"/>
      <c r="H482" s="395"/>
      <c r="I482" s="395"/>
      <c r="J482" s="217">
        <v>475</v>
      </c>
    </row>
    <row r="483" spans="1:10" x14ac:dyDescent="0.35">
      <c r="A483" s="223" t="b">
        <f t="shared" si="7"/>
        <v>0</v>
      </c>
      <c r="B483" s="398"/>
      <c r="C483" s="394"/>
      <c r="D483" s="395"/>
      <c r="E483" s="393"/>
      <c r="F483" s="394"/>
      <c r="G483" s="395"/>
      <c r="H483" s="395"/>
      <c r="I483" s="395"/>
      <c r="J483" s="217">
        <v>476</v>
      </c>
    </row>
    <row r="484" spans="1:10" x14ac:dyDescent="0.35">
      <c r="A484" s="223" t="b">
        <f t="shared" si="7"/>
        <v>0</v>
      </c>
      <c r="B484" s="398"/>
      <c r="C484" s="394"/>
      <c r="D484" s="395"/>
      <c r="E484" s="393"/>
      <c r="F484" s="394"/>
      <c r="G484" s="395"/>
      <c r="H484" s="395"/>
      <c r="I484" s="395"/>
      <c r="J484" s="217">
        <v>477</v>
      </c>
    </row>
    <row r="485" spans="1:10" x14ac:dyDescent="0.35">
      <c r="A485" s="223" t="b">
        <f t="shared" si="7"/>
        <v>0</v>
      </c>
      <c r="B485" s="398"/>
      <c r="C485" s="394"/>
      <c r="D485" s="395"/>
      <c r="E485" s="393"/>
      <c r="F485" s="394"/>
      <c r="G485" s="395"/>
      <c r="H485" s="395"/>
      <c r="I485" s="395"/>
      <c r="J485" s="217">
        <v>478</v>
      </c>
    </row>
    <row r="486" spans="1:10" x14ac:dyDescent="0.35">
      <c r="A486" s="223" t="b">
        <f t="shared" si="7"/>
        <v>0</v>
      </c>
      <c r="B486" s="398"/>
      <c r="C486" s="394"/>
      <c r="D486" s="395"/>
      <c r="E486" s="393"/>
      <c r="F486" s="394"/>
      <c r="G486" s="395"/>
      <c r="H486" s="395"/>
      <c r="I486" s="395"/>
      <c r="J486" s="217">
        <v>479</v>
      </c>
    </row>
    <row r="487" spans="1:10" x14ac:dyDescent="0.35">
      <c r="A487" s="223" t="b">
        <f t="shared" si="7"/>
        <v>0</v>
      </c>
      <c r="B487" s="398"/>
      <c r="C487" s="394"/>
      <c r="D487" s="395"/>
      <c r="E487" s="393"/>
      <c r="F487" s="394"/>
      <c r="G487" s="395"/>
      <c r="H487" s="395"/>
      <c r="I487" s="395"/>
      <c r="J487" s="217">
        <v>480</v>
      </c>
    </row>
    <row r="488" spans="1:10" x14ac:dyDescent="0.35">
      <c r="A488" s="223" t="b">
        <f t="shared" si="7"/>
        <v>0</v>
      </c>
      <c r="B488" s="398"/>
      <c r="C488" s="394"/>
      <c r="D488" s="395"/>
      <c r="E488" s="393"/>
      <c r="F488" s="394"/>
      <c r="G488" s="395"/>
      <c r="H488" s="395"/>
      <c r="I488" s="395"/>
      <c r="J488" s="217">
        <v>481</v>
      </c>
    </row>
    <row r="489" spans="1:10" x14ac:dyDescent="0.35">
      <c r="A489" s="223" t="b">
        <f t="shared" si="7"/>
        <v>0</v>
      </c>
      <c r="B489" s="398"/>
      <c r="C489" s="394"/>
      <c r="D489" s="395"/>
      <c r="E489" s="393"/>
      <c r="F489" s="394"/>
      <c r="G489" s="395"/>
      <c r="H489" s="395"/>
      <c r="I489" s="395"/>
      <c r="J489" s="217">
        <v>482</v>
      </c>
    </row>
    <row r="490" spans="1:10" x14ac:dyDescent="0.35">
      <c r="A490" s="223" t="b">
        <f t="shared" si="7"/>
        <v>0</v>
      </c>
      <c r="B490" s="398"/>
      <c r="C490" s="394"/>
      <c r="D490" s="395"/>
      <c r="E490" s="393"/>
      <c r="F490" s="394"/>
      <c r="G490" s="395"/>
      <c r="H490" s="395"/>
      <c r="I490" s="395"/>
      <c r="J490" s="217">
        <v>483</v>
      </c>
    </row>
    <row r="491" spans="1:10" x14ac:dyDescent="0.35">
      <c r="A491" s="223" t="b">
        <f t="shared" si="7"/>
        <v>0</v>
      </c>
      <c r="B491" s="398"/>
      <c r="C491" s="394"/>
      <c r="D491" s="395"/>
      <c r="E491" s="393"/>
      <c r="F491" s="394"/>
      <c r="G491" s="395"/>
      <c r="H491" s="395"/>
      <c r="I491" s="395"/>
      <c r="J491" s="217">
        <v>484</v>
      </c>
    </row>
    <row r="492" spans="1:10" x14ac:dyDescent="0.35">
      <c r="A492" s="223" t="b">
        <f t="shared" si="7"/>
        <v>0</v>
      </c>
      <c r="B492" s="398"/>
      <c r="C492" s="394"/>
      <c r="D492" s="395"/>
      <c r="E492" s="393"/>
      <c r="F492" s="394"/>
      <c r="G492" s="395"/>
      <c r="H492" s="395"/>
      <c r="I492" s="395"/>
      <c r="J492" s="217">
        <v>485</v>
      </c>
    </row>
    <row r="493" spans="1:10" x14ac:dyDescent="0.35">
      <c r="A493" s="223" t="b">
        <f t="shared" si="7"/>
        <v>0</v>
      </c>
      <c r="B493" s="398"/>
      <c r="C493" s="394"/>
      <c r="D493" s="395"/>
      <c r="E493" s="393"/>
      <c r="F493" s="394"/>
      <c r="G493" s="395"/>
      <c r="H493" s="395"/>
      <c r="I493" s="395"/>
      <c r="J493" s="217">
        <v>486</v>
      </c>
    </row>
    <row r="494" spans="1:10" x14ac:dyDescent="0.35">
      <c r="A494" s="223" t="b">
        <f t="shared" si="7"/>
        <v>0</v>
      </c>
      <c r="B494" s="398"/>
      <c r="C494" s="394"/>
      <c r="D494" s="395"/>
      <c r="E494" s="393"/>
      <c r="F494" s="394"/>
      <c r="G494" s="395"/>
      <c r="H494" s="395"/>
      <c r="I494" s="395"/>
      <c r="J494" s="217">
        <v>487</v>
      </c>
    </row>
    <row r="495" spans="1:10" x14ac:dyDescent="0.35">
      <c r="A495" s="223" t="b">
        <f t="shared" si="7"/>
        <v>0</v>
      </c>
      <c r="B495" s="398"/>
      <c r="C495" s="394"/>
      <c r="D495" s="395"/>
      <c r="E495" s="393"/>
      <c r="F495" s="394"/>
      <c r="G495" s="395"/>
      <c r="H495" s="395"/>
      <c r="I495" s="395"/>
      <c r="J495" s="217">
        <v>488</v>
      </c>
    </row>
    <row r="496" spans="1:10" x14ac:dyDescent="0.35">
      <c r="A496" s="223" t="b">
        <f t="shared" si="7"/>
        <v>0</v>
      </c>
      <c r="B496" s="398"/>
      <c r="C496" s="394"/>
      <c r="D496" s="395"/>
      <c r="E496" s="393"/>
      <c r="F496" s="394"/>
      <c r="G496" s="395"/>
      <c r="H496" s="395"/>
      <c r="I496" s="395"/>
      <c r="J496" s="217">
        <v>489</v>
      </c>
    </row>
    <row r="497" spans="1:10" x14ac:dyDescent="0.35">
      <c r="A497" s="223" t="b">
        <f t="shared" si="7"/>
        <v>0</v>
      </c>
      <c r="B497" s="398"/>
      <c r="C497" s="394"/>
      <c r="D497" s="395"/>
      <c r="E497" s="393"/>
      <c r="F497" s="394"/>
      <c r="G497" s="395"/>
      <c r="H497" s="395"/>
      <c r="I497" s="395"/>
      <c r="J497" s="217">
        <v>490</v>
      </c>
    </row>
    <row r="498" spans="1:10" x14ac:dyDescent="0.35">
      <c r="A498" s="223" t="b">
        <f t="shared" si="7"/>
        <v>0</v>
      </c>
      <c r="B498" s="398"/>
      <c r="C498" s="394"/>
      <c r="D498" s="395"/>
      <c r="E498" s="393"/>
      <c r="F498" s="394"/>
      <c r="G498" s="395"/>
      <c r="H498" s="395"/>
      <c r="I498" s="395"/>
      <c r="J498" s="217">
        <v>491</v>
      </c>
    </row>
    <row r="499" spans="1:10" x14ac:dyDescent="0.35">
      <c r="A499" s="223" t="b">
        <f t="shared" si="7"/>
        <v>0</v>
      </c>
      <c r="B499" s="398"/>
      <c r="C499" s="394"/>
      <c r="D499" s="395"/>
      <c r="E499" s="393"/>
      <c r="F499" s="394"/>
      <c r="G499" s="395"/>
      <c r="H499" s="395"/>
      <c r="I499" s="395"/>
      <c r="J499" s="217">
        <v>492</v>
      </c>
    </row>
    <row r="500" spans="1:10" x14ac:dyDescent="0.35">
      <c r="A500" s="223" t="b">
        <f t="shared" si="7"/>
        <v>0</v>
      </c>
      <c r="B500" s="398"/>
      <c r="C500" s="394"/>
      <c r="D500" s="395"/>
      <c r="E500" s="393"/>
      <c r="F500" s="394"/>
      <c r="G500" s="395"/>
      <c r="H500" s="395"/>
      <c r="I500" s="395"/>
      <c r="J500" s="217">
        <v>493</v>
      </c>
    </row>
    <row r="501" spans="1:10" x14ac:dyDescent="0.35">
      <c r="A501" s="223" t="b">
        <f t="shared" si="7"/>
        <v>0</v>
      </c>
      <c r="B501" s="398"/>
      <c r="C501" s="394"/>
      <c r="D501" s="395"/>
      <c r="E501" s="393"/>
      <c r="F501" s="394"/>
      <c r="G501" s="395"/>
      <c r="H501" s="395"/>
      <c r="I501" s="395"/>
      <c r="J501" s="217">
        <v>494</v>
      </c>
    </row>
    <row r="502" spans="1:10" x14ac:dyDescent="0.35">
      <c r="A502" s="223" t="b">
        <f t="shared" si="7"/>
        <v>0</v>
      </c>
      <c r="B502" s="398"/>
      <c r="C502" s="394"/>
      <c r="D502" s="395"/>
      <c r="E502" s="393"/>
      <c r="F502" s="394"/>
      <c r="G502" s="395"/>
      <c r="H502" s="395"/>
      <c r="I502" s="395"/>
      <c r="J502" s="217">
        <v>495</v>
      </c>
    </row>
    <row r="503" spans="1:10" x14ac:dyDescent="0.35">
      <c r="A503" s="223" t="b">
        <f t="shared" si="7"/>
        <v>0</v>
      </c>
      <c r="B503" s="398"/>
      <c r="C503" s="394"/>
      <c r="D503" s="395"/>
      <c r="E503" s="393"/>
      <c r="F503" s="394"/>
      <c r="G503" s="395"/>
      <c r="H503" s="395"/>
      <c r="I503" s="395"/>
      <c r="J503" s="217">
        <v>496</v>
      </c>
    </row>
    <row r="504" spans="1:10" x14ac:dyDescent="0.35">
      <c r="A504" s="223" t="b">
        <f t="shared" si="7"/>
        <v>0</v>
      </c>
      <c r="B504" s="398"/>
      <c r="C504" s="394"/>
      <c r="D504" s="395"/>
      <c r="E504" s="393"/>
      <c r="F504" s="394"/>
      <c r="G504" s="395"/>
      <c r="H504" s="395"/>
      <c r="I504" s="395"/>
      <c r="J504" s="217">
        <v>497</v>
      </c>
    </row>
    <row r="505" spans="1:10" x14ac:dyDescent="0.35">
      <c r="A505" s="223" t="b">
        <f t="shared" si="7"/>
        <v>0</v>
      </c>
      <c r="B505" s="398"/>
      <c r="C505" s="394"/>
      <c r="D505" s="395"/>
      <c r="E505" s="393"/>
      <c r="F505" s="394"/>
      <c r="G505" s="395"/>
      <c r="H505" s="395"/>
      <c r="I505" s="395"/>
      <c r="J505" s="217">
        <v>498</v>
      </c>
    </row>
    <row r="506" spans="1:10" x14ac:dyDescent="0.35">
      <c r="A506" s="223" t="b">
        <f t="shared" si="7"/>
        <v>0</v>
      </c>
      <c r="B506" s="398"/>
      <c r="C506" s="394"/>
      <c r="D506" s="395"/>
      <c r="E506" s="393"/>
      <c r="F506" s="394"/>
      <c r="G506" s="395"/>
      <c r="H506" s="395"/>
      <c r="I506" s="395"/>
      <c r="J506" s="217">
        <v>499</v>
      </c>
    </row>
    <row r="507" spans="1:10" x14ac:dyDescent="0.35">
      <c r="A507" s="223" t="b">
        <f t="shared" si="7"/>
        <v>0</v>
      </c>
      <c r="B507" s="398"/>
      <c r="C507" s="394"/>
      <c r="D507" s="395"/>
      <c r="E507" s="393"/>
      <c r="F507" s="394"/>
      <c r="G507" s="395"/>
      <c r="H507" s="395"/>
      <c r="I507" s="395"/>
      <c r="J507" s="217">
        <v>500</v>
      </c>
    </row>
    <row r="508" spans="1:10" x14ac:dyDescent="0.35">
      <c r="A508" s="223" t="b">
        <f t="shared" si="7"/>
        <v>0</v>
      </c>
      <c r="B508" s="398"/>
      <c r="C508" s="394"/>
      <c r="D508" s="395"/>
      <c r="E508" s="393"/>
      <c r="F508" s="394"/>
      <c r="G508" s="395"/>
      <c r="H508" s="395"/>
      <c r="I508" s="395"/>
      <c r="J508" s="217">
        <v>501</v>
      </c>
    </row>
    <row r="509" spans="1:10" x14ac:dyDescent="0.35">
      <c r="A509" s="223" t="b">
        <f t="shared" si="7"/>
        <v>0</v>
      </c>
      <c r="B509" s="398"/>
      <c r="C509" s="394"/>
      <c r="D509" s="395"/>
      <c r="E509" s="393"/>
      <c r="F509" s="394"/>
      <c r="G509" s="395"/>
      <c r="H509" s="395"/>
      <c r="I509" s="395"/>
      <c r="J509" s="217">
        <v>502</v>
      </c>
    </row>
    <row r="510" spans="1:10" x14ac:dyDescent="0.35">
      <c r="A510" s="223" t="b">
        <f t="shared" si="7"/>
        <v>0</v>
      </c>
      <c r="B510" s="398"/>
      <c r="C510" s="394"/>
      <c r="D510" s="395"/>
      <c r="E510" s="393"/>
      <c r="F510" s="394"/>
      <c r="G510" s="395"/>
      <c r="H510" s="395"/>
      <c r="I510" s="395"/>
      <c r="J510" s="217">
        <v>503</v>
      </c>
    </row>
    <row r="511" spans="1:10" x14ac:dyDescent="0.35">
      <c r="A511" s="223" t="b">
        <f t="shared" si="7"/>
        <v>0</v>
      </c>
      <c r="B511" s="398"/>
      <c r="C511" s="394"/>
      <c r="D511" s="395"/>
      <c r="E511" s="393"/>
      <c r="F511" s="394"/>
      <c r="G511" s="395"/>
      <c r="H511" s="395"/>
      <c r="I511" s="395"/>
      <c r="J511" s="217">
        <v>504</v>
      </c>
    </row>
    <row r="512" spans="1:10" x14ac:dyDescent="0.35">
      <c r="A512" s="223" t="b">
        <f t="shared" si="7"/>
        <v>0</v>
      </c>
      <c r="B512" s="398"/>
      <c r="C512" s="394"/>
      <c r="D512" s="395"/>
      <c r="E512" s="393"/>
      <c r="F512" s="394"/>
      <c r="G512" s="395"/>
      <c r="H512" s="395"/>
      <c r="I512" s="395"/>
      <c r="J512" s="217">
        <v>505</v>
      </c>
    </row>
    <row r="513" spans="1:10" x14ac:dyDescent="0.35">
      <c r="A513" s="223" t="b">
        <f t="shared" si="7"/>
        <v>0</v>
      </c>
      <c r="B513" s="398"/>
      <c r="C513" s="394"/>
      <c r="D513" s="395"/>
      <c r="E513" s="393"/>
      <c r="F513" s="394"/>
      <c r="G513" s="395"/>
      <c r="H513" s="395"/>
      <c r="I513" s="395"/>
      <c r="J513" s="217">
        <v>506</v>
      </c>
    </row>
    <row r="514" spans="1:10" x14ac:dyDescent="0.35">
      <c r="A514" s="223" t="b">
        <f t="shared" si="7"/>
        <v>0</v>
      </c>
      <c r="B514" s="398"/>
      <c r="C514" s="394"/>
      <c r="D514" s="395"/>
      <c r="E514" s="393"/>
      <c r="F514" s="394"/>
      <c r="G514" s="395"/>
      <c r="H514" s="395"/>
      <c r="I514" s="395"/>
      <c r="J514" s="217">
        <v>507</v>
      </c>
    </row>
    <row r="515" spans="1:10" x14ac:dyDescent="0.35">
      <c r="A515" s="223" t="b">
        <f t="shared" si="7"/>
        <v>0</v>
      </c>
      <c r="B515" s="398"/>
      <c r="C515" s="394"/>
      <c r="D515" s="395"/>
      <c r="E515" s="393"/>
      <c r="F515" s="394"/>
      <c r="G515" s="395"/>
      <c r="H515" s="395"/>
      <c r="I515" s="395"/>
      <c r="J515" s="217">
        <v>508</v>
      </c>
    </row>
    <row r="516" spans="1:10" x14ac:dyDescent="0.35">
      <c r="A516" s="223" t="b">
        <f t="shared" si="7"/>
        <v>0</v>
      </c>
      <c r="B516" s="398"/>
      <c r="C516" s="394"/>
      <c r="D516" s="395"/>
      <c r="E516" s="393"/>
      <c r="F516" s="394"/>
      <c r="G516" s="395"/>
      <c r="H516" s="395"/>
      <c r="I516" s="395"/>
      <c r="J516" s="217">
        <v>509</v>
      </c>
    </row>
    <row r="517" spans="1:10" x14ac:dyDescent="0.35">
      <c r="A517" s="223" t="b">
        <f t="shared" si="7"/>
        <v>0</v>
      </c>
      <c r="B517" s="398"/>
      <c r="C517" s="394"/>
      <c r="D517" s="395"/>
      <c r="E517" s="393"/>
      <c r="F517" s="394"/>
      <c r="G517" s="395"/>
      <c r="H517" s="395"/>
      <c r="I517" s="395"/>
      <c r="J517" s="217">
        <v>510</v>
      </c>
    </row>
    <row r="518" spans="1:10" x14ac:dyDescent="0.35">
      <c r="A518" s="223" t="b">
        <f t="shared" si="7"/>
        <v>0</v>
      </c>
      <c r="B518" s="398"/>
      <c r="C518" s="394"/>
      <c r="D518" s="395"/>
      <c r="E518" s="393"/>
      <c r="F518" s="394"/>
      <c r="G518" s="395"/>
      <c r="H518" s="395"/>
      <c r="I518" s="395"/>
      <c r="J518" s="217">
        <v>511</v>
      </c>
    </row>
    <row r="519" spans="1:10" x14ac:dyDescent="0.35">
      <c r="A519" s="223" t="b">
        <f t="shared" si="7"/>
        <v>0</v>
      </c>
      <c r="B519" s="398"/>
      <c r="C519" s="394"/>
      <c r="D519" s="395"/>
      <c r="E519" s="393"/>
      <c r="F519" s="394"/>
      <c r="G519" s="395"/>
      <c r="H519" s="395"/>
      <c r="I519" s="395"/>
      <c r="J519" s="217">
        <v>512</v>
      </c>
    </row>
    <row r="520" spans="1:10" x14ac:dyDescent="0.35">
      <c r="A520" s="223" t="b">
        <f t="shared" ref="A520:A583" si="8">OR(B520&lt;&gt;"",D520&lt;&gt;"",C520&lt;&gt;"",E520&lt;&gt;"",F520&lt;&gt;"",G520&lt;&gt;"")</f>
        <v>0</v>
      </c>
      <c r="B520" s="398"/>
      <c r="C520" s="394"/>
      <c r="D520" s="395"/>
      <c r="E520" s="393"/>
      <c r="F520" s="394"/>
      <c r="G520" s="395"/>
      <c r="H520" s="395"/>
      <c r="I520" s="395"/>
      <c r="J520" s="217">
        <v>513</v>
      </c>
    </row>
    <row r="521" spans="1:10" x14ac:dyDescent="0.35">
      <c r="A521" s="223" t="b">
        <f t="shared" si="8"/>
        <v>0</v>
      </c>
      <c r="B521" s="398"/>
      <c r="C521" s="394"/>
      <c r="D521" s="395"/>
      <c r="E521" s="393"/>
      <c r="F521" s="394"/>
      <c r="G521" s="395"/>
      <c r="H521" s="395"/>
      <c r="I521" s="395"/>
      <c r="J521" s="217">
        <v>514</v>
      </c>
    </row>
    <row r="522" spans="1:10" x14ac:dyDescent="0.35">
      <c r="A522" s="223" t="b">
        <f t="shared" si="8"/>
        <v>0</v>
      </c>
      <c r="B522" s="398"/>
      <c r="C522" s="394"/>
      <c r="D522" s="395"/>
      <c r="E522" s="393"/>
      <c r="F522" s="394"/>
      <c r="G522" s="395"/>
      <c r="H522" s="395"/>
      <c r="I522" s="395"/>
      <c r="J522" s="217">
        <v>515</v>
      </c>
    </row>
    <row r="523" spans="1:10" x14ac:dyDescent="0.35">
      <c r="A523" s="223" t="b">
        <f t="shared" si="8"/>
        <v>0</v>
      </c>
      <c r="B523" s="398"/>
      <c r="C523" s="394"/>
      <c r="D523" s="395"/>
      <c r="E523" s="393"/>
      <c r="F523" s="394"/>
      <c r="G523" s="395"/>
      <c r="H523" s="395"/>
      <c r="I523" s="395"/>
      <c r="J523" s="217">
        <v>516</v>
      </c>
    </row>
    <row r="524" spans="1:10" x14ac:dyDescent="0.35">
      <c r="A524" s="223" t="b">
        <f t="shared" si="8"/>
        <v>0</v>
      </c>
      <c r="B524" s="398"/>
      <c r="C524" s="394"/>
      <c r="D524" s="395"/>
      <c r="E524" s="393"/>
      <c r="F524" s="394"/>
      <c r="G524" s="395"/>
      <c r="H524" s="395"/>
      <c r="I524" s="395"/>
      <c r="J524" s="217">
        <v>517</v>
      </c>
    </row>
    <row r="525" spans="1:10" x14ac:dyDescent="0.35">
      <c r="A525" s="223" t="b">
        <f t="shared" si="8"/>
        <v>0</v>
      </c>
      <c r="B525" s="398"/>
      <c r="C525" s="394"/>
      <c r="D525" s="395"/>
      <c r="E525" s="393"/>
      <c r="F525" s="394"/>
      <c r="G525" s="395"/>
      <c r="H525" s="395"/>
      <c r="I525" s="395"/>
      <c r="J525" s="217">
        <v>518</v>
      </c>
    </row>
    <row r="526" spans="1:10" x14ac:dyDescent="0.35">
      <c r="A526" s="223" t="b">
        <f t="shared" si="8"/>
        <v>0</v>
      </c>
      <c r="B526" s="398"/>
      <c r="C526" s="394"/>
      <c r="D526" s="395"/>
      <c r="E526" s="393"/>
      <c r="F526" s="394"/>
      <c r="G526" s="395"/>
      <c r="H526" s="395"/>
      <c r="I526" s="395"/>
      <c r="J526" s="217">
        <v>519</v>
      </c>
    </row>
    <row r="527" spans="1:10" x14ac:dyDescent="0.35">
      <c r="A527" s="223" t="b">
        <f t="shared" si="8"/>
        <v>0</v>
      </c>
      <c r="B527" s="398"/>
      <c r="C527" s="394"/>
      <c r="D527" s="395"/>
      <c r="E527" s="393"/>
      <c r="F527" s="394"/>
      <c r="G527" s="395"/>
      <c r="H527" s="395"/>
      <c r="I527" s="395"/>
      <c r="J527" s="217">
        <v>520</v>
      </c>
    </row>
    <row r="528" spans="1:10" x14ac:dyDescent="0.35">
      <c r="A528" s="223" t="b">
        <f t="shared" si="8"/>
        <v>0</v>
      </c>
      <c r="B528" s="398"/>
      <c r="C528" s="394"/>
      <c r="D528" s="395"/>
      <c r="E528" s="393"/>
      <c r="F528" s="394"/>
      <c r="G528" s="395"/>
      <c r="H528" s="395"/>
      <c r="I528" s="395"/>
      <c r="J528" s="217">
        <v>521</v>
      </c>
    </row>
    <row r="529" spans="1:10" x14ac:dyDescent="0.35">
      <c r="A529" s="223" t="b">
        <f t="shared" si="8"/>
        <v>0</v>
      </c>
      <c r="B529" s="398"/>
      <c r="C529" s="394"/>
      <c r="D529" s="395"/>
      <c r="E529" s="393"/>
      <c r="F529" s="394"/>
      <c r="G529" s="395"/>
      <c r="H529" s="395"/>
      <c r="I529" s="395"/>
      <c r="J529" s="217">
        <v>522</v>
      </c>
    </row>
    <row r="530" spans="1:10" x14ac:dyDescent="0.35">
      <c r="A530" s="223" t="b">
        <f t="shared" si="8"/>
        <v>0</v>
      </c>
      <c r="B530" s="398"/>
      <c r="C530" s="394"/>
      <c r="D530" s="395"/>
      <c r="E530" s="393"/>
      <c r="F530" s="394"/>
      <c r="G530" s="395"/>
      <c r="H530" s="395"/>
      <c r="I530" s="395"/>
      <c r="J530" s="217">
        <v>523</v>
      </c>
    </row>
    <row r="531" spans="1:10" x14ac:dyDescent="0.35">
      <c r="A531" s="223" t="b">
        <f t="shared" si="8"/>
        <v>0</v>
      </c>
      <c r="B531" s="398"/>
      <c r="C531" s="394"/>
      <c r="D531" s="395"/>
      <c r="E531" s="393"/>
      <c r="F531" s="394"/>
      <c r="G531" s="395"/>
      <c r="H531" s="395"/>
      <c r="I531" s="395"/>
      <c r="J531" s="217">
        <v>524</v>
      </c>
    </row>
    <row r="532" spans="1:10" x14ac:dyDescent="0.35">
      <c r="A532" s="223" t="b">
        <f t="shared" si="8"/>
        <v>0</v>
      </c>
      <c r="B532" s="398"/>
      <c r="C532" s="394"/>
      <c r="D532" s="395"/>
      <c r="E532" s="393"/>
      <c r="F532" s="394"/>
      <c r="G532" s="395"/>
      <c r="H532" s="395"/>
      <c r="I532" s="395"/>
      <c r="J532" s="217">
        <v>525</v>
      </c>
    </row>
    <row r="533" spans="1:10" x14ac:dyDescent="0.35">
      <c r="A533" s="223" t="b">
        <f t="shared" si="8"/>
        <v>0</v>
      </c>
      <c r="B533" s="398"/>
      <c r="C533" s="394"/>
      <c r="D533" s="395"/>
      <c r="E533" s="393"/>
      <c r="F533" s="394"/>
      <c r="G533" s="395"/>
      <c r="H533" s="395"/>
      <c r="I533" s="395"/>
      <c r="J533" s="217">
        <v>526</v>
      </c>
    </row>
    <row r="534" spans="1:10" x14ac:dyDescent="0.35">
      <c r="A534" s="223" t="b">
        <f t="shared" si="8"/>
        <v>0</v>
      </c>
      <c r="B534" s="398"/>
      <c r="C534" s="394"/>
      <c r="D534" s="395"/>
      <c r="E534" s="393"/>
      <c r="F534" s="394"/>
      <c r="G534" s="395"/>
      <c r="H534" s="395"/>
      <c r="I534" s="395"/>
      <c r="J534" s="217">
        <v>527</v>
      </c>
    </row>
    <row r="535" spans="1:10" x14ac:dyDescent="0.35">
      <c r="A535" s="223" t="b">
        <f t="shared" si="8"/>
        <v>0</v>
      </c>
      <c r="B535" s="398"/>
      <c r="C535" s="394"/>
      <c r="D535" s="395"/>
      <c r="E535" s="393"/>
      <c r="F535" s="394"/>
      <c r="G535" s="395"/>
      <c r="H535" s="395"/>
      <c r="I535" s="395"/>
      <c r="J535" s="217">
        <v>528</v>
      </c>
    </row>
    <row r="536" spans="1:10" x14ac:dyDescent="0.35">
      <c r="A536" s="223" t="b">
        <f t="shared" si="8"/>
        <v>0</v>
      </c>
      <c r="B536" s="398"/>
      <c r="C536" s="394"/>
      <c r="D536" s="395"/>
      <c r="E536" s="393"/>
      <c r="F536" s="394"/>
      <c r="G536" s="395"/>
      <c r="H536" s="395"/>
      <c r="I536" s="395"/>
      <c r="J536" s="217">
        <v>529</v>
      </c>
    </row>
    <row r="537" spans="1:10" x14ac:dyDescent="0.35">
      <c r="A537" s="223" t="b">
        <f t="shared" si="8"/>
        <v>0</v>
      </c>
      <c r="B537" s="398"/>
      <c r="C537" s="394"/>
      <c r="D537" s="395"/>
      <c r="E537" s="393"/>
      <c r="F537" s="394"/>
      <c r="G537" s="395"/>
      <c r="H537" s="395"/>
      <c r="I537" s="395"/>
      <c r="J537" s="217">
        <v>530</v>
      </c>
    </row>
    <row r="538" spans="1:10" x14ac:dyDescent="0.35">
      <c r="A538" s="223" t="b">
        <f t="shared" si="8"/>
        <v>0</v>
      </c>
      <c r="B538" s="398"/>
      <c r="C538" s="394"/>
      <c r="D538" s="395"/>
      <c r="E538" s="393"/>
      <c r="F538" s="394"/>
      <c r="G538" s="395"/>
      <c r="H538" s="395"/>
      <c r="I538" s="395"/>
      <c r="J538" s="217">
        <v>531</v>
      </c>
    </row>
    <row r="539" spans="1:10" x14ac:dyDescent="0.35">
      <c r="A539" s="223" t="b">
        <f t="shared" si="8"/>
        <v>0</v>
      </c>
      <c r="B539" s="398"/>
      <c r="C539" s="394"/>
      <c r="D539" s="395"/>
      <c r="E539" s="393"/>
      <c r="F539" s="394"/>
      <c r="G539" s="395"/>
      <c r="H539" s="395"/>
      <c r="I539" s="395"/>
      <c r="J539" s="217">
        <v>532</v>
      </c>
    </row>
    <row r="540" spans="1:10" x14ac:dyDescent="0.35">
      <c r="A540" s="223" t="b">
        <f t="shared" si="8"/>
        <v>0</v>
      </c>
      <c r="B540" s="398"/>
      <c r="C540" s="394"/>
      <c r="D540" s="395"/>
      <c r="E540" s="393"/>
      <c r="F540" s="394"/>
      <c r="G540" s="395"/>
      <c r="H540" s="395"/>
      <c r="I540" s="395"/>
      <c r="J540" s="217">
        <v>533</v>
      </c>
    </row>
    <row r="541" spans="1:10" x14ac:dyDescent="0.35">
      <c r="A541" s="223" t="b">
        <f t="shared" si="8"/>
        <v>0</v>
      </c>
      <c r="B541" s="398"/>
      <c r="C541" s="394"/>
      <c r="D541" s="395"/>
      <c r="E541" s="393"/>
      <c r="F541" s="394"/>
      <c r="G541" s="395"/>
      <c r="H541" s="395"/>
      <c r="I541" s="395"/>
      <c r="J541" s="217">
        <v>534</v>
      </c>
    </row>
    <row r="542" spans="1:10" x14ac:dyDescent="0.35">
      <c r="A542" s="223" t="b">
        <f t="shared" si="8"/>
        <v>0</v>
      </c>
      <c r="B542" s="398"/>
      <c r="C542" s="394"/>
      <c r="D542" s="395"/>
      <c r="E542" s="393"/>
      <c r="F542" s="394"/>
      <c r="G542" s="395"/>
      <c r="H542" s="395"/>
      <c r="I542" s="395"/>
      <c r="J542" s="217">
        <v>535</v>
      </c>
    </row>
    <row r="543" spans="1:10" x14ac:dyDescent="0.35">
      <c r="A543" s="223" t="b">
        <f t="shared" si="8"/>
        <v>0</v>
      </c>
      <c r="B543" s="398"/>
      <c r="C543" s="394"/>
      <c r="D543" s="395"/>
      <c r="E543" s="393"/>
      <c r="F543" s="394"/>
      <c r="G543" s="395"/>
      <c r="H543" s="395"/>
      <c r="I543" s="395"/>
      <c r="J543" s="217">
        <v>536</v>
      </c>
    </row>
    <row r="544" spans="1:10" x14ac:dyDescent="0.35">
      <c r="A544" s="223" t="b">
        <f t="shared" si="8"/>
        <v>0</v>
      </c>
      <c r="B544" s="398"/>
      <c r="C544" s="394"/>
      <c r="D544" s="395"/>
      <c r="E544" s="393"/>
      <c r="F544" s="394"/>
      <c r="G544" s="395"/>
      <c r="H544" s="395"/>
      <c r="I544" s="395"/>
      <c r="J544" s="217">
        <v>537</v>
      </c>
    </row>
    <row r="545" spans="1:10" x14ac:dyDescent="0.35">
      <c r="A545" s="223" t="b">
        <f t="shared" si="8"/>
        <v>0</v>
      </c>
      <c r="B545" s="398"/>
      <c r="C545" s="394"/>
      <c r="D545" s="395"/>
      <c r="E545" s="393"/>
      <c r="F545" s="394"/>
      <c r="G545" s="395"/>
      <c r="H545" s="395"/>
      <c r="I545" s="395"/>
      <c r="J545" s="217">
        <v>538</v>
      </c>
    </row>
    <row r="546" spans="1:10" x14ac:dyDescent="0.35">
      <c r="A546" s="223" t="b">
        <f t="shared" si="8"/>
        <v>0</v>
      </c>
      <c r="B546" s="398"/>
      <c r="C546" s="394"/>
      <c r="D546" s="395"/>
      <c r="E546" s="393"/>
      <c r="F546" s="394"/>
      <c r="G546" s="395"/>
      <c r="H546" s="395"/>
      <c r="I546" s="395"/>
      <c r="J546" s="217">
        <v>539</v>
      </c>
    </row>
    <row r="547" spans="1:10" x14ac:dyDescent="0.35">
      <c r="A547" s="223" t="b">
        <f t="shared" si="8"/>
        <v>0</v>
      </c>
      <c r="B547" s="398"/>
      <c r="C547" s="394"/>
      <c r="D547" s="395"/>
      <c r="E547" s="393"/>
      <c r="F547" s="394"/>
      <c r="G547" s="395"/>
      <c r="H547" s="395"/>
      <c r="I547" s="395"/>
      <c r="J547" s="217">
        <v>540</v>
      </c>
    </row>
    <row r="548" spans="1:10" x14ac:dyDescent="0.35">
      <c r="A548" s="223" t="b">
        <f t="shared" si="8"/>
        <v>0</v>
      </c>
      <c r="B548" s="398"/>
      <c r="C548" s="394"/>
      <c r="D548" s="395"/>
      <c r="E548" s="393"/>
      <c r="F548" s="394"/>
      <c r="G548" s="395"/>
      <c r="H548" s="395"/>
      <c r="I548" s="395"/>
      <c r="J548" s="217">
        <v>541</v>
      </c>
    </row>
    <row r="549" spans="1:10" x14ac:dyDescent="0.35">
      <c r="A549" s="223" t="b">
        <f t="shared" si="8"/>
        <v>0</v>
      </c>
      <c r="B549" s="398"/>
      <c r="C549" s="394"/>
      <c r="D549" s="395"/>
      <c r="E549" s="393"/>
      <c r="F549" s="394"/>
      <c r="G549" s="395"/>
      <c r="H549" s="395"/>
      <c r="I549" s="395"/>
      <c r="J549" s="217">
        <v>542</v>
      </c>
    </row>
    <row r="550" spans="1:10" x14ac:dyDescent="0.35">
      <c r="A550" s="223" t="b">
        <f t="shared" si="8"/>
        <v>0</v>
      </c>
      <c r="B550" s="398"/>
      <c r="C550" s="394"/>
      <c r="D550" s="395"/>
      <c r="E550" s="393"/>
      <c r="F550" s="394"/>
      <c r="G550" s="395"/>
      <c r="H550" s="395"/>
      <c r="I550" s="395"/>
      <c r="J550" s="217">
        <v>543</v>
      </c>
    </row>
    <row r="551" spans="1:10" x14ac:dyDescent="0.35">
      <c r="A551" s="223" t="b">
        <f t="shared" si="8"/>
        <v>0</v>
      </c>
      <c r="B551" s="398"/>
      <c r="C551" s="394"/>
      <c r="D551" s="395"/>
      <c r="E551" s="393"/>
      <c r="F551" s="394"/>
      <c r="G551" s="395"/>
      <c r="H551" s="395"/>
      <c r="I551" s="395"/>
      <c r="J551" s="217">
        <v>544</v>
      </c>
    </row>
    <row r="552" spans="1:10" x14ac:dyDescent="0.35">
      <c r="A552" s="223" t="b">
        <f t="shared" si="8"/>
        <v>0</v>
      </c>
      <c r="B552" s="398"/>
      <c r="C552" s="394"/>
      <c r="D552" s="395"/>
      <c r="E552" s="393"/>
      <c r="F552" s="394"/>
      <c r="G552" s="395"/>
      <c r="H552" s="395"/>
      <c r="I552" s="395"/>
      <c r="J552" s="217">
        <v>545</v>
      </c>
    </row>
    <row r="553" spans="1:10" x14ac:dyDescent="0.35">
      <c r="A553" s="223" t="b">
        <f t="shared" si="8"/>
        <v>0</v>
      </c>
      <c r="B553" s="398"/>
      <c r="C553" s="394"/>
      <c r="D553" s="395"/>
      <c r="E553" s="393"/>
      <c r="F553" s="394"/>
      <c r="G553" s="395"/>
      <c r="H553" s="395"/>
      <c r="I553" s="395"/>
      <c r="J553" s="217">
        <v>546</v>
      </c>
    </row>
    <row r="554" spans="1:10" x14ac:dyDescent="0.35">
      <c r="A554" s="223" t="b">
        <f t="shared" si="8"/>
        <v>0</v>
      </c>
      <c r="B554" s="398"/>
      <c r="C554" s="394"/>
      <c r="D554" s="395"/>
      <c r="E554" s="393"/>
      <c r="F554" s="394"/>
      <c r="G554" s="395"/>
      <c r="H554" s="395"/>
      <c r="I554" s="395"/>
      <c r="J554" s="217">
        <v>547</v>
      </c>
    </row>
    <row r="555" spans="1:10" x14ac:dyDescent="0.35">
      <c r="A555" s="223" t="b">
        <f t="shared" si="8"/>
        <v>0</v>
      </c>
      <c r="B555" s="398"/>
      <c r="C555" s="394"/>
      <c r="D555" s="395"/>
      <c r="E555" s="393"/>
      <c r="F555" s="394"/>
      <c r="G555" s="395"/>
      <c r="H555" s="395"/>
      <c r="I555" s="395"/>
      <c r="J555" s="217">
        <v>548</v>
      </c>
    </row>
    <row r="556" spans="1:10" x14ac:dyDescent="0.35">
      <c r="A556" s="223" t="b">
        <f t="shared" si="8"/>
        <v>0</v>
      </c>
      <c r="B556" s="398"/>
      <c r="C556" s="394"/>
      <c r="D556" s="395"/>
      <c r="E556" s="393"/>
      <c r="F556" s="394"/>
      <c r="G556" s="395"/>
      <c r="H556" s="395"/>
      <c r="I556" s="395"/>
      <c r="J556" s="217">
        <v>549</v>
      </c>
    </row>
    <row r="557" spans="1:10" x14ac:dyDescent="0.35">
      <c r="A557" s="223" t="b">
        <f t="shared" si="8"/>
        <v>0</v>
      </c>
      <c r="B557" s="398"/>
      <c r="C557" s="394"/>
      <c r="D557" s="395"/>
      <c r="E557" s="393"/>
      <c r="F557" s="394"/>
      <c r="G557" s="395"/>
      <c r="H557" s="395"/>
      <c r="I557" s="395"/>
      <c r="J557" s="217">
        <v>550</v>
      </c>
    </row>
    <row r="558" spans="1:10" x14ac:dyDescent="0.35">
      <c r="A558" s="223" t="b">
        <f t="shared" si="8"/>
        <v>0</v>
      </c>
      <c r="B558" s="398"/>
      <c r="C558" s="394"/>
      <c r="D558" s="395"/>
      <c r="E558" s="393"/>
      <c r="F558" s="394"/>
      <c r="G558" s="395"/>
      <c r="H558" s="395"/>
      <c r="I558" s="395"/>
      <c r="J558" s="217">
        <v>551</v>
      </c>
    </row>
    <row r="559" spans="1:10" x14ac:dyDescent="0.35">
      <c r="A559" s="223" t="b">
        <f t="shared" si="8"/>
        <v>0</v>
      </c>
      <c r="B559" s="398"/>
      <c r="C559" s="394"/>
      <c r="D559" s="395"/>
      <c r="E559" s="393"/>
      <c r="F559" s="394"/>
      <c r="G559" s="395"/>
      <c r="H559" s="395"/>
      <c r="I559" s="395"/>
      <c r="J559" s="217">
        <v>552</v>
      </c>
    </row>
    <row r="560" spans="1:10" x14ac:dyDescent="0.35">
      <c r="A560" s="223" t="b">
        <f t="shared" si="8"/>
        <v>0</v>
      </c>
      <c r="B560" s="398"/>
      <c r="C560" s="394"/>
      <c r="D560" s="395"/>
      <c r="E560" s="393"/>
      <c r="F560" s="394"/>
      <c r="G560" s="395"/>
      <c r="H560" s="395"/>
      <c r="I560" s="395"/>
      <c r="J560" s="217">
        <v>553</v>
      </c>
    </row>
    <row r="561" spans="1:10" x14ac:dyDescent="0.35">
      <c r="A561" s="223" t="b">
        <f t="shared" si="8"/>
        <v>0</v>
      </c>
      <c r="B561" s="398"/>
      <c r="C561" s="394"/>
      <c r="D561" s="395"/>
      <c r="E561" s="393"/>
      <c r="F561" s="394"/>
      <c r="G561" s="395"/>
      <c r="H561" s="395"/>
      <c r="I561" s="395"/>
      <c r="J561" s="217">
        <v>554</v>
      </c>
    </row>
    <row r="562" spans="1:10" x14ac:dyDescent="0.35">
      <c r="A562" s="223" t="b">
        <f t="shared" si="8"/>
        <v>0</v>
      </c>
      <c r="B562" s="398"/>
      <c r="C562" s="394"/>
      <c r="D562" s="395"/>
      <c r="E562" s="393"/>
      <c r="F562" s="394"/>
      <c r="G562" s="395"/>
      <c r="H562" s="395"/>
      <c r="I562" s="395"/>
      <c r="J562" s="217">
        <v>555</v>
      </c>
    </row>
    <row r="563" spans="1:10" x14ac:dyDescent="0.35">
      <c r="A563" s="223" t="b">
        <f t="shared" si="8"/>
        <v>0</v>
      </c>
      <c r="B563" s="398"/>
      <c r="C563" s="394"/>
      <c r="D563" s="395"/>
      <c r="E563" s="393"/>
      <c r="F563" s="394"/>
      <c r="G563" s="395"/>
      <c r="H563" s="395"/>
      <c r="I563" s="395"/>
      <c r="J563" s="217">
        <v>556</v>
      </c>
    </row>
    <row r="564" spans="1:10" x14ac:dyDescent="0.35">
      <c r="A564" s="223" t="b">
        <f t="shared" si="8"/>
        <v>0</v>
      </c>
      <c r="B564" s="398"/>
      <c r="C564" s="394"/>
      <c r="D564" s="395"/>
      <c r="E564" s="393"/>
      <c r="F564" s="394"/>
      <c r="G564" s="395"/>
      <c r="H564" s="395"/>
      <c r="I564" s="395"/>
      <c r="J564" s="217">
        <v>557</v>
      </c>
    </row>
    <row r="565" spans="1:10" x14ac:dyDescent="0.35">
      <c r="A565" s="223" t="b">
        <f t="shared" si="8"/>
        <v>0</v>
      </c>
      <c r="B565" s="398"/>
      <c r="C565" s="394"/>
      <c r="D565" s="395"/>
      <c r="E565" s="393"/>
      <c r="F565" s="394"/>
      <c r="G565" s="395"/>
      <c r="H565" s="395"/>
      <c r="I565" s="395"/>
      <c r="J565" s="217">
        <v>558</v>
      </c>
    </row>
    <row r="566" spans="1:10" x14ac:dyDescent="0.35">
      <c r="A566" s="223" t="b">
        <f t="shared" si="8"/>
        <v>0</v>
      </c>
      <c r="B566" s="398"/>
      <c r="C566" s="394"/>
      <c r="D566" s="395"/>
      <c r="E566" s="393"/>
      <c r="F566" s="394"/>
      <c r="G566" s="395"/>
      <c r="H566" s="395"/>
      <c r="I566" s="395"/>
      <c r="J566" s="217">
        <v>559</v>
      </c>
    </row>
    <row r="567" spans="1:10" x14ac:dyDescent="0.35">
      <c r="A567" s="223" t="b">
        <f t="shared" si="8"/>
        <v>0</v>
      </c>
      <c r="B567" s="398"/>
      <c r="C567" s="394"/>
      <c r="D567" s="395"/>
      <c r="E567" s="393"/>
      <c r="F567" s="394"/>
      <c r="G567" s="395"/>
      <c r="H567" s="395"/>
      <c r="I567" s="395"/>
      <c r="J567" s="217">
        <v>560</v>
      </c>
    </row>
    <row r="568" spans="1:10" x14ac:dyDescent="0.35">
      <c r="A568" s="223" t="b">
        <f t="shared" si="8"/>
        <v>0</v>
      </c>
      <c r="B568" s="398"/>
      <c r="C568" s="394"/>
      <c r="D568" s="395"/>
      <c r="E568" s="393"/>
      <c r="F568" s="394"/>
      <c r="G568" s="395"/>
      <c r="H568" s="395"/>
      <c r="I568" s="395"/>
      <c r="J568" s="217">
        <v>561</v>
      </c>
    </row>
    <row r="569" spans="1:10" x14ac:dyDescent="0.35">
      <c r="A569" s="223" t="b">
        <f t="shared" si="8"/>
        <v>0</v>
      </c>
      <c r="B569" s="398"/>
      <c r="C569" s="394"/>
      <c r="D569" s="395"/>
      <c r="E569" s="393"/>
      <c r="F569" s="394"/>
      <c r="G569" s="395"/>
      <c r="H569" s="395"/>
      <c r="I569" s="395"/>
      <c r="J569" s="217">
        <v>562</v>
      </c>
    </row>
    <row r="570" spans="1:10" x14ac:dyDescent="0.35">
      <c r="A570" s="223" t="b">
        <f t="shared" si="8"/>
        <v>0</v>
      </c>
      <c r="B570" s="398"/>
      <c r="C570" s="394"/>
      <c r="D570" s="395"/>
      <c r="E570" s="393"/>
      <c r="F570" s="394"/>
      <c r="G570" s="395"/>
      <c r="H570" s="395"/>
      <c r="I570" s="395"/>
      <c r="J570" s="217">
        <v>563</v>
      </c>
    </row>
    <row r="571" spans="1:10" x14ac:dyDescent="0.35">
      <c r="A571" s="223" t="b">
        <f t="shared" si="8"/>
        <v>0</v>
      </c>
      <c r="B571" s="398"/>
      <c r="C571" s="394"/>
      <c r="D571" s="395"/>
      <c r="E571" s="393"/>
      <c r="F571" s="394"/>
      <c r="G571" s="395"/>
      <c r="H571" s="395"/>
      <c r="I571" s="395"/>
      <c r="J571" s="217">
        <v>564</v>
      </c>
    </row>
    <row r="572" spans="1:10" x14ac:dyDescent="0.35">
      <c r="A572" s="223" t="b">
        <f t="shared" si="8"/>
        <v>0</v>
      </c>
      <c r="B572" s="398"/>
      <c r="C572" s="394"/>
      <c r="D572" s="395"/>
      <c r="E572" s="393"/>
      <c r="F572" s="394"/>
      <c r="G572" s="395"/>
      <c r="H572" s="395"/>
      <c r="I572" s="395"/>
      <c r="J572" s="217">
        <v>565</v>
      </c>
    </row>
    <row r="573" spans="1:10" x14ac:dyDescent="0.35">
      <c r="A573" s="223" t="b">
        <f t="shared" si="8"/>
        <v>0</v>
      </c>
      <c r="B573" s="398"/>
      <c r="C573" s="394"/>
      <c r="D573" s="395"/>
      <c r="E573" s="393"/>
      <c r="F573" s="394"/>
      <c r="G573" s="395"/>
      <c r="H573" s="395"/>
      <c r="I573" s="395"/>
      <c r="J573" s="217">
        <v>566</v>
      </c>
    </row>
    <row r="574" spans="1:10" x14ac:dyDescent="0.35">
      <c r="A574" s="223" t="b">
        <f t="shared" si="8"/>
        <v>0</v>
      </c>
      <c r="B574" s="398"/>
      <c r="C574" s="394"/>
      <c r="D574" s="395"/>
      <c r="E574" s="393"/>
      <c r="F574" s="394"/>
      <c r="G574" s="395"/>
      <c r="H574" s="395"/>
      <c r="I574" s="395"/>
      <c r="J574" s="217">
        <v>567</v>
      </c>
    </row>
    <row r="575" spans="1:10" x14ac:dyDescent="0.35">
      <c r="A575" s="223" t="b">
        <f t="shared" si="8"/>
        <v>0</v>
      </c>
      <c r="B575" s="398"/>
      <c r="C575" s="394"/>
      <c r="D575" s="395"/>
      <c r="E575" s="393"/>
      <c r="F575" s="394"/>
      <c r="G575" s="395"/>
      <c r="H575" s="395"/>
      <c r="I575" s="395"/>
      <c r="J575" s="217">
        <v>568</v>
      </c>
    </row>
    <row r="576" spans="1:10" x14ac:dyDescent="0.35">
      <c r="A576" s="223" t="b">
        <f t="shared" si="8"/>
        <v>0</v>
      </c>
      <c r="B576" s="398"/>
      <c r="C576" s="394"/>
      <c r="D576" s="395"/>
      <c r="E576" s="393"/>
      <c r="F576" s="394"/>
      <c r="G576" s="395"/>
      <c r="H576" s="395"/>
      <c r="I576" s="395"/>
      <c r="J576" s="217">
        <v>569</v>
      </c>
    </row>
    <row r="577" spans="1:10" x14ac:dyDescent="0.35">
      <c r="A577" s="223" t="b">
        <f t="shared" si="8"/>
        <v>0</v>
      </c>
      <c r="B577" s="398"/>
      <c r="C577" s="394"/>
      <c r="D577" s="395"/>
      <c r="E577" s="393"/>
      <c r="F577" s="394"/>
      <c r="G577" s="395"/>
      <c r="H577" s="395"/>
      <c r="I577" s="395"/>
      <c r="J577" s="217">
        <v>570</v>
      </c>
    </row>
    <row r="578" spans="1:10" x14ac:dyDescent="0.35">
      <c r="A578" s="223" t="b">
        <f t="shared" si="8"/>
        <v>0</v>
      </c>
      <c r="B578" s="398"/>
      <c r="C578" s="394"/>
      <c r="D578" s="395"/>
      <c r="E578" s="393"/>
      <c r="F578" s="394"/>
      <c r="G578" s="395"/>
      <c r="H578" s="395"/>
      <c r="I578" s="395"/>
      <c r="J578" s="217">
        <v>571</v>
      </c>
    </row>
    <row r="579" spans="1:10" x14ac:dyDescent="0.35">
      <c r="A579" s="223" t="b">
        <f t="shared" si="8"/>
        <v>0</v>
      </c>
      <c r="B579" s="398"/>
      <c r="C579" s="394"/>
      <c r="D579" s="395"/>
      <c r="E579" s="393"/>
      <c r="F579" s="394"/>
      <c r="G579" s="395"/>
      <c r="H579" s="395"/>
      <c r="I579" s="395"/>
      <c r="J579" s="217">
        <v>572</v>
      </c>
    </row>
    <row r="580" spans="1:10" x14ac:dyDescent="0.35">
      <c r="A580" s="223" t="b">
        <f t="shared" si="8"/>
        <v>0</v>
      </c>
      <c r="B580" s="398"/>
      <c r="C580" s="394"/>
      <c r="D580" s="395"/>
      <c r="E580" s="393"/>
      <c r="F580" s="394"/>
      <c r="G580" s="395"/>
      <c r="H580" s="395"/>
      <c r="I580" s="395"/>
      <c r="J580" s="217">
        <v>573</v>
      </c>
    </row>
    <row r="581" spans="1:10" x14ac:dyDescent="0.35">
      <c r="A581" s="223" t="b">
        <f t="shared" si="8"/>
        <v>0</v>
      </c>
      <c r="B581" s="398"/>
      <c r="C581" s="394"/>
      <c r="D581" s="395"/>
      <c r="E581" s="393"/>
      <c r="F581" s="394"/>
      <c r="G581" s="395"/>
      <c r="H581" s="395"/>
      <c r="I581" s="395"/>
      <c r="J581" s="217">
        <v>574</v>
      </c>
    </row>
    <row r="582" spans="1:10" x14ac:dyDescent="0.35">
      <c r="A582" s="223" t="b">
        <f t="shared" si="8"/>
        <v>0</v>
      </c>
      <c r="B582" s="398"/>
      <c r="C582" s="394"/>
      <c r="D582" s="395"/>
      <c r="E582" s="393"/>
      <c r="F582" s="394"/>
      <c r="G582" s="395"/>
      <c r="H582" s="395"/>
      <c r="I582" s="395"/>
      <c r="J582" s="217">
        <v>575</v>
      </c>
    </row>
    <row r="583" spans="1:10" x14ac:dyDescent="0.35">
      <c r="A583" s="223" t="b">
        <f t="shared" si="8"/>
        <v>0</v>
      </c>
      <c r="B583" s="398"/>
      <c r="C583" s="394"/>
      <c r="D583" s="395"/>
      <c r="E583" s="393"/>
      <c r="F583" s="394"/>
      <c r="G583" s="395"/>
      <c r="H583" s="395"/>
      <c r="I583" s="395"/>
      <c r="J583" s="217">
        <v>576</v>
      </c>
    </row>
    <row r="584" spans="1:10" x14ac:dyDescent="0.35">
      <c r="A584" s="223" t="b">
        <f t="shared" ref="A584:A647" si="9">OR(B584&lt;&gt;"",D584&lt;&gt;"",C584&lt;&gt;"",E584&lt;&gt;"",F584&lt;&gt;"",G584&lt;&gt;"")</f>
        <v>0</v>
      </c>
      <c r="B584" s="398"/>
      <c r="C584" s="394"/>
      <c r="D584" s="395"/>
      <c r="E584" s="393"/>
      <c r="F584" s="394"/>
      <c r="G584" s="395"/>
      <c r="H584" s="395"/>
      <c r="I584" s="395"/>
      <c r="J584" s="217">
        <v>577</v>
      </c>
    </row>
    <row r="585" spans="1:10" x14ac:dyDescent="0.35">
      <c r="A585" s="223" t="b">
        <f t="shared" si="9"/>
        <v>0</v>
      </c>
      <c r="B585" s="398"/>
      <c r="C585" s="394"/>
      <c r="D585" s="395"/>
      <c r="E585" s="393"/>
      <c r="F585" s="394"/>
      <c r="G585" s="395"/>
      <c r="H585" s="395"/>
      <c r="I585" s="395"/>
      <c r="J585" s="217">
        <v>578</v>
      </c>
    </row>
    <row r="586" spans="1:10" x14ac:dyDescent="0.35">
      <c r="A586" s="223" t="b">
        <f t="shared" si="9"/>
        <v>0</v>
      </c>
      <c r="B586" s="398"/>
      <c r="C586" s="394"/>
      <c r="D586" s="395"/>
      <c r="E586" s="393"/>
      <c r="F586" s="394"/>
      <c r="G586" s="395"/>
      <c r="H586" s="395"/>
      <c r="I586" s="395"/>
      <c r="J586" s="217">
        <v>579</v>
      </c>
    </row>
    <row r="587" spans="1:10" x14ac:dyDescent="0.35">
      <c r="A587" s="223" t="b">
        <f t="shared" si="9"/>
        <v>0</v>
      </c>
      <c r="B587" s="398"/>
      <c r="C587" s="394"/>
      <c r="D587" s="395"/>
      <c r="E587" s="393"/>
      <c r="F587" s="394"/>
      <c r="G587" s="395"/>
      <c r="H587" s="395"/>
      <c r="I587" s="395"/>
      <c r="J587" s="217">
        <v>580</v>
      </c>
    </row>
    <row r="588" spans="1:10" x14ac:dyDescent="0.35">
      <c r="A588" s="223" t="b">
        <f t="shared" si="9"/>
        <v>0</v>
      </c>
      <c r="B588" s="398"/>
      <c r="C588" s="394"/>
      <c r="D588" s="395"/>
      <c r="E588" s="393"/>
      <c r="F588" s="394"/>
      <c r="G588" s="395"/>
      <c r="H588" s="395"/>
      <c r="I588" s="395"/>
      <c r="J588" s="217">
        <v>581</v>
      </c>
    </row>
    <row r="589" spans="1:10" x14ac:dyDescent="0.35">
      <c r="A589" s="223" t="b">
        <f t="shared" si="9"/>
        <v>0</v>
      </c>
      <c r="B589" s="398"/>
      <c r="C589" s="394"/>
      <c r="D589" s="395"/>
      <c r="E589" s="393"/>
      <c r="F589" s="394"/>
      <c r="G589" s="395"/>
      <c r="H589" s="395"/>
      <c r="I589" s="395"/>
      <c r="J589" s="217">
        <v>582</v>
      </c>
    </row>
    <row r="590" spans="1:10" x14ac:dyDescent="0.35">
      <c r="A590" s="223" t="b">
        <f t="shared" si="9"/>
        <v>0</v>
      </c>
      <c r="B590" s="398"/>
      <c r="C590" s="394"/>
      <c r="D590" s="395"/>
      <c r="E590" s="393"/>
      <c r="F590" s="394"/>
      <c r="G590" s="395"/>
      <c r="H590" s="395"/>
      <c r="I590" s="395"/>
      <c r="J590" s="217">
        <v>583</v>
      </c>
    </row>
    <row r="591" spans="1:10" x14ac:dyDescent="0.35">
      <c r="A591" s="223" t="b">
        <f t="shared" si="9"/>
        <v>0</v>
      </c>
      <c r="B591" s="398"/>
      <c r="C591" s="394"/>
      <c r="D591" s="395"/>
      <c r="E591" s="393"/>
      <c r="F591" s="394"/>
      <c r="G591" s="395"/>
      <c r="H591" s="395"/>
      <c r="I591" s="395"/>
      <c r="J591" s="217">
        <v>584</v>
      </c>
    </row>
    <row r="592" spans="1:10" x14ac:dyDescent="0.35">
      <c r="A592" s="223" t="b">
        <f t="shared" si="9"/>
        <v>0</v>
      </c>
      <c r="B592" s="398"/>
      <c r="C592" s="394"/>
      <c r="D592" s="395"/>
      <c r="E592" s="393"/>
      <c r="F592" s="394"/>
      <c r="G592" s="395"/>
      <c r="H592" s="395"/>
      <c r="I592" s="395"/>
      <c r="J592" s="217">
        <v>585</v>
      </c>
    </row>
    <row r="593" spans="1:10" x14ac:dyDescent="0.35">
      <c r="A593" s="223" t="b">
        <f t="shared" si="9"/>
        <v>0</v>
      </c>
      <c r="B593" s="398"/>
      <c r="C593" s="394"/>
      <c r="D593" s="395"/>
      <c r="E593" s="393"/>
      <c r="F593" s="394"/>
      <c r="G593" s="395"/>
      <c r="H593" s="395"/>
      <c r="I593" s="395"/>
      <c r="J593" s="217">
        <v>586</v>
      </c>
    </row>
    <row r="594" spans="1:10" x14ac:dyDescent="0.35">
      <c r="A594" s="223" t="b">
        <f t="shared" si="9"/>
        <v>0</v>
      </c>
      <c r="B594" s="398"/>
      <c r="C594" s="394"/>
      <c r="D594" s="395"/>
      <c r="E594" s="393"/>
      <c r="F594" s="394"/>
      <c r="G594" s="395"/>
      <c r="H594" s="395"/>
      <c r="I594" s="395"/>
      <c r="J594" s="217">
        <v>587</v>
      </c>
    </row>
    <row r="595" spans="1:10" x14ac:dyDescent="0.35">
      <c r="A595" s="223" t="b">
        <f t="shared" si="9"/>
        <v>0</v>
      </c>
      <c r="B595" s="398"/>
      <c r="C595" s="394"/>
      <c r="D595" s="395"/>
      <c r="E595" s="393"/>
      <c r="F595" s="394"/>
      <c r="G595" s="395"/>
      <c r="H595" s="395"/>
      <c r="I595" s="395"/>
      <c r="J595" s="217">
        <v>588</v>
      </c>
    </row>
    <row r="596" spans="1:10" x14ac:dyDescent="0.35">
      <c r="A596" s="223" t="b">
        <f t="shared" si="9"/>
        <v>0</v>
      </c>
      <c r="B596" s="398"/>
      <c r="C596" s="394"/>
      <c r="D596" s="395"/>
      <c r="E596" s="393"/>
      <c r="F596" s="394"/>
      <c r="G596" s="395"/>
      <c r="H596" s="395"/>
      <c r="I596" s="395"/>
      <c r="J596" s="217">
        <v>589</v>
      </c>
    </row>
    <row r="597" spans="1:10" x14ac:dyDescent="0.35">
      <c r="A597" s="223" t="b">
        <f t="shared" si="9"/>
        <v>0</v>
      </c>
      <c r="B597" s="398"/>
      <c r="C597" s="394"/>
      <c r="D597" s="395"/>
      <c r="E597" s="393"/>
      <c r="F597" s="394"/>
      <c r="G597" s="395"/>
      <c r="H597" s="395"/>
      <c r="I597" s="395"/>
      <c r="J597" s="217">
        <v>590</v>
      </c>
    </row>
    <row r="598" spans="1:10" x14ac:dyDescent="0.35">
      <c r="A598" s="223" t="b">
        <f t="shared" si="9"/>
        <v>0</v>
      </c>
      <c r="B598" s="398"/>
      <c r="C598" s="394"/>
      <c r="D598" s="395"/>
      <c r="E598" s="393"/>
      <c r="F598" s="394"/>
      <c r="G598" s="395"/>
      <c r="H598" s="395"/>
      <c r="I598" s="395"/>
      <c r="J598" s="217">
        <v>591</v>
      </c>
    </row>
    <row r="599" spans="1:10" x14ac:dyDescent="0.35">
      <c r="A599" s="223" t="b">
        <f t="shared" si="9"/>
        <v>0</v>
      </c>
      <c r="B599" s="398"/>
      <c r="C599" s="394"/>
      <c r="D599" s="395"/>
      <c r="E599" s="393"/>
      <c r="F599" s="394"/>
      <c r="G599" s="395"/>
      <c r="H599" s="395"/>
      <c r="I599" s="395"/>
      <c r="J599" s="217">
        <v>592</v>
      </c>
    </row>
    <row r="600" spans="1:10" x14ac:dyDescent="0.35">
      <c r="A600" s="223" t="b">
        <f t="shared" si="9"/>
        <v>0</v>
      </c>
      <c r="B600" s="398"/>
      <c r="C600" s="394"/>
      <c r="D600" s="395"/>
      <c r="E600" s="393"/>
      <c r="F600" s="394"/>
      <c r="G600" s="395"/>
      <c r="H600" s="395"/>
      <c r="I600" s="395"/>
      <c r="J600" s="217">
        <v>593</v>
      </c>
    </row>
    <row r="601" spans="1:10" x14ac:dyDescent="0.35">
      <c r="A601" s="223" t="b">
        <f t="shared" si="9"/>
        <v>0</v>
      </c>
      <c r="B601" s="398"/>
      <c r="C601" s="394"/>
      <c r="D601" s="395"/>
      <c r="E601" s="393"/>
      <c r="F601" s="394"/>
      <c r="G601" s="395"/>
      <c r="H601" s="395"/>
      <c r="I601" s="395"/>
      <c r="J601" s="217">
        <v>594</v>
      </c>
    </row>
    <row r="602" spans="1:10" x14ac:dyDescent="0.35">
      <c r="A602" s="223" t="b">
        <f t="shared" si="9"/>
        <v>0</v>
      </c>
      <c r="B602" s="398"/>
      <c r="C602" s="394"/>
      <c r="D602" s="395"/>
      <c r="E602" s="393"/>
      <c r="F602" s="394"/>
      <c r="G602" s="395"/>
      <c r="H602" s="395"/>
      <c r="I602" s="395"/>
      <c r="J602" s="217">
        <v>595</v>
      </c>
    </row>
    <row r="603" spans="1:10" x14ac:dyDescent="0.35">
      <c r="A603" s="223" t="b">
        <f t="shared" si="9"/>
        <v>0</v>
      </c>
      <c r="B603" s="398"/>
      <c r="C603" s="394"/>
      <c r="D603" s="395"/>
      <c r="E603" s="393"/>
      <c r="F603" s="394"/>
      <c r="G603" s="395"/>
      <c r="H603" s="395"/>
      <c r="I603" s="395"/>
      <c r="J603" s="217">
        <v>596</v>
      </c>
    </row>
    <row r="604" spans="1:10" x14ac:dyDescent="0.35">
      <c r="A604" s="223" t="b">
        <f t="shared" si="9"/>
        <v>0</v>
      </c>
      <c r="B604" s="398"/>
      <c r="C604" s="394"/>
      <c r="D604" s="395"/>
      <c r="E604" s="393"/>
      <c r="F604" s="394"/>
      <c r="G604" s="395"/>
      <c r="H604" s="395"/>
      <c r="I604" s="395"/>
      <c r="J604" s="217">
        <v>597</v>
      </c>
    </row>
    <row r="605" spans="1:10" x14ac:dyDescent="0.35">
      <c r="A605" s="223" t="b">
        <f t="shared" si="9"/>
        <v>0</v>
      </c>
      <c r="B605" s="398"/>
      <c r="C605" s="394"/>
      <c r="D605" s="395"/>
      <c r="E605" s="393"/>
      <c r="F605" s="394"/>
      <c r="G605" s="395"/>
      <c r="H605" s="395"/>
      <c r="I605" s="395"/>
      <c r="J605" s="217">
        <v>598</v>
      </c>
    </row>
    <row r="606" spans="1:10" x14ac:dyDescent="0.35">
      <c r="A606" s="223" t="b">
        <f t="shared" si="9"/>
        <v>0</v>
      </c>
      <c r="B606" s="398"/>
      <c r="C606" s="394"/>
      <c r="D606" s="395"/>
      <c r="E606" s="393"/>
      <c r="F606" s="394"/>
      <c r="G606" s="395"/>
      <c r="H606" s="395"/>
      <c r="I606" s="395"/>
      <c r="J606" s="217">
        <v>599</v>
      </c>
    </row>
    <row r="607" spans="1:10" x14ac:dyDescent="0.35">
      <c r="A607" s="223" t="b">
        <f t="shared" si="9"/>
        <v>0</v>
      </c>
      <c r="B607" s="398"/>
      <c r="C607" s="394"/>
      <c r="D607" s="395"/>
      <c r="E607" s="393"/>
      <c r="F607" s="394"/>
      <c r="G607" s="395"/>
      <c r="H607" s="395"/>
      <c r="I607" s="395"/>
      <c r="J607" s="217">
        <v>600</v>
      </c>
    </row>
    <row r="608" spans="1:10" x14ac:dyDescent="0.35">
      <c r="A608" s="223" t="b">
        <f t="shared" si="9"/>
        <v>0</v>
      </c>
      <c r="B608" s="398"/>
      <c r="C608" s="394"/>
      <c r="D608" s="395"/>
      <c r="E608" s="393"/>
      <c r="F608" s="394"/>
      <c r="G608" s="395"/>
      <c r="H608" s="395"/>
      <c r="I608" s="395"/>
      <c r="J608" s="217">
        <v>601</v>
      </c>
    </row>
    <row r="609" spans="1:10" x14ac:dyDescent="0.35">
      <c r="A609" s="223" t="b">
        <f t="shared" si="9"/>
        <v>0</v>
      </c>
      <c r="B609" s="398"/>
      <c r="C609" s="394"/>
      <c r="D609" s="395"/>
      <c r="E609" s="393"/>
      <c r="F609" s="394"/>
      <c r="G609" s="395"/>
      <c r="H609" s="395"/>
      <c r="I609" s="395"/>
      <c r="J609" s="217">
        <v>602</v>
      </c>
    </row>
    <row r="610" spans="1:10" x14ac:dyDescent="0.35">
      <c r="A610" s="223" t="b">
        <f t="shared" si="9"/>
        <v>0</v>
      </c>
      <c r="B610" s="398"/>
      <c r="C610" s="394"/>
      <c r="D610" s="395"/>
      <c r="E610" s="393"/>
      <c r="F610" s="394"/>
      <c r="G610" s="395"/>
      <c r="H610" s="395"/>
      <c r="I610" s="395"/>
      <c r="J610" s="217">
        <v>603</v>
      </c>
    </row>
    <row r="611" spans="1:10" x14ac:dyDescent="0.35">
      <c r="A611" s="223" t="b">
        <f t="shared" si="9"/>
        <v>0</v>
      </c>
      <c r="B611" s="398"/>
      <c r="C611" s="394"/>
      <c r="D611" s="395"/>
      <c r="E611" s="393"/>
      <c r="F611" s="394"/>
      <c r="G611" s="395"/>
      <c r="H611" s="395"/>
      <c r="I611" s="395"/>
      <c r="J611" s="217">
        <v>604</v>
      </c>
    </row>
    <row r="612" spans="1:10" x14ac:dyDescent="0.35">
      <c r="A612" s="223" t="b">
        <f t="shared" si="9"/>
        <v>0</v>
      </c>
      <c r="B612" s="398"/>
      <c r="C612" s="394"/>
      <c r="D612" s="395"/>
      <c r="E612" s="393"/>
      <c r="F612" s="394"/>
      <c r="G612" s="395"/>
      <c r="H612" s="395"/>
      <c r="I612" s="395"/>
      <c r="J612" s="217">
        <v>605</v>
      </c>
    </row>
    <row r="613" spans="1:10" x14ac:dyDescent="0.35">
      <c r="A613" s="223" t="b">
        <f t="shared" si="9"/>
        <v>0</v>
      </c>
      <c r="B613" s="398"/>
      <c r="C613" s="394"/>
      <c r="D613" s="395"/>
      <c r="E613" s="393"/>
      <c r="F613" s="394"/>
      <c r="G613" s="395"/>
      <c r="H613" s="395"/>
      <c r="I613" s="395"/>
      <c r="J613" s="217">
        <v>606</v>
      </c>
    </row>
    <row r="614" spans="1:10" x14ac:dyDescent="0.35">
      <c r="A614" s="223" t="b">
        <f t="shared" si="9"/>
        <v>0</v>
      </c>
      <c r="B614" s="398"/>
      <c r="C614" s="394"/>
      <c r="D614" s="395"/>
      <c r="E614" s="393"/>
      <c r="F614" s="394"/>
      <c r="G614" s="395"/>
      <c r="H614" s="395"/>
      <c r="I614" s="395"/>
      <c r="J614" s="217">
        <v>607</v>
      </c>
    </row>
    <row r="615" spans="1:10" x14ac:dyDescent="0.35">
      <c r="A615" s="223" t="b">
        <f t="shared" si="9"/>
        <v>0</v>
      </c>
      <c r="B615" s="398"/>
      <c r="C615" s="394"/>
      <c r="D615" s="395"/>
      <c r="E615" s="393"/>
      <c r="F615" s="394"/>
      <c r="G615" s="395"/>
      <c r="H615" s="395"/>
      <c r="I615" s="395"/>
      <c r="J615" s="217">
        <v>608</v>
      </c>
    </row>
    <row r="616" spans="1:10" x14ac:dyDescent="0.35">
      <c r="A616" s="223" t="b">
        <f t="shared" si="9"/>
        <v>0</v>
      </c>
      <c r="B616" s="398"/>
      <c r="C616" s="394"/>
      <c r="D616" s="395"/>
      <c r="E616" s="393"/>
      <c r="F616" s="394"/>
      <c r="G616" s="395"/>
      <c r="H616" s="395"/>
      <c r="I616" s="395"/>
      <c r="J616" s="217">
        <v>609</v>
      </c>
    </row>
    <row r="617" spans="1:10" x14ac:dyDescent="0.35">
      <c r="A617" s="223" t="b">
        <f t="shared" si="9"/>
        <v>0</v>
      </c>
      <c r="B617" s="398"/>
      <c r="C617" s="394"/>
      <c r="D617" s="395"/>
      <c r="E617" s="393"/>
      <c r="F617" s="394"/>
      <c r="G617" s="395"/>
      <c r="H617" s="395"/>
      <c r="I617" s="395"/>
      <c r="J617" s="217">
        <v>610</v>
      </c>
    </row>
    <row r="618" spans="1:10" x14ac:dyDescent="0.35">
      <c r="A618" s="223" t="b">
        <f t="shared" si="9"/>
        <v>0</v>
      </c>
      <c r="B618" s="398"/>
      <c r="C618" s="394"/>
      <c r="D618" s="395"/>
      <c r="E618" s="393"/>
      <c r="F618" s="394"/>
      <c r="G618" s="395"/>
      <c r="H618" s="395"/>
      <c r="I618" s="395"/>
      <c r="J618" s="217">
        <v>611</v>
      </c>
    </row>
    <row r="619" spans="1:10" x14ac:dyDescent="0.35">
      <c r="A619" s="223" t="b">
        <f t="shared" si="9"/>
        <v>0</v>
      </c>
      <c r="B619" s="398"/>
      <c r="C619" s="394"/>
      <c r="D619" s="395"/>
      <c r="E619" s="393"/>
      <c r="F619" s="394"/>
      <c r="G619" s="395"/>
      <c r="H619" s="395"/>
      <c r="I619" s="395"/>
      <c r="J619" s="217">
        <v>612</v>
      </c>
    </row>
    <row r="620" spans="1:10" x14ac:dyDescent="0.35">
      <c r="A620" s="223" t="b">
        <f t="shared" si="9"/>
        <v>0</v>
      </c>
      <c r="B620" s="398"/>
      <c r="C620" s="394"/>
      <c r="D620" s="395"/>
      <c r="E620" s="393"/>
      <c r="F620" s="394"/>
      <c r="G620" s="395"/>
      <c r="H620" s="395"/>
      <c r="I620" s="395"/>
      <c r="J620" s="217">
        <v>613</v>
      </c>
    </row>
    <row r="621" spans="1:10" x14ac:dyDescent="0.35">
      <c r="A621" s="223" t="b">
        <f t="shared" si="9"/>
        <v>0</v>
      </c>
      <c r="B621" s="398"/>
      <c r="C621" s="394"/>
      <c r="D621" s="395"/>
      <c r="E621" s="393"/>
      <c r="F621" s="394"/>
      <c r="G621" s="395"/>
      <c r="H621" s="395"/>
      <c r="I621" s="395"/>
      <c r="J621" s="217">
        <v>614</v>
      </c>
    </row>
    <row r="622" spans="1:10" x14ac:dyDescent="0.35">
      <c r="A622" s="223" t="b">
        <f t="shared" si="9"/>
        <v>0</v>
      </c>
      <c r="B622" s="398"/>
      <c r="C622" s="394"/>
      <c r="D622" s="395"/>
      <c r="E622" s="393"/>
      <c r="F622" s="394"/>
      <c r="G622" s="395"/>
      <c r="H622" s="395"/>
      <c r="I622" s="395"/>
      <c r="J622" s="217">
        <v>615</v>
      </c>
    </row>
    <row r="623" spans="1:10" x14ac:dyDescent="0.35">
      <c r="A623" s="223" t="b">
        <f t="shared" si="9"/>
        <v>0</v>
      </c>
      <c r="B623" s="398"/>
      <c r="C623" s="394"/>
      <c r="D623" s="395"/>
      <c r="E623" s="393"/>
      <c r="F623" s="394"/>
      <c r="G623" s="395"/>
      <c r="H623" s="395"/>
      <c r="I623" s="395"/>
      <c r="J623" s="217">
        <v>616</v>
      </c>
    </row>
    <row r="624" spans="1:10" x14ac:dyDescent="0.35">
      <c r="A624" s="223" t="b">
        <f t="shared" si="9"/>
        <v>0</v>
      </c>
      <c r="B624" s="398"/>
      <c r="C624" s="394"/>
      <c r="D624" s="395"/>
      <c r="E624" s="393"/>
      <c r="F624" s="394"/>
      <c r="G624" s="395"/>
      <c r="H624" s="395"/>
      <c r="I624" s="395"/>
      <c r="J624" s="217">
        <v>617</v>
      </c>
    </row>
    <row r="625" spans="1:10" x14ac:dyDescent="0.35">
      <c r="A625" s="223" t="b">
        <f t="shared" si="9"/>
        <v>0</v>
      </c>
      <c r="B625" s="398"/>
      <c r="C625" s="394"/>
      <c r="D625" s="395"/>
      <c r="E625" s="393"/>
      <c r="F625" s="394"/>
      <c r="G625" s="395"/>
      <c r="H625" s="395"/>
      <c r="I625" s="395"/>
      <c r="J625" s="217">
        <v>618</v>
      </c>
    </row>
    <row r="626" spans="1:10" x14ac:dyDescent="0.35">
      <c r="A626" s="223" t="b">
        <f t="shared" si="9"/>
        <v>0</v>
      </c>
      <c r="B626" s="398"/>
      <c r="C626" s="394"/>
      <c r="D626" s="395"/>
      <c r="E626" s="393"/>
      <c r="F626" s="394"/>
      <c r="G626" s="395"/>
      <c r="H626" s="395"/>
      <c r="I626" s="395"/>
      <c r="J626" s="217">
        <v>619</v>
      </c>
    </row>
    <row r="627" spans="1:10" x14ac:dyDescent="0.35">
      <c r="A627" s="223" t="b">
        <f t="shared" si="9"/>
        <v>0</v>
      </c>
      <c r="B627" s="398"/>
      <c r="C627" s="394"/>
      <c r="D627" s="395"/>
      <c r="E627" s="393"/>
      <c r="F627" s="394"/>
      <c r="G627" s="395"/>
      <c r="H627" s="395"/>
      <c r="I627" s="395"/>
      <c r="J627" s="217">
        <v>620</v>
      </c>
    </row>
    <row r="628" spans="1:10" x14ac:dyDescent="0.35">
      <c r="A628" s="223" t="b">
        <f t="shared" si="9"/>
        <v>0</v>
      </c>
      <c r="B628" s="398"/>
      <c r="C628" s="394"/>
      <c r="D628" s="395"/>
      <c r="E628" s="393"/>
      <c r="F628" s="394"/>
      <c r="G628" s="395"/>
      <c r="H628" s="395"/>
      <c r="I628" s="395"/>
      <c r="J628" s="217">
        <v>621</v>
      </c>
    </row>
    <row r="629" spans="1:10" x14ac:dyDescent="0.35">
      <c r="A629" s="223" t="b">
        <f t="shared" si="9"/>
        <v>0</v>
      </c>
      <c r="B629" s="398"/>
      <c r="C629" s="394"/>
      <c r="D629" s="395"/>
      <c r="E629" s="393"/>
      <c r="F629" s="394"/>
      <c r="G629" s="395"/>
      <c r="H629" s="395"/>
      <c r="I629" s="395"/>
      <c r="J629" s="217">
        <v>622</v>
      </c>
    </row>
    <row r="630" spans="1:10" x14ac:dyDescent="0.35">
      <c r="A630" s="223" t="b">
        <f t="shared" si="9"/>
        <v>0</v>
      </c>
      <c r="B630" s="398"/>
      <c r="C630" s="394"/>
      <c r="D630" s="395"/>
      <c r="E630" s="393"/>
      <c r="F630" s="394"/>
      <c r="G630" s="395"/>
      <c r="H630" s="395"/>
      <c r="I630" s="395"/>
      <c r="J630" s="217">
        <v>623</v>
      </c>
    </row>
    <row r="631" spans="1:10" x14ac:dyDescent="0.35">
      <c r="A631" s="223" t="b">
        <f t="shared" si="9"/>
        <v>0</v>
      </c>
      <c r="B631" s="398"/>
      <c r="C631" s="394"/>
      <c r="D631" s="395"/>
      <c r="E631" s="393"/>
      <c r="F631" s="394"/>
      <c r="G631" s="395"/>
      <c r="H631" s="395"/>
      <c r="I631" s="395"/>
      <c r="J631" s="217">
        <v>624</v>
      </c>
    </row>
    <row r="632" spans="1:10" x14ac:dyDescent="0.35">
      <c r="A632" s="223" t="b">
        <f t="shared" si="9"/>
        <v>0</v>
      </c>
      <c r="B632" s="398"/>
      <c r="C632" s="394"/>
      <c r="D632" s="395"/>
      <c r="E632" s="393"/>
      <c r="F632" s="394"/>
      <c r="G632" s="395"/>
      <c r="H632" s="395"/>
      <c r="I632" s="395"/>
      <c r="J632" s="217">
        <v>625</v>
      </c>
    </row>
    <row r="633" spans="1:10" x14ac:dyDescent="0.35">
      <c r="A633" s="223" t="b">
        <f t="shared" si="9"/>
        <v>0</v>
      </c>
      <c r="B633" s="398"/>
      <c r="C633" s="394"/>
      <c r="D633" s="395"/>
      <c r="E633" s="393"/>
      <c r="F633" s="394"/>
      <c r="G633" s="395"/>
      <c r="H633" s="395"/>
      <c r="I633" s="395"/>
      <c r="J633" s="217">
        <v>626</v>
      </c>
    </row>
    <row r="634" spans="1:10" x14ac:dyDescent="0.35">
      <c r="A634" s="223" t="b">
        <f t="shared" si="9"/>
        <v>0</v>
      </c>
      <c r="B634" s="398"/>
      <c r="C634" s="394"/>
      <c r="D634" s="395"/>
      <c r="E634" s="393"/>
      <c r="F634" s="394"/>
      <c r="G634" s="395"/>
      <c r="H634" s="395"/>
      <c r="I634" s="395"/>
      <c r="J634" s="217">
        <v>627</v>
      </c>
    </row>
    <row r="635" spans="1:10" x14ac:dyDescent="0.35">
      <c r="A635" s="223" t="b">
        <f t="shared" si="9"/>
        <v>0</v>
      </c>
      <c r="B635" s="398"/>
      <c r="C635" s="394"/>
      <c r="D635" s="395"/>
      <c r="E635" s="393"/>
      <c r="F635" s="394"/>
      <c r="G635" s="395"/>
      <c r="H635" s="395"/>
      <c r="I635" s="395"/>
      <c r="J635" s="217">
        <v>628</v>
      </c>
    </row>
    <row r="636" spans="1:10" x14ac:dyDescent="0.35">
      <c r="A636" s="223" t="b">
        <f t="shared" si="9"/>
        <v>0</v>
      </c>
      <c r="B636" s="398"/>
      <c r="C636" s="394"/>
      <c r="D636" s="395"/>
      <c r="E636" s="393"/>
      <c r="F636" s="394"/>
      <c r="G636" s="395"/>
      <c r="H636" s="395"/>
      <c r="I636" s="395"/>
      <c r="J636" s="217">
        <v>629</v>
      </c>
    </row>
    <row r="637" spans="1:10" x14ac:dyDescent="0.35">
      <c r="A637" s="223" t="b">
        <f t="shared" si="9"/>
        <v>0</v>
      </c>
      <c r="B637" s="398"/>
      <c r="C637" s="394"/>
      <c r="D637" s="395"/>
      <c r="E637" s="393"/>
      <c r="F637" s="394"/>
      <c r="G637" s="395"/>
      <c r="H637" s="395"/>
      <c r="I637" s="395"/>
      <c r="J637" s="217">
        <v>630</v>
      </c>
    </row>
    <row r="638" spans="1:10" x14ac:dyDescent="0.35">
      <c r="A638" s="223" t="b">
        <f t="shared" si="9"/>
        <v>0</v>
      </c>
      <c r="B638" s="398"/>
      <c r="C638" s="394"/>
      <c r="D638" s="395"/>
      <c r="E638" s="393"/>
      <c r="F638" s="394"/>
      <c r="G638" s="395"/>
      <c r="H638" s="395"/>
      <c r="I638" s="395"/>
      <c r="J638" s="217">
        <v>631</v>
      </c>
    </row>
    <row r="639" spans="1:10" x14ac:dyDescent="0.35">
      <c r="A639" s="223" t="b">
        <f t="shared" si="9"/>
        <v>0</v>
      </c>
      <c r="B639" s="398"/>
      <c r="C639" s="394"/>
      <c r="D639" s="395"/>
      <c r="E639" s="393"/>
      <c r="F639" s="394"/>
      <c r="G639" s="395"/>
      <c r="H639" s="395"/>
      <c r="I639" s="395"/>
      <c r="J639" s="217">
        <v>632</v>
      </c>
    </row>
    <row r="640" spans="1:10" x14ac:dyDescent="0.35">
      <c r="A640" s="223" t="b">
        <f t="shared" si="9"/>
        <v>0</v>
      </c>
      <c r="B640" s="398"/>
      <c r="C640" s="394"/>
      <c r="D640" s="395"/>
      <c r="E640" s="393"/>
      <c r="F640" s="394"/>
      <c r="G640" s="395"/>
      <c r="H640" s="395"/>
      <c r="I640" s="395"/>
      <c r="J640" s="217">
        <v>633</v>
      </c>
    </row>
    <row r="641" spans="1:10" x14ac:dyDescent="0.35">
      <c r="A641" s="223" t="b">
        <f t="shared" si="9"/>
        <v>0</v>
      </c>
      <c r="B641" s="398"/>
      <c r="C641" s="394"/>
      <c r="D641" s="395"/>
      <c r="E641" s="393"/>
      <c r="F641" s="394"/>
      <c r="G641" s="395"/>
      <c r="H641" s="395"/>
      <c r="I641" s="395"/>
      <c r="J641" s="217">
        <v>634</v>
      </c>
    </row>
    <row r="642" spans="1:10" x14ac:dyDescent="0.35">
      <c r="A642" s="223" t="b">
        <f t="shared" si="9"/>
        <v>0</v>
      </c>
      <c r="B642" s="398"/>
      <c r="C642" s="394"/>
      <c r="D642" s="395"/>
      <c r="E642" s="393"/>
      <c r="F642" s="394"/>
      <c r="G642" s="395"/>
      <c r="H642" s="395"/>
      <c r="I642" s="395"/>
      <c r="J642" s="217">
        <v>635</v>
      </c>
    </row>
    <row r="643" spans="1:10" x14ac:dyDescent="0.35">
      <c r="A643" s="223" t="b">
        <f t="shared" si="9"/>
        <v>0</v>
      </c>
      <c r="B643" s="398"/>
      <c r="C643" s="394"/>
      <c r="D643" s="395"/>
      <c r="E643" s="393"/>
      <c r="F643" s="394"/>
      <c r="G643" s="395"/>
      <c r="H643" s="395"/>
      <c r="I643" s="395"/>
      <c r="J643" s="217">
        <v>636</v>
      </c>
    </row>
    <row r="644" spans="1:10" x14ac:dyDescent="0.35">
      <c r="A644" s="223" t="b">
        <f t="shared" si="9"/>
        <v>0</v>
      </c>
      <c r="B644" s="398"/>
      <c r="C644" s="394"/>
      <c r="D644" s="395"/>
      <c r="E644" s="393"/>
      <c r="F644" s="394"/>
      <c r="G644" s="395"/>
      <c r="H644" s="395"/>
      <c r="I644" s="395"/>
      <c r="J644" s="217">
        <v>637</v>
      </c>
    </row>
    <row r="645" spans="1:10" x14ac:dyDescent="0.35">
      <c r="A645" s="223" t="b">
        <f t="shared" si="9"/>
        <v>0</v>
      </c>
      <c r="B645" s="398"/>
      <c r="C645" s="394"/>
      <c r="D645" s="395"/>
      <c r="E645" s="393"/>
      <c r="F645" s="394"/>
      <c r="G645" s="395"/>
      <c r="H645" s="395"/>
      <c r="I645" s="395"/>
      <c r="J645" s="217">
        <v>638</v>
      </c>
    </row>
    <row r="646" spans="1:10" x14ac:dyDescent="0.35">
      <c r="A646" s="223" t="b">
        <f t="shared" si="9"/>
        <v>0</v>
      </c>
      <c r="B646" s="398"/>
      <c r="C646" s="394"/>
      <c r="D646" s="395"/>
      <c r="E646" s="393"/>
      <c r="F646" s="394"/>
      <c r="G646" s="395"/>
      <c r="H646" s="395"/>
      <c r="I646" s="395"/>
      <c r="J646" s="217">
        <v>639</v>
      </c>
    </row>
    <row r="647" spans="1:10" x14ac:dyDescent="0.35">
      <c r="A647" s="223" t="b">
        <f t="shared" si="9"/>
        <v>0</v>
      </c>
      <c r="B647" s="398"/>
      <c r="C647" s="394"/>
      <c r="D647" s="395"/>
      <c r="E647" s="393"/>
      <c r="F647" s="394"/>
      <c r="G647" s="395"/>
      <c r="H647" s="395"/>
      <c r="I647" s="395"/>
      <c r="J647" s="217">
        <v>640</v>
      </c>
    </row>
    <row r="648" spans="1:10" x14ac:dyDescent="0.35">
      <c r="A648" s="223" t="b">
        <f t="shared" ref="A648:A711" si="10">OR(B648&lt;&gt;"",D648&lt;&gt;"",C648&lt;&gt;"",E648&lt;&gt;"",F648&lt;&gt;"",G648&lt;&gt;"")</f>
        <v>0</v>
      </c>
      <c r="B648" s="398"/>
      <c r="C648" s="394"/>
      <c r="D648" s="395"/>
      <c r="E648" s="393"/>
      <c r="F648" s="394"/>
      <c r="G648" s="395"/>
      <c r="H648" s="395"/>
      <c r="I648" s="395"/>
      <c r="J648" s="217">
        <v>641</v>
      </c>
    </row>
    <row r="649" spans="1:10" x14ac:dyDescent="0.35">
      <c r="A649" s="223" t="b">
        <f t="shared" si="10"/>
        <v>0</v>
      </c>
      <c r="B649" s="398"/>
      <c r="C649" s="394"/>
      <c r="D649" s="395"/>
      <c r="E649" s="393"/>
      <c r="F649" s="394"/>
      <c r="G649" s="395"/>
      <c r="H649" s="395"/>
      <c r="I649" s="395"/>
      <c r="J649" s="217">
        <v>642</v>
      </c>
    </row>
    <row r="650" spans="1:10" x14ac:dyDescent="0.35">
      <c r="A650" s="223" t="b">
        <f t="shared" si="10"/>
        <v>0</v>
      </c>
      <c r="B650" s="398"/>
      <c r="C650" s="394"/>
      <c r="D650" s="395"/>
      <c r="E650" s="393"/>
      <c r="F650" s="394"/>
      <c r="G650" s="395"/>
      <c r="H650" s="395"/>
      <c r="I650" s="395"/>
      <c r="J650" s="217">
        <v>643</v>
      </c>
    </row>
    <row r="651" spans="1:10" x14ac:dyDescent="0.35">
      <c r="A651" s="223" t="b">
        <f t="shared" si="10"/>
        <v>0</v>
      </c>
      <c r="B651" s="398"/>
      <c r="C651" s="394"/>
      <c r="D651" s="395"/>
      <c r="E651" s="393"/>
      <c r="F651" s="394"/>
      <c r="G651" s="395"/>
      <c r="H651" s="395"/>
      <c r="I651" s="395"/>
      <c r="J651" s="217">
        <v>644</v>
      </c>
    </row>
    <row r="652" spans="1:10" x14ac:dyDescent="0.35">
      <c r="A652" s="223" t="b">
        <f t="shared" si="10"/>
        <v>0</v>
      </c>
      <c r="B652" s="398"/>
      <c r="C652" s="394"/>
      <c r="D652" s="395"/>
      <c r="E652" s="393"/>
      <c r="F652" s="394"/>
      <c r="G652" s="395"/>
      <c r="H652" s="395"/>
      <c r="I652" s="395"/>
      <c r="J652" s="217">
        <v>645</v>
      </c>
    </row>
    <row r="653" spans="1:10" x14ac:dyDescent="0.35">
      <c r="A653" s="223" t="b">
        <f t="shared" si="10"/>
        <v>0</v>
      </c>
      <c r="B653" s="398"/>
      <c r="C653" s="394"/>
      <c r="D653" s="395"/>
      <c r="E653" s="393"/>
      <c r="F653" s="394"/>
      <c r="G653" s="395"/>
      <c r="H653" s="395"/>
      <c r="I653" s="395"/>
      <c r="J653" s="217">
        <v>646</v>
      </c>
    </row>
    <row r="654" spans="1:10" x14ac:dyDescent="0.35">
      <c r="A654" s="223" t="b">
        <f t="shared" si="10"/>
        <v>0</v>
      </c>
      <c r="B654" s="398"/>
      <c r="C654" s="394"/>
      <c r="D654" s="395"/>
      <c r="E654" s="393"/>
      <c r="F654" s="394"/>
      <c r="G654" s="395"/>
      <c r="H654" s="395"/>
      <c r="I654" s="395"/>
      <c r="J654" s="217">
        <v>647</v>
      </c>
    </row>
    <row r="655" spans="1:10" x14ac:dyDescent="0.35">
      <c r="A655" s="223" t="b">
        <f t="shared" si="10"/>
        <v>0</v>
      </c>
      <c r="B655" s="398"/>
      <c r="C655" s="394"/>
      <c r="D655" s="395"/>
      <c r="E655" s="393"/>
      <c r="F655" s="394"/>
      <c r="G655" s="395"/>
      <c r="H655" s="395"/>
      <c r="I655" s="395"/>
      <c r="J655" s="217">
        <v>648</v>
      </c>
    </row>
    <row r="656" spans="1:10" x14ac:dyDescent="0.35">
      <c r="A656" s="223" t="b">
        <f t="shared" si="10"/>
        <v>0</v>
      </c>
      <c r="B656" s="398"/>
      <c r="C656" s="394"/>
      <c r="D656" s="395"/>
      <c r="E656" s="393"/>
      <c r="F656" s="394"/>
      <c r="G656" s="395"/>
      <c r="H656" s="395"/>
      <c r="I656" s="395"/>
      <c r="J656" s="217">
        <v>649</v>
      </c>
    </row>
    <row r="657" spans="1:10" x14ac:dyDescent="0.35">
      <c r="A657" s="223" t="b">
        <f t="shared" si="10"/>
        <v>0</v>
      </c>
      <c r="B657" s="398"/>
      <c r="C657" s="394"/>
      <c r="D657" s="395"/>
      <c r="E657" s="393"/>
      <c r="F657" s="394"/>
      <c r="G657" s="395"/>
      <c r="H657" s="395"/>
      <c r="I657" s="395"/>
      <c r="J657" s="217">
        <v>650</v>
      </c>
    </row>
    <row r="658" spans="1:10" x14ac:dyDescent="0.35">
      <c r="A658" s="223" t="b">
        <f t="shared" si="10"/>
        <v>0</v>
      </c>
      <c r="B658" s="398"/>
      <c r="C658" s="394"/>
      <c r="D658" s="395"/>
      <c r="E658" s="393"/>
      <c r="F658" s="394"/>
      <c r="G658" s="395"/>
      <c r="H658" s="395"/>
      <c r="I658" s="395"/>
      <c r="J658" s="217">
        <v>651</v>
      </c>
    </row>
    <row r="659" spans="1:10" x14ac:dyDescent="0.35">
      <c r="A659" s="223" t="b">
        <f t="shared" si="10"/>
        <v>0</v>
      </c>
      <c r="B659" s="398"/>
      <c r="C659" s="394"/>
      <c r="D659" s="395"/>
      <c r="E659" s="393"/>
      <c r="F659" s="394"/>
      <c r="G659" s="395"/>
      <c r="H659" s="395"/>
      <c r="I659" s="395"/>
      <c r="J659" s="217">
        <v>652</v>
      </c>
    </row>
    <row r="660" spans="1:10" x14ac:dyDescent="0.35">
      <c r="A660" s="223" t="b">
        <f t="shared" si="10"/>
        <v>0</v>
      </c>
      <c r="B660" s="398"/>
      <c r="C660" s="394"/>
      <c r="D660" s="395"/>
      <c r="E660" s="393"/>
      <c r="F660" s="394"/>
      <c r="G660" s="395"/>
      <c r="H660" s="395"/>
      <c r="I660" s="395"/>
      <c r="J660" s="217">
        <v>653</v>
      </c>
    </row>
    <row r="661" spans="1:10" x14ac:dyDescent="0.35">
      <c r="A661" s="223" t="b">
        <f t="shared" si="10"/>
        <v>0</v>
      </c>
      <c r="B661" s="398"/>
      <c r="C661" s="394"/>
      <c r="D661" s="395"/>
      <c r="E661" s="393"/>
      <c r="F661" s="394"/>
      <c r="G661" s="395"/>
      <c r="H661" s="395"/>
      <c r="I661" s="395"/>
      <c r="J661" s="217">
        <v>654</v>
      </c>
    </row>
    <row r="662" spans="1:10" x14ac:dyDescent="0.35">
      <c r="A662" s="223" t="b">
        <f t="shared" si="10"/>
        <v>0</v>
      </c>
      <c r="B662" s="398"/>
      <c r="C662" s="394"/>
      <c r="D662" s="395"/>
      <c r="E662" s="393"/>
      <c r="F662" s="394"/>
      <c r="G662" s="395"/>
      <c r="H662" s="395"/>
      <c r="I662" s="395"/>
      <c r="J662" s="217">
        <v>655</v>
      </c>
    </row>
    <row r="663" spans="1:10" x14ac:dyDescent="0.35">
      <c r="A663" s="223" t="b">
        <f t="shared" si="10"/>
        <v>0</v>
      </c>
      <c r="B663" s="398"/>
      <c r="C663" s="394"/>
      <c r="D663" s="395"/>
      <c r="E663" s="393"/>
      <c r="F663" s="394"/>
      <c r="G663" s="395"/>
      <c r="H663" s="395"/>
      <c r="I663" s="395"/>
      <c r="J663" s="217">
        <v>656</v>
      </c>
    </row>
    <row r="664" spans="1:10" x14ac:dyDescent="0.35">
      <c r="A664" s="223" t="b">
        <f t="shared" si="10"/>
        <v>0</v>
      </c>
      <c r="B664" s="398"/>
      <c r="C664" s="394"/>
      <c r="D664" s="395"/>
      <c r="E664" s="393"/>
      <c r="F664" s="394"/>
      <c r="G664" s="395"/>
      <c r="H664" s="395"/>
      <c r="I664" s="395"/>
      <c r="J664" s="217">
        <v>657</v>
      </c>
    </row>
    <row r="665" spans="1:10" x14ac:dyDescent="0.35">
      <c r="A665" s="223" t="b">
        <f t="shared" si="10"/>
        <v>0</v>
      </c>
      <c r="B665" s="398"/>
      <c r="C665" s="394"/>
      <c r="D665" s="395"/>
      <c r="E665" s="393"/>
      <c r="F665" s="394"/>
      <c r="G665" s="395"/>
      <c r="H665" s="395"/>
      <c r="I665" s="395"/>
      <c r="J665" s="217">
        <v>658</v>
      </c>
    </row>
    <row r="666" spans="1:10" x14ac:dyDescent="0.35">
      <c r="A666" s="223" t="b">
        <f t="shared" si="10"/>
        <v>0</v>
      </c>
      <c r="B666" s="398"/>
      <c r="C666" s="394"/>
      <c r="D666" s="395"/>
      <c r="E666" s="393"/>
      <c r="F666" s="394"/>
      <c r="G666" s="395"/>
      <c r="H666" s="395"/>
      <c r="I666" s="395"/>
      <c r="J666" s="217">
        <v>659</v>
      </c>
    </row>
    <row r="667" spans="1:10" x14ac:dyDescent="0.35">
      <c r="A667" s="223" t="b">
        <f t="shared" si="10"/>
        <v>0</v>
      </c>
      <c r="B667" s="398"/>
      <c r="C667" s="394"/>
      <c r="D667" s="395"/>
      <c r="E667" s="393"/>
      <c r="F667" s="394"/>
      <c r="G667" s="395"/>
      <c r="H667" s="395"/>
      <c r="I667" s="395"/>
      <c r="J667" s="217">
        <v>660</v>
      </c>
    </row>
    <row r="668" spans="1:10" x14ac:dyDescent="0.35">
      <c r="A668" s="223" t="b">
        <f t="shared" si="10"/>
        <v>0</v>
      </c>
      <c r="B668" s="398"/>
      <c r="C668" s="394"/>
      <c r="D668" s="395"/>
      <c r="E668" s="393"/>
      <c r="F668" s="394"/>
      <c r="G668" s="395"/>
      <c r="H668" s="395"/>
      <c r="I668" s="395"/>
      <c r="J668" s="217">
        <v>661</v>
      </c>
    </row>
    <row r="669" spans="1:10" x14ac:dyDescent="0.35">
      <c r="A669" s="223" t="b">
        <f t="shared" si="10"/>
        <v>0</v>
      </c>
      <c r="B669" s="398"/>
      <c r="C669" s="394"/>
      <c r="D669" s="395"/>
      <c r="E669" s="393"/>
      <c r="F669" s="394"/>
      <c r="G669" s="395"/>
      <c r="H669" s="395"/>
      <c r="I669" s="395"/>
      <c r="J669" s="217">
        <v>662</v>
      </c>
    </row>
    <row r="670" spans="1:10" x14ac:dyDescent="0.35">
      <c r="A670" s="223" t="b">
        <f t="shared" si="10"/>
        <v>0</v>
      </c>
      <c r="B670" s="398"/>
      <c r="C670" s="394"/>
      <c r="D670" s="395"/>
      <c r="E670" s="393"/>
      <c r="F670" s="394"/>
      <c r="G670" s="395"/>
      <c r="H670" s="395"/>
      <c r="I670" s="395"/>
      <c r="J670" s="217">
        <v>663</v>
      </c>
    </row>
    <row r="671" spans="1:10" x14ac:dyDescent="0.35">
      <c r="A671" s="223" t="b">
        <f t="shared" si="10"/>
        <v>0</v>
      </c>
      <c r="B671" s="398"/>
      <c r="C671" s="394"/>
      <c r="D671" s="395"/>
      <c r="E671" s="393"/>
      <c r="F671" s="394"/>
      <c r="G671" s="395"/>
      <c r="H671" s="395"/>
      <c r="I671" s="395"/>
      <c r="J671" s="217">
        <v>664</v>
      </c>
    </row>
    <row r="672" spans="1:10" x14ac:dyDescent="0.35">
      <c r="A672" s="223" t="b">
        <f t="shared" si="10"/>
        <v>0</v>
      </c>
      <c r="B672" s="398"/>
      <c r="C672" s="394"/>
      <c r="D672" s="395"/>
      <c r="E672" s="393"/>
      <c r="F672" s="394"/>
      <c r="G672" s="395"/>
      <c r="H672" s="395"/>
      <c r="I672" s="395"/>
      <c r="J672" s="217">
        <v>665</v>
      </c>
    </row>
    <row r="673" spans="1:10" x14ac:dyDescent="0.35">
      <c r="A673" s="223" t="b">
        <f t="shared" si="10"/>
        <v>0</v>
      </c>
      <c r="B673" s="398"/>
      <c r="C673" s="394"/>
      <c r="D673" s="395"/>
      <c r="E673" s="393"/>
      <c r="F673" s="394"/>
      <c r="G673" s="395"/>
      <c r="H673" s="395"/>
      <c r="I673" s="395"/>
      <c r="J673" s="217">
        <v>666</v>
      </c>
    </row>
    <row r="674" spans="1:10" x14ac:dyDescent="0.35">
      <c r="A674" s="223" t="b">
        <f t="shared" si="10"/>
        <v>0</v>
      </c>
      <c r="B674" s="398"/>
      <c r="C674" s="394"/>
      <c r="D674" s="395"/>
      <c r="E674" s="393"/>
      <c r="F674" s="394"/>
      <c r="G674" s="395"/>
      <c r="H674" s="395"/>
      <c r="I674" s="395"/>
      <c r="J674" s="217">
        <v>667</v>
      </c>
    </row>
    <row r="675" spans="1:10" x14ac:dyDescent="0.35">
      <c r="A675" s="223" t="b">
        <f t="shared" si="10"/>
        <v>0</v>
      </c>
      <c r="B675" s="398"/>
      <c r="C675" s="394"/>
      <c r="D675" s="395"/>
      <c r="E675" s="393"/>
      <c r="F675" s="394"/>
      <c r="G675" s="395"/>
      <c r="H675" s="395"/>
      <c r="I675" s="395"/>
      <c r="J675" s="217">
        <v>668</v>
      </c>
    </row>
    <row r="676" spans="1:10" x14ac:dyDescent="0.35">
      <c r="A676" s="223" t="b">
        <f t="shared" si="10"/>
        <v>0</v>
      </c>
      <c r="B676" s="398"/>
      <c r="C676" s="394"/>
      <c r="D676" s="395"/>
      <c r="E676" s="393"/>
      <c r="F676" s="394"/>
      <c r="G676" s="395"/>
      <c r="H676" s="395"/>
      <c r="I676" s="395"/>
      <c r="J676" s="217">
        <v>669</v>
      </c>
    </row>
    <row r="677" spans="1:10" x14ac:dyDescent="0.35">
      <c r="A677" s="223" t="b">
        <f t="shared" si="10"/>
        <v>0</v>
      </c>
      <c r="B677" s="398"/>
      <c r="C677" s="394"/>
      <c r="D677" s="395"/>
      <c r="E677" s="393"/>
      <c r="F677" s="394"/>
      <c r="G677" s="395"/>
      <c r="H677" s="395"/>
      <c r="I677" s="395"/>
      <c r="J677" s="217">
        <v>670</v>
      </c>
    </row>
    <row r="678" spans="1:10" x14ac:dyDescent="0.35">
      <c r="A678" s="223" t="b">
        <f t="shared" si="10"/>
        <v>0</v>
      </c>
      <c r="B678" s="398"/>
      <c r="C678" s="394"/>
      <c r="D678" s="395"/>
      <c r="E678" s="393"/>
      <c r="F678" s="394"/>
      <c r="G678" s="395"/>
      <c r="H678" s="395"/>
      <c r="I678" s="395"/>
      <c r="J678" s="217">
        <v>671</v>
      </c>
    </row>
    <row r="679" spans="1:10" x14ac:dyDescent="0.35">
      <c r="A679" s="223" t="b">
        <f t="shared" si="10"/>
        <v>0</v>
      </c>
      <c r="B679" s="398"/>
      <c r="C679" s="394"/>
      <c r="D679" s="395"/>
      <c r="E679" s="393"/>
      <c r="F679" s="394"/>
      <c r="G679" s="395"/>
      <c r="H679" s="395"/>
      <c r="I679" s="395"/>
      <c r="J679" s="217">
        <v>672</v>
      </c>
    </row>
    <row r="680" spans="1:10" x14ac:dyDescent="0.35">
      <c r="A680" s="223" t="b">
        <f t="shared" si="10"/>
        <v>0</v>
      </c>
      <c r="B680" s="398"/>
      <c r="C680" s="394"/>
      <c r="D680" s="395"/>
      <c r="E680" s="393"/>
      <c r="F680" s="394"/>
      <c r="G680" s="395"/>
      <c r="H680" s="395"/>
      <c r="I680" s="395"/>
      <c r="J680" s="217">
        <v>673</v>
      </c>
    </row>
    <row r="681" spans="1:10" x14ac:dyDescent="0.35">
      <c r="A681" s="223" t="b">
        <f t="shared" si="10"/>
        <v>0</v>
      </c>
      <c r="B681" s="398"/>
      <c r="C681" s="394"/>
      <c r="D681" s="395"/>
      <c r="E681" s="393"/>
      <c r="F681" s="394"/>
      <c r="G681" s="395"/>
      <c r="H681" s="395"/>
      <c r="I681" s="395"/>
      <c r="J681" s="217">
        <v>674</v>
      </c>
    </row>
    <row r="682" spans="1:10" x14ac:dyDescent="0.35">
      <c r="A682" s="223" t="b">
        <f t="shared" si="10"/>
        <v>0</v>
      </c>
      <c r="B682" s="398"/>
      <c r="C682" s="394"/>
      <c r="D682" s="395"/>
      <c r="E682" s="393"/>
      <c r="F682" s="394"/>
      <c r="G682" s="395"/>
      <c r="H682" s="395"/>
      <c r="I682" s="395"/>
      <c r="J682" s="217">
        <v>675</v>
      </c>
    </row>
    <row r="683" spans="1:10" x14ac:dyDescent="0.35">
      <c r="A683" s="223" t="b">
        <f t="shared" si="10"/>
        <v>0</v>
      </c>
      <c r="B683" s="398"/>
      <c r="C683" s="394"/>
      <c r="D683" s="395"/>
      <c r="E683" s="393"/>
      <c r="F683" s="394"/>
      <c r="G683" s="395"/>
      <c r="H683" s="395"/>
      <c r="I683" s="395"/>
      <c r="J683" s="217">
        <v>676</v>
      </c>
    </row>
    <row r="684" spans="1:10" x14ac:dyDescent="0.35">
      <c r="A684" s="223" t="b">
        <f t="shared" si="10"/>
        <v>0</v>
      </c>
      <c r="B684" s="398"/>
      <c r="C684" s="394"/>
      <c r="D684" s="395"/>
      <c r="E684" s="393"/>
      <c r="F684" s="394"/>
      <c r="G684" s="395"/>
      <c r="H684" s="395"/>
      <c r="I684" s="395"/>
      <c r="J684" s="217">
        <v>677</v>
      </c>
    </row>
    <row r="685" spans="1:10" x14ac:dyDescent="0.35">
      <c r="A685" s="223" t="b">
        <f t="shared" si="10"/>
        <v>0</v>
      </c>
      <c r="B685" s="398"/>
      <c r="C685" s="394"/>
      <c r="D685" s="395"/>
      <c r="E685" s="393"/>
      <c r="F685" s="394"/>
      <c r="G685" s="395"/>
      <c r="H685" s="395"/>
      <c r="I685" s="395"/>
      <c r="J685" s="217">
        <v>678</v>
      </c>
    </row>
    <row r="686" spans="1:10" x14ac:dyDescent="0.35">
      <c r="A686" s="223" t="b">
        <f t="shared" si="10"/>
        <v>0</v>
      </c>
      <c r="B686" s="398"/>
      <c r="C686" s="394"/>
      <c r="D686" s="395"/>
      <c r="E686" s="393"/>
      <c r="F686" s="394"/>
      <c r="G686" s="395"/>
      <c r="H686" s="395"/>
      <c r="I686" s="395"/>
      <c r="J686" s="217">
        <v>679</v>
      </c>
    </row>
    <row r="687" spans="1:10" x14ac:dyDescent="0.35">
      <c r="A687" s="223" t="b">
        <f t="shared" si="10"/>
        <v>0</v>
      </c>
      <c r="B687" s="398"/>
      <c r="C687" s="394"/>
      <c r="D687" s="395"/>
      <c r="E687" s="393"/>
      <c r="F687" s="394"/>
      <c r="G687" s="395"/>
      <c r="H687" s="395"/>
      <c r="I687" s="395"/>
      <c r="J687" s="217">
        <v>680</v>
      </c>
    </row>
    <row r="688" spans="1:10" x14ac:dyDescent="0.35">
      <c r="A688" s="223" t="b">
        <f t="shared" si="10"/>
        <v>0</v>
      </c>
      <c r="B688" s="398"/>
      <c r="C688" s="394"/>
      <c r="D688" s="395"/>
      <c r="E688" s="393"/>
      <c r="F688" s="394"/>
      <c r="G688" s="395"/>
      <c r="H688" s="395"/>
      <c r="I688" s="395"/>
      <c r="J688" s="217">
        <v>681</v>
      </c>
    </row>
    <row r="689" spans="1:10" x14ac:dyDescent="0.35">
      <c r="A689" s="223" t="b">
        <f t="shared" si="10"/>
        <v>0</v>
      </c>
      <c r="B689" s="398"/>
      <c r="C689" s="394"/>
      <c r="D689" s="395"/>
      <c r="E689" s="393"/>
      <c r="F689" s="394"/>
      <c r="G689" s="395"/>
      <c r="H689" s="395"/>
      <c r="I689" s="395"/>
      <c r="J689" s="217">
        <v>682</v>
      </c>
    </row>
    <row r="690" spans="1:10" x14ac:dyDescent="0.35">
      <c r="A690" s="223" t="b">
        <f t="shared" si="10"/>
        <v>0</v>
      </c>
      <c r="B690" s="398"/>
      <c r="C690" s="394"/>
      <c r="D690" s="395"/>
      <c r="E690" s="393"/>
      <c r="F690" s="394"/>
      <c r="G690" s="395"/>
      <c r="H690" s="395"/>
      <c r="I690" s="395"/>
      <c r="J690" s="217">
        <v>683</v>
      </c>
    </row>
    <row r="691" spans="1:10" x14ac:dyDescent="0.35">
      <c r="A691" s="223" t="b">
        <f t="shared" si="10"/>
        <v>0</v>
      </c>
      <c r="B691" s="398"/>
      <c r="C691" s="394"/>
      <c r="D691" s="395"/>
      <c r="E691" s="393"/>
      <c r="F691" s="394"/>
      <c r="G691" s="395"/>
      <c r="H691" s="395"/>
      <c r="I691" s="395"/>
      <c r="J691" s="217">
        <v>684</v>
      </c>
    </row>
    <row r="692" spans="1:10" x14ac:dyDescent="0.35">
      <c r="A692" s="223" t="b">
        <f t="shared" si="10"/>
        <v>0</v>
      </c>
      <c r="B692" s="398"/>
      <c r="C692" s="394"/>
      <c r="D692" s="395"/>
      <c r="E692" s="393"/>
      <c r="F692" s="394"/>
      <c r="G692" s="395"/>
      <c r="H692" s="395"/>
      <c r="I692" s="395"/>
      <c r="J692" s="217">
        <v>685</v>
      </c>
    </row>
    <row r="693" spans="1:10" x14ac:dyDescent="0.35">
      <c r="A693" s="223" t="b">
        <f t="shared" si="10"/>
        <v>0</v>
      </c>
      <c r="B693" s="398"/>
      <c r="C693" s="394"/>
      <c r="D693" s="395"/>
      <c r="E693" s="393"/>
      <c r="F693" s="394"/>
      <c r="G693" s="395"/>
      <c r="H693" s="395"/>
      <c r="I693" s="395"/>
      <c r="J693" s="217">
        <v>686</v>
      </c>
    </row>
    <row r="694" spans="1:10" x14ac:dyDescent="0.35">
      <c r="A694" s="223" t="b">
        <f t="shared" si="10"/>
        <v>0</v>
      </c>
      <c r="B694" s="398"/>
      <c r="C694" s="394"/>
      <c r="D694" s="395"/>
      <c r="E694" s="393"/>
      <c r="F694" s="394"/>
      <c r="G694" s="395"/>
      <c r="H694" s="395"/>
      <c r="I694" s="395"/>
      <c r="J694" s="217">
        <v>687</v>
      </c>
    </row>
    <row r="695" spans="1:10" x14ac:dyDescent="0.35">
      <c r="A695" s="223" t="b">
        <f t="shared" si="10"/>
        <v>0</v>
      </c>
      <c r="B695" s="398"/>
      <c r="C695" s="394"/>
      <c r="D695" s="395"/>
      <c r="E695" s="393"/>
      <c r="F695" s="394"/>
      <c r="G695" s="395"/>
      <c r="H695" s="395"/>
      <c r="I695" s="395"/>
      <c r="J695" s="217">
        <v>688</v>
      </c>
    </row>
    <row r="696" spans="1:10" x14ac:dyDescent="0.35">
      <c r="A696" s="223" t="b">
        <f t="shared" si="10"/>
        <v>0</v>
      </c>
      <c r="B696" s="398"/>
      <c r="C696" s="394"/>
      <c r="D696" s="395"/>
      <c r="E696" s="393"/>
      <c r="F696" s="394"/>
      <c r="G696" s="395"/>
      <c r="H696" s="395"/>
      <c r="I696" s="395"/>
      <c r="J696" s="217">
        <v>689</v>
      </c>
    </row>
    <row r="697" spans="1:10" x14ac:dyDescent="0.35">
      <c r="A697" s="223" t="b">
        <f t="shared" si="10"/>
        <v>0</v>
      </c>
      <c r="B697" s="398"/>
      <c r="C697" s="394"/>
      <c r="D697" s="395"/>
      <c r="E697" s="393"/>
      <c r="F697" s="394"/>
      <c r="G697" s="395"/>
      <c r="H697" s="395"/>
      <c r="I697" s="395"/>
      <c r="J697" s="217">
        <v>690</v>
      </c>
    </row>
    <row r="698" spans="1:10" x14ac:dyDescent="0.35">
      <c r="A698" s="223" t="b">
        <f t="shared" si="10"/>
        <v>0</v>
      </c>
      <c r="B698" s="398"/>
      <c r="C698" s="394"/>
      <c r="D698" s="395"/>
      <c r="E698" s="393"/>
      <c r="F698" s="394"/>
      <c r="G698" s="395"/>
      <c r="H698" s="395"/>
      <c r="I698" s="395"/>
      <c r="J698" s="217">
        <v>691</v>
      </c>
    </row>
    <row r="699" spans="1:10" x14ac:dyDescent="0.35">
      <c r="A699" s="223" t="b">
        <f t="shared" si="10"/>
        <v>0</v>
      </c>
      <c r="B699" s="398"/>
      <c r="C699" s="394"/>
      <c r="D699" s="395"/>
      <c r="E699" s="393"/>
      <c r="F699" s="394"/>
      <c r="G699" s="395"/>
      <c r="H699" s="395"/>
      <c r="I699" s="395"/>
      <c r="J699" s="217">
        <v>692</v>
      </c>
    </row>
    <row r="700" spans="1:10" x14ac:dyDescent="0.35">
      <c r="A700" s="223" t="b">
        <f t="shared" si="10"/>
        <v>0</v>
      </c>
      <c r="B700" s="398"/>
      <c r="C700" s="394"/>
      <c r="D700" s="395"/>
      <c r="E700" s="393"/>
      <c r="F700" s="394"/>
      <c r="G700" s="395"/>
      <c r="H700" s="395"/>
      <c r="I700" s="395"/>
      <c r="J700" s="217">
        <v>693</v>
      </c>
    </row>
    <row r="701" spans="1:10" x14ac:dyDescent="0.35">
      <c r="A701" s="223" t="b">
        <f t="shared" si="10"/>
        <v>0</v>
      </c>
      <c r="B701" s="398"/>
      <c r="C701" s="394"/>
      <c r="D701" s="395"/>
      <c r="E701" s="393"/>
      <c r="F701" s="394"/>
      <c r="G701" s="395"/>
      <c r="H701" s="395"/>
      <c r="I701" s="395"/>
      <c r="J701" s="217">
        <v>694</v>
      </c>
    </row>
    <row r="702" spans="1:10" x14ac:dyDescent="0.35">
      <c r="A702" s="223" t="b">
        <f t="shared" si="10"/>
        <v>0</v>
      </c>
      <c r="B702" s="398"/>
      <c r="C702" s="394"/>
      <c r="D702" s="395"/>
      <c r="E702" s="393"/>
      <c r="F702" s="394"/>
      <c r="G702" s="395"/>
      <c r="H702" s="395"/>
      <c r="I702" s="395"/>
      <c r="J702" s="217">
        <v>695</v>
      </c>
    </row>
    <row r="703" spans="1:10" x14ac:dyDescent="0.35">
      <c r="A703" s="223" t="b">
        <f t="shared" si="10"/>
        <v>0</v>
      </c>
      <c r="B703" s="398"/>
      <c r="C703" s="394"/>
      <c r="D703" s="395"/>
      <c r="E703" s="393"/>
      <c r="F703" s="394"/>
      <c r="G703" s="395"/>
      <c r="H703" s="395"/>
      <c r="I703" s="395"/>
      <c r="J703" s="217">
        <v>696</v>
      </c>
    </row>
    <row r="704" spans="1:10" x14ac:dyDescent="0.35">
      <c r="A704" s="223" t="b">
        <f t="shared" si="10"/>
        <v>0</v>
      </c>
      <c r="B704" s="398"/>
      <c r="C704" s="394"/>
      <c r="D704" s="395"/>
      <c r="E704" s="393"/>
      <c r="F704" s="394"/>
      <c r="G704" s="395"/>
      <c r="H704" s="395"/>
      <c r="I704" s="395"/>
      <c r="J704" s="217">
        <v>697</v>
      </c>
    </row>
    <row r="705" spans="1:10" x14ac:dyDescent="0.35">
      <c r="A705" s="223" t="b">
        <f t="shared" si="10"/>
        <v>0</v>
      </c>
      <c r="B705" s="398"/>
      <c r="C705" s="394"/>
      <c r="D705" s="395"/>
      <c r="E705" s="393"/>
      <c r="F705" s="394"/>
      <c r="G705" s="395"/>
      <c r="H705" s="395"/>
      <c r="I705" s="395"/>
      <c r="J705" s="217">
        <v>698</v>
      </c>
    </row>
    <row r="706" spans="1:10" x14ac:dyDescent="0.35">
      <c r="A706" s="223" t="b">
        <f t="shared" si="10"/>
        <v>0</v>
      </c>
      <c r="B706" s="398"/>
      <c r="C706" s="394"/>
      <c r="D706" s="395"/>
      <c r="E706" s="393"/>
      <c r="F706" s="394"/>
      <c r="G706" s="395"/>
      <c r="H706" s="395"/>
      <c r="I706" s="395"/>
      <c r="J706" s="217">
        <v>699</v>
      </c>
    </row>
    <row r="707" spans="1:10" x14ac:dyDescent="0.35">
      <c r="A707" s="223" t="b">
        <f t="shared" si="10"/>
        <v>0</v>
      </c>
      <c r="B707" s="398"/>
      <c r="C707" s="394"/>
      <c r="D707" s="395"/>
      <c r="E707" s="393"/>
      <c r="F707" s="394"/>
      <c r="G707" s="395"/>
      <c r="H707" s="395"/>
      <c r="I707" s="395"/>
      <c r="J707" s="217">
        <v>700</v>
      </c>
    </row>
    <row r="708" spans="1:10" x14ac:dyDescent="0.35">
      <c r="A708" s="223" t="b">
        <f t="shared" si="10"/>
        <v>0</v>
      </c>
      <c r="B708" s="398"/>
      <c r="C708" s="394"/>
      <c r="D708" s="395"/>
      <c r="E708" s="393"/>
      <c r="F708" s="394"/>
      <c r="G708" s="395"/>
      <c r="H708" s="395"/>
      <c r="I708" s="395"/>
      <c r="J708" s="217">
        <v>701</v>
      </c>
    </row>
    <row r="709" spans="1:10" x14ac:dyDescent="0.35">
      <c r="A709" s="223" t="b">
        <f t="shared" si="10"/>
        <v>0</v>
      </c>
      <c r="B709" s="398"/>
      <c r="C709" s="394"/>
      <c r="D709" s="395"/>
      <c r="E709" s="393"/>
      <c r="F709" s="394"/>
      <c r="G709" s="395"/>
      <c r="H709" s="395"/>
      <c r="I709" s="395"/>
      <c r="J709" s="217">
        <v>702</v>
      </c>
    </row>
    <row r="710" spans="1:10" x14ac:dyDescent="0.35">
      <c r="A710" s="223" t="b">
        <f t="shared" si="10"/>
        <v>0</v>
      </c>
      <c r="B710" s="398"/>
      <c r="C710" s="394"/>
      <c r="D710" s="395"/>
      <c r="E710" s="393"/>
      <c r="F710" s="394"/>
      <c r="G710" s="395"/>
      <c r="H710" s="395"/>
      <c r="I710" s="395"/>
      <c r="J710" s="217">
        <v>703</v>
      </c>
    </row>
    <row r="711" spans="1:10" x14ac:dyDescent="0.35">
      <c r="A711" s="223" t="b">
        <f t="shared" si="10"/>
        <v>0</v>
      </c>
      <c r="B711" s="398"/>
      <c r="C711" s="394"/>
      <c r="D711" s="395"/>
      <c r="E711" s="393"/>
      <c r="F711" s="394"/>
      <c r="G711" s="395"/>
      <c r="H711" s="395"/>
      <c r="I711" s="395"/>
      <c r="J711" s="217">
        <v>704</v>
      </c>
    </row>
    <row r="712" spans="1:10" x14ac:dyDescent="0.35">
      <c r="A712" s="223" t="b">
        <f t="shared" ref="A712:A775" si="11">OR(B712&lt;&gt;"",D712&lt;&gt;"",C712&lt;&gt;"",E712&lt;&gt;"",F712&lt;&gt;"",G712&lt;&gt;"")</f>
        <v>0</v>
      </c>
      <c r="B712" s="398"/>
      <c r="C712" s="394"/>
      <c r="D712" s="395"/>
      <c r="E712" s="393"/>
      <c r="F712" s="394"/>
      <c r="G712" s="395"/>
      <c r="H712" s="395"/>
      <c r="I712" s="395"/>
      <c r="J712" s="217">
        <v>705</v>
      </c>
    </row>
    <row r="713" spans="1:10" x14ac:dyDescent="0.35">
      <c r="A713" s="223" t="b">
        <f t="shared" si="11"/>
        <v>0</v>
      </c>
      <c r="B713" s="398"/>
      <c r="C713" s="394"/>
      <c r="D713" s="395"/>
      <c r="E713" s="393"/>
      <c r="F713" s="394"/>
      <c r="G713" s="395"/>
      <c r="H713" s="395"/>
      <c r="I713" s="395"/>
      <c r="J713" s="217">
        <v>706</v>
      </c>
    </row>
    <row r="714" spans="1:10" x14ac:dyDescent="0.35">
      <c r="A714" s="223" t="b">
        <f t="shared" si="11"/>
        <v>0</v>
      </c>
      <c r="B714" s="398"/>
      <c r="C714" s="394"/>
      <c r="D714" s="395"/>
      <c r="E714" s="393"/>
      <c r="F714" s="394"/>
      <c r="G714" s="395"/>
      <c r="H714" s="395"/>
      <c r="I714" s="395"/>
      <c r="J714" s="217">
        <v>707</v>
      </c>
    </row>
    <row r="715" spans="1:10" x14ac:dyDescent="0.35">
      <c r="A715" s="223" t="b">
        <f t="shared" si="11"/>
        <v>0</v>
      </c>
      <c r="B715" s="398"/>
      <c r="C715" s="394"/>
      <c r="D715" s="395"/>
      <c r="E715" s="393"/>
      <c r="F715" s="394"/>
      <c r="G715" s="395"/>
      <c r="H715" s="395"/>
      <c r="I715" s="395"/>
      <c r="J715" s="217">
        <v>708</v>
      </c>
    </row>
    <row r="716" spans="1:10" x14ac:dyDescent="0.35">
      <c r="A716" s="223" t="b">
        <f t="shared" si="11"/>
        <v>0</v>
      </c>
      <c r="B716" s="398"/>
      <c r="C716" s="394"/>
      <c r="D716" s="395"/>
      <c r="E716" s="393"/>
      <c r="F716" s="394"/>
      <c r="G716" s="395"/>
      <c r="H716" s="395"/>
      <c r="I716" s="395"/>
      <c r="J716" s="217">
        <v>709</v>
      </c>
    </row>
    <row r="717" spans="1:10" x14ac:dyDescent="0.35">
      <c r="A717" s="223" t="b">
        <f t="shared" si="11"/>
        <v>0</v>
      </c>
      <c r="B717" s="398"/>
      <c r="C717" s="394"/>
      <c r="D717" s="395"/>
      <c r="E717" s="393"/>
      <c r="F717" s="394"/>
      <c r="G717" s="395"/>
      <c r="H717" s="395"/>
      <c r="I717" s="395"/>
      <c r="J717" s="217">
        <v>710</v>
      </c>
    </row>
    <row r="718" spans="1:10" x14ac:dyDescent="0.35">
      <c r="A718" s="223" t="b">
        <f t="shared" si="11"/>
        <v>0</v>
      </c>
      <c r="B718" s="398"/>
      <c r="C718" s="394"/>
      <c r="D718" s="395"/>
      <c r="E718" s="393"/>
      <c r="F718" s="394"/>
      <c r="G718" s="395"/>
      <c r="H718" s="395"/>
      <c r="I718" s="395"/>
      <c r="J718" s="217">
        <v>711</v>
      </c>
    </row>
    <row r="719" spans="1:10" x14ac:dyDescent="0.35">
      <c r="A719" s="223" t="b">
        <f t="shared" si="11"/>
        <v>0</v>
      </c>
      <c r="B719" s="398"/>
      <c r="C719" s="394"/>
      <c r="D719" s="395"/>
      <c r="E719" s="393"/>
      <c r="F719" s="394"/>
      <c r="G719" s="395"/>
      <c r="H719" s="395"/>
      <c r="I719" s="395"/>
      <c r="J719" s="217">
        <v>712</v>
      </c>
    </row>
    <row r="720" spans="1:10" x14ac:dyDescent="0.35">
      <c r="A720" s="223" t="b">
        <f t="shared" si="11"/>
        <v>0</v>
      </c>
      <c r="B720" s="398"/>
      <c r="C720" s="394"/>
      <c r="D720" s="395"/>
      <c r="E720" s="393"/>
      <c r="F720" s="394"/>
      <c r="G720" s="395"/>
      <c r="H720" s="395"/>
      <c r="I720" s="395"/>
      <c r="J720" s="217">
        <v>713</v>
      </c>
    </row>
    <row r="721" spans="1:10" x14ac:dyDescent="0.35">
      <c r="A721" s="223" t="b">
        <f t="shared" si="11"/>
        <v>0</v>
      </c>
      <c r="B721" s="398"/>
      <c r="C721" s="394"/>
      <c r="D721" s="395"/>
      <c r="E721" s="393"/>
      <c r="F721" s="394"/>
      <c r="G721" s="395"/>
      <c r="H721" s="395"/>
      <c r="I721" s="395"/>
      <c r="J721" s="217">
        <v>714</v>
      </c>
    </row>
    <row r="722" spans="1:10" x14ac:dyDescent="0.35">
      <c r="A722" s="223" t="b">
        <f t="shared" si="11"/>
        <v>0</v>
      </c>
      <c r="B722" s="398"/>
      <c r="C722" s="394"/>
      <c r="D722" s="395"/>
      <c r="E722" s="393"/>
      <c r="F722" s="394"/>
      <c r="G722" s="395"/>
      <c r="H722" s="395"/>
      <c r="I722" s="395"/>
      <c r="J722" s="217">
        <v>715</v>
      </c>
    </row>
    <row r="723" spans="1:10" x14ac:dyDescent="0.35">
      <c r="A723" s="223" t="b">
        <f t="shared" si="11"/>
        <v>0</v>
      </c>
      <c r="B723" s="398"/>
      <c r="C723" s="394"/>
      <c r="D723" s="395"/>
      <c r="E723" s="393"/>
      <c r="F723" s="394"/>
      <c r="G723" s="395"/>
      <c r="H723" s="395"/>
      <c r="I723" s="395"/>
      <c r="J723" s="217">
        <v>716</v>
      </c>
    </row>
    <row r="724" spans="1:10" x14ac:dyDescent="0.35">
      <c r="A724" s="223" t="b">
        <f t="shared" si="11"/>
        <v>0</v>
      </c>
      <c r="B724" s="398"/>
      <c r="C724" s="394"/>
      <c r="D724" s="395"/>
      <c r="E724" s="393"/>
      <c r="F724" s="394"/>
      <c r="G724" s="395"/>
      <c r="H724" s="395"/>
      <c r="I724" s="395"/>
      <c r="J724" s="217">
        <v>717</v>
      </c>
    </row>
    <row r="725" spans="1:10" x14ac:dyDescent="0.35">
      <c r="A725" s="223" t="b">
        <f t="shared" si="11"/>
        <v>0</v>
      </c>
      <c r="B725" s="398"/>
      <c r="C725" s="394"/>
      <c r="D725" s="395"/>
      <c r="E725" s="393"/>
      <c r="F725" s="394"/>
      <c r="G725" s="395"/>
      <c r="H725" s="395"/>
      <c r="I725" s="395"/>
      <c r="J725" s="217">
        <v>718</v>
      </c>
    </row>
    <row r="726" spans="1:10" x14ac:dyDescent="0.35">
      <c r="A726" s="223" t="b">
        <f t="shared" si="11"/>
        <v>0</v>
      </c>
      <c r="B726" s="398"/>
      <c r="C726" s="394"/>
      <c r="D726" s="395"/>
      <c r="E726" s="393"/>
      <c r="F726" s="394"/>
      <c r="G726" s="395"/>
      <c r="H726" s="395"/>
      <c r="I726" s="395"/>
      <c r="J726" s="217">
        <v>719</v>
      </c>
    </row>
    <row r="727" spans="1:10" x14ac:dyDescent="0.35">
      <c r="A727" s="223" t="b">
        <f t="shared" si="11"/>
        <v>0</v>
      </c>
      <c r="B727" s="398"/>
      <c r="C727" s="394"/>
      <c r="D727" s="395"/>
      <c r="E727" s="393"/>
      <c r="F727" s="394"/>
      <c r="G727" s="395"/>
      <c r="H727" s="395"/>
      <c r="I727" s="395"/>
      <c r="J727" s="217">
        <v>720</v>
      </c>
    </row>
    <row r="728" spans="1:10" x14ac:dyDescent="0.35">
      <c r="A728" s="223" t="b">
        <f t="shared" si="11"/>
        <v>0</v>
      </c>
      <c r="B728" s="398"/>
      <c r="C728" s="394"/>
      <c r="D728" s="395"/>
      <c r="E728" s="393"/>
      <c r="F728" s="394"/>
      <c r="G728" s="395"/>
      <c r="H728" s="395"/>
      <c r="I728" s="395"/>
      <c r="J728" s="217">
        <v>721</v>
      </c>
    </row>
    <row r="729" spans="1:10" x14ac:dyDescent="0.35">
      <c r="A729" s="223" t="b">
        <f t="shared" si="11"/>
        <v>0</v>
      </c>
      <c r="B729" s="398"/>
      <c r="C729" s="394"/>
      <c r="D729" s="395"/>
      <c r="E729" s="393"/>
      <c r="F729" s="394"/>
      <c r="G729" s="395"/>
      <c r="H729" s="395"/>
      <c r="I729" s="395"/>
      <c r="J729" s="217">
        <v>722</v>
      </c>
    </row>
    <row r="730" spans="1:10" x14ac:dyDescent="0.35">
      <c r="A730" s="223" t="b">
        <f t="shared" si="11"/>
        <v>0</v>
      </c>
      <c r="B730" s="398"/>
      <c r="C730" s="394"/>
      <c r="D730" s="395"/>
      <c r="E730" s="393"/>
      <c r="F730" s="394"/>
      <c r="G730" s="395"/>
      <c r="H730" s="395"/>
      <c r="I730" s="395"/>
      <c r="J730" s="217">
        <v>723</v>
      </c>
    </row>
    <row r="731" spans="1:10" x14ac:dyDescent="0.35">
      <c r="A731" s="223" t="b">
        <f t="shared" si="11"/>
        <v>0</v>
      </c>
      <c r="B731" s="398"/>
      <c r="C731" s="394"/>
      <c r="D731" s="395"/>
      <c r="E731" s="393"/>
      <c r="F731" s="394"/>
      <c r="G731" s="395"/>
      <c r="H731" s="395"/>
      <c r="I731" s="395"/>
      <c r="J731" s="217">
        <v>724</v>
      </c>
    </row>
    <row r="732" spans="1:10" x14ac:dyDescent="0.35">
      <c r="A732" s="223" t="b">
        <f t="shared" si="11"/>
        <v>0</v>
      </c>
      <c r="B732" s="398"/>
      <c r="C732" s="394"/>
      <c r="D732" s="395"/>
      <c r="E732" s="393"/>
      <c r="F732" s="394"/>
      <c r="G732" s="395"/>
      <c r="H732" s="395"/>
      <c r="I732" s="395"/>
      <c r="J732" s="217">
        <v>725</v>
      </c>
    </row>
    <row r="733" spans="1:10" x14ac:dyDescent="0.35">
      <c r="A733" s="223" t="b">
        <f t="shared" si="11"/>
        <v>0</v>
      </c>
      <c r="B733" s="398"/>
      <c r="C733" s="394"/>
      <c r="D733" s="395"/>
      <c r="E733" s="393"/>
      <c r="F733" s="394"/>
      <c r="G733" s="395"/>
      <c r="H733" s="395"/>
      <c r="I733" s="395"/>
      <c r="J733" s="217">
        <v>726</v>
      </c>
    </row>
    <row r="734" spans="1:10" x14ac:dyDescent="0.35">
      <c r="A734" s="223" t="b">
        <f t="shared" si="11"/>
        <v>0</v>
      </c>
      <c r="B734" s="398"/>
      <c r="C734" s="394"/>
      <c r="D734" s="395"/>
      <c r="E734" s="393"/>
      <c r="F734" s="394"/>
      <c r="G734" s="395"/>
      <c r="H734" s="395"/>
      <c r="I734" s="395"/>
      <c r="J734" s="217">
        <v>727</v>
      </c>
    </row>
    <row r="735" spans="1:10" x14ac:dyDescent="0.35">
      <c r="A735" s="223" t="b">
        <f t="shared" si="11"/>
        <v>0</v>
      </c>
      <c r="B735" s="398"/>
      <c r="C735" s="394"/>
      <c r="D735" s="395"/>
      <c r="E735" s="393"/>
      <c r="F735" s="394"/>
      <c r="G735" s="395"/>
      <c r="H735" s="395"/>
      <c r="I735" s="395"/>
      <c r="J735" s="217">
        <v>728</v>
      </c>
    </row>
    <row r="736" spans="1:10" x14ac:dyDescent="0.35">
      <c r="A736" s="223" t="b">
        <f t="shared" si="11"/>
        <v>0</v>
      </c>
      <c r="B736" s="398"/>
      <c r="C736" s="394"/>
      <c r="D736" s="395"/>
      <c r="E736" s="393"/>
      <c r="F736" s="394"/>
      <c r="G736" s="395"/>
      <c r="H736" s="395"/>
      <c r="I736" s="395"/>
      <c r="J736" s="217">
        <v>729</v>
      </c>
    </row>
    <row r="737" spans="1:10" x14ac:dyDescent="0.35">
      <c r="A737" s="223" t="b">
        <f t="shared" si="11"/>
        <v>0</v>
      </c>
      <c r="B737" s="398"/>
      <c r="C737" s="394"/>
      <c r="D737" s="395"/>
      <c r="E737" s="393"/>
      <c r="F737" s="394"/>
      <c r="G737" s="395"/>
      <c r="H737" s="395"/>
      <c r="I737" s="395"/>
      <c r="J737" s="217">
        <v>730</v>
      </c>
    </row>
    <row r="738" spans="1:10" x14ac:dyDescent="0.35">
      <c r="A738" s="223" t="b">
        <f t="shared" si="11"/>
        <v>0</v>
      </c>
      <c r="B738" s="398"/>
      <c r="C738" s="394"/>
      <c r="D738" s="395"/>
      <c r="E738" s="393"/>
      <c r="F738" s="394"/>
      <c r="G738" s="395"/>
      <c r="H738" s="395"/>
      <c r="I738" s="395"/>
      <c r="J738" s="217">
        <v>731</v>
      </c>
    </row>
    <row r="739" spans="1:10" x14ac:dyDescent="0.35">
      <c r="A739" s="223" t="b">
        <f t="shared" si="11"/>
        <v>0</v>
      </c>
      <c r="B739" s="398"/>
      <c r="C739" s="394"/>
      <c r="D739" s="395"/>
      <c r="E739" s="393"/>
      <c r="F739" s="394"/>
      <c r="G739" s="395"/>
      <c r="H739" s="395"/>
      <c r="I739" s="395"/>
      <c r="J739" s="217">
        <v>732</v>
      </c>
    </row>
    <row r="740" spans="1:10" x14ac:dyDescent="0.35">
      <c r="A740" s="223" t="b">
        <f t="shared" si="11"/>
        <v>0</v>
      </c>
      <c r="B740" s="398"/>
      <c r="C740" s="394"/>
      <c r="D740" s="395"/>
      <c r="E740" s="393"/>
      <c r="F740" s="394"/>
      <c r="G740" s="395"/>
      <c r="H740" s="395"/>
      <c r="I740" s="395"/>
      <c r="J740" s="217">
        <v>733</v>
      </c>
    </row>
    <row r="741" spans="1:10" x14ac:dyDescent="0.35">
      <c r="A741" s="223" t="b">
        <f t="shared" si="11"/>
        <v>0</v>
      </c>
      <c r="B741" s="398"/>
      <c r="C741" s="394"/>
      <c r="D741" s="395"/>
      <c r="E741" s="393"/>
      <c r="F741" s="394"/>
      <c r="G741" s="395"/>
      <c r="H741" s="395"/>
      <c r="I741" s="395"/>
      <c r="J741" s="217">
        <v>734</v>
      </c>
    </row>
    <row r="742" spans="1:10" x14ac:dyDescent="0.35">
      <c r="A742" s="223" t="b">
        <f t="shared" si="11"/>
        <v>0</v>
      </c>
      <c r="B742" s="398"/>
      <c r="C742" s="394"/>
      <c r="D742" s="395"/>
      <c r="E742" s="393"/>
      <c r="F742" s="394"/>
      <c r="G742" s="395"/>
      <c r="H742" s="395"/>
      <c r="I742" s="395"/>
      <c r="J742" s="217">
        <v>735</v>
      </c>
    </row>
    <row r="743" spans="1:10" x14ac:dyDescent="0.35">
      <c r="A743" s="223" t="b">
        <f t="shared" si="11"/>
        <v>0</v>
      </c>
      <c r="B743" s="398"/>
      <c r="C743" s="394"/>
      <c r="D743" s="395"/>
      <c r="E743" s="393"/>
      <c r="F743" s="394"/>
      <c r="G743" s="395"/>
      <c r="H743" s="395"/>
      <c r="I743" s="395"/>
      <c r="J743" s="217">
        <v>736</v>
      </c>
    </row>
    <row r="744" spans="1:10" x14ac:dyDescent="0.35">
      <c r="A744" s="223" t="b">
        <f t="shared" si="11"/>
        <v>0</v>
      </c>
      <c r="B744" s="398"/>
      <c r="C744" s="394"/>
      <c r="D744" s="395"/>
      <c r="E744" s="393"/>
      <c r="F744" s="394"/>
      <c r="G744" s="395"/>
      <c r="H744" s="395"/>
      <c r="I744" s="395"/>
      <c r="J744" s="217">
        <v>737</v>
      </c>
    </row>
    <row r="745" spans="1:10" x14ac:dyDescent="0.35">
      <c r="A745" s="223" t="b">
        <f t="shared" si="11"/>
        <v>0</v>
      </c>
      <c r="B745" s="398"/>
      <c r="C745" s="394"/>
      <c r="D745" s="395"/>
      <c r="E745" s="393"/>
      <c r="F745" s="394"/>
      <c r="G745" s="395"/>
      <c r="H745" s="395"/>
      <c r="I745" s="395"/>
      <c r="J745" s="217">
        <v>738</v>
      </c>
    </row>
    <row r="746" spans="1:10" x14ac:dyDescent="0.35">
      <c r="A746" s="223" t="b">
        <f t="shared" si="11"/>
        <v>0</v>
      </c>
      <c r="B746" s="398"/>
      <c r="C746" s="394"/>
      <c r="D746" s="395"/>
      <c r="E746" s="393"/>
      <c r="F746" s="394"/>
      <c r="G746" s="395"/>
      <c r="H746" s="395"/>
      <c r="I746" s="395"/>
      <c r="J746" s="217">
        <v>739</v>
      </c>
    </row>
    <row r="747" spans="1:10" x14ac:dyDescent="0.35">
      <c r="A747" s="223" t="b">
        <f t="shared" si="11"/>
        <v>0</v>
      </c>
      <c r="B747" s="398"/>
      <c r="C747" s="394"/>
      <c r="D747" s="395"/>
      <c r="E747" s="393"/>
      <c r="F747" s="394"/>
      <c r="G747" s="395"/>
      <c r="H747" s="395"/>
      <c r="I747" s="395"/>
      <c r="J747" s="217">
        <v>740</v>
      </c>
    </row>
    <row r="748" spans="1:10" x14ac:dyDescent="0.35">
      <c r="A748" s="223" t="b">
        <f t="shared" si="11"/>
        <v>0</v>
      </c>
      <c r="B748" s="398"/>
      <c r="C748" s="394"/>
      <c r="D748" s="395"/>
      <c r="E748" s="393"/>
      <c r="F748" s="394"/>
      <c r="G748" s="395"/>
      <c r="H748" s="395"/>
      <c r="I748" s="395"/>
      <c r="J748" s="217">
        <v>741</v>
      </c>
    </row>
    <row r="749" spans="1:10" x14ac:dyDescent="0.35">
      <c r="A749" s="223" t="b">
        <f t="shared" si="11"/>
        <v>0</v>
      </c>
      <c r="B749" s="398"/>
      <c r="C749" s="394"/>
      <c r="D749" s="395"/>
      <c r="E749" s="393"/>
      <c r="F749" s="394"/>
      <c r="G749" s="395"/>
      <c r="H749" s="395"/>
      <c r="I749" s="395"/>
      <c r="J749" s="217">
        <v>742</v>
      </c>
    </row>
    <row r="750" spans="1:10" x14ac:dyDescent="0.35">
      <c r="A750" s="223" t="b">
        <f t="shared" si="11"/>
        <v>0</v>
      </c>
      <c r="B750" s="398"/>
      <c r="C750" s="394"/>
      <c r="D750" s="395"/>
      <c r="E750" s="393"/>
      <c r="F750" s="394"/>
      <c r="G750" s="395"/>
      <c r="H750" s="395"/>
      <c r="I750" s="395"/>
      <c r="J750" s="217">
        <v>743</v>
      </c>
    </row>
    <row r="751" spans="1:10" x14ac:dyDescent="0.35">
      <c r="A751" s="223" t="b">
        <f t="shared" si="11"/>
        <v>0</v>
      </c>
      <c r="B751" s="398"/>
      <c r="C751" s="394"/>
      <c r="D751" s="395"/>
      <c r="E751" s="393"/>
      <c r="F751" s="394"/>
      <c r="G751" s="395"/>
      <c r="H751" s="395"/>
      <c r="I751" s="395"/>
      <c r="J751" s="217">
        <v>744</v>
      </c>
    </row>
    <row r="752" spans="1:10" x14ac:dyDescent="0.35">
      <c r="A752" s="223" t="b">
        <f t="shared" si="11"/>
        <v>0</v>
      </c>
      <c r="B752" s="398"/>
      <c r="C752" s="394"/>
      <c r="D752" s="395"/>
      <c r="E752" s="393"/>
      <c r="F752" s="394"/>
      <c r="G752" s="395"/>
      <c r="H752" s="395"/>
      <c r="I752" s="395"/>
      <c r="J752" s="217">
        <v>745</v>
      </c>
    </row>
    <row r="753" spans="1:10" x14ac:dyDescent="0.35">
      <c r="A753" s="223" t="b">
        <f t="shared" si="11"/>
        <v>0</v>
      </c>
      <c r="B753" s="398"/>
      <c r="C753" s="394"/>
      <c r="D753" s="395"/>
      <c r="E753" s="393"/>
      <c r="F753" s="394"/>
      <c r="G753" s="395"/>
      <c r="H753" s="395"/>
      <c r="I753" s="395"/>
      <c r="J753" s="217">
        <v>746</v>
      </c>
    </row>
    <row r="754" spans="1:10" x14ac:dyDescent="0.35">
      <c r="A754" s="223" t="b">
        <f t="shared" si="11"/>
        <v>0</v>
      </c>
      <c r="B754" s="398"/>
      <c r="C754" s="394"/>
      <c r="D754" s="395"/>
      <c r="E754" s="393"/>
      <c r="F754" s="394"/>
      <c r="G754" s="395"/>
      <c r="H754" s="395"/>
      <c r="I754" s="395"/>
      <c r="J754" s="217">
        <v>747</v>
      </c>
    </row>
    <row r="755" spans="1:10" x14ac:dyDescent="0.35">
      <c r="A755" s="223" t="b">
        <f t="shared" si="11"/>
        <v>0</v>
      </c>
      <c r="B755" s="398"/>
      <c r="C755" s="394"/>
      <c r="D755" s="395"/>
      <c r="E755" s="393"/>
      <c r="F755" s="394"/>
      <c r="G755" s="395"/>
      <c r="H755" s="395"/>
      <c r="I755" s="395"/>
      <c r="J755" s="217">
        <v>748</v>
      </c>
    </row>
    <row r="756" spans="1:10" x14ac:dyDescent="0.35">
      <c r="A756" s="223" t="b">
        <f t="shared" si="11"/>
        <v>0</v>
      </c>
      <c r="B756" s="398"/>
      <c r="C756" s="394"/>
      <c r="D756" s="395"/>
      <c r="E756" s="393"/>
      <c r="F756" s="394"/>
      <c r="G756" s="395"/>
      <c r="H756" s="395"/>
      <c r="I756" s="395"/>
      <c r="J756" s="217">
        <v>749</v>
      </c>
    </row>
    <row r="757" spans="1:10" x14ac:dyDescent="0.35">
      <c r="A757" s="223" t="b">
        <f t="shared" si="11"/>
        <v>0</v>
      </c>
      <c r="B757" s="398"/>
      <c r="C757" s="394"/>
      <c r="D757" s="395"/>
      <c r="E757" s="393"/>
      <c r="F757" s="394"/>
      <c r="G757" s="395"/>
      <c r="H757" s="395"/>
      <c r="I757" s="395"/>
      <c r="J757" s="217">
        <v>750</v>
      </c>
    </row>
    <row r="758" spans="1:10" x14ac:dyDescent="0.35">
      <c r="A758" s="223" t="b">
        <f t="shared" si="11"/>
        <v>0</v>
      </c>
      <c r="B758" s="398"/>
      <c r="C758" s="394"/>
      <c r="D758" s="395"/>
      <c r="E758" s="393"/>
      <c r="F758" s="394"/>
      <c r="G758" s="395"/>
      <c r="H758" s="395"/>
      <c r="I758" s="395"/>
      <c r="J758" s="217">
        <v>751</v>
      </c>
    </row>
    <row r="759" spans="1:10" x14ac:dyDescent="0.35">
      <c r="A759" s="223" t="b">
        <f t="shared" si="11"/>
        <v>0</v>
      </c>
      <c r="B759" s="398"/>
      <c r="C759" s="394"/>
      <c r="D759" s="395"/>
      <c r="E759" s="393"/>
      <c r="F759" s="394"/>
      <c r="G759" s="395"/>
      <c r="H759" s="395"/>
      <c r="I759" s="395"/>
      <c r="J759" s="217">
        <v>752</v>
      </c>
    </row>
    <row r="760" spans="1:10" x14ac:dyDescent="0.35">
      <c r="A760" s="223" t="b">
        <f t="shared" si="11"/>
        <v>0</v>
      </c>
      <c r="B760" s="398"/>
      <c r="C760" s="394"/>
      <c r="D760" s="395"/>
      <c r="E760" s="393"/>
      <c r="F760" s="394"/>
      <c r="G760" s="395"/>
      <c r="H760" s="395"/>
      <c r="I760" s="395"/>
      <c r="J760" s="217">
        <v>753</v>
      </c>
    </row>
    <row r="761" spans="1:10" x14ac:dyDescent="0.35">
      <c r="A761" s="223" t="b">
        <f t="shared" si="11"/>
        <v>0</v>
      </c>
      <c r="B761" s="398"/>
      <c r="C761" s="394"/>
      <c r="D761" s="395"/>
      <c r="E761" s="393"/>
      <c r="F761" s="394"/>
      <c r="G761" s="395"/>
      <c r="H761" s="395"/>
      <c r="I761" s="395"/>
      <c r="J761" s="217">
        <v>754</v>
      </c>
    </row>
    <row r="762" spans="1:10" x14ac:dyDescent="0.35">
      <c r="A762" s="223" t="b">
        <f t="shared" si="11"/>
        <v>0</v>
      </c>
      <c r="B762" s="398"/>
      <c r="C762" s="394"/>
      <c r="D762" s="395"/>
      <c r="E762" s="393"/>
      <c r="F762" s="394"/>
      <c r="G762" s="395"/>
      <c r="H762" s="395"/>
      <c r="I762" s="395"/>
      <c r="J762" s="217">
        <v>755</v>
      </c>
    </row>
    <row r="763" spans="1:10" x14ac:dyDescent="0.35">
      <c r="A763" s="223" t="b">
        <f t="shared" si="11"/>
        <v>0</v>
      </c>
      <c r="B763" s="398"/>
      <c r="C763" s="394"/>
      <c r="D763" s="395"/>
      <c r="E763" s="393"/>
      <c r="F763" s="394"/>
      <c r="G763" s="395"/>
      <c r="H763" s="395"/>
      <c r="I763" s="395"/>
      <c r="J763" s="217">
        <v>756</v>
      </c>
    </row>
    <row r="764" spans="1:10" x14ac:dyDescent="0.35">
      <c r="A764" s="223" t="b">
        <f t="shared" si="11"/>
        <v>0</v>
      </c>
      <c r="B764" s="398"/>
      <c r="C764" s="394"/>
      <c r="D764" s="395"/>
      <c r="E764" s="393"/>
      <c r="F764" s="394"/>
      <c r="G764" s="395"/>
      <c r="H764" s="395"/>
      <c r="I764" s="395"/>
      <c r="J764" s="217">
        <v>757</v>
      </c>
    </row>
    <row r="765" spans="1:10" x14ac:dyDescent="0.35">
      <c r="A765" s="223" t="b">
        <f t="shared" si="11"/>
        <v>0</v>
      </c>
      <c r="B765" s="398"/>
      <c r="C765" s="394"/>
      <c r="D765" s="395"/>
      <c r="E765" s="393"/>
      <c r="F765" s="394"/>
      <c r="G765" s="395"/>
      <c r="H765" s="395"/>
      <c r="I765" s="395"/>
      <c r="J765" s="217">
        <v>758</v>
      </c>
    </row>
    <row r="766" spans="1:10" x14ac:dyDescent="0.35">
      <c r="A766" s="223" t="b">
        <f t="shared" si="11"/>
        <v>0</v>
      </c>
      <c r="B766" s="398"/>
      <c r="C766" s="394"/>
      <c r="D766" s="395"/>
      <c r="E766" s="393"/>
      <c r="F766" s="394"/>
      <c r="G766" s="395"/>
      <c r="H766" s="395"/>
      <c r="I766" s="395"/>
      <c r="J766" s="217">
        <v>759</v>
      </c>
    </row>
    <row r="767" spans="1:10" x14ac:dyDescent="0.35">
      <c r="A767" s="223" t="b">
        <f t="shared" si="11"/>
        <v>0</v>
      </c>
      <c r="B767" s="398"/>
      <c r="C767" s="394"/>
      <c r="D767" s="395"/>
      <c r="E767" s="393"/>
      <c r="F767" s="394"/>
      <c r="G767" s="395"/>
      <c r="H767" s="395"/>
      <c r="I767" s="395"/>
      <c r="J767" s="217">
        <v>760</v>
      </c>
    </row>
    <row r="768" spans="1:10" x14ac:dyDescent="0.35">
      <c r="A768" s="223" t="b">
        <f t="shared" si="11"/>
        <v>0</v>
      </c>
      <c r="B768" s="398"/>
      <c r="C768" s="394"/>
      <c r="D768" s="395"/>
      <c r="E768" s="393"/>
      <c r="F768" s="394"/>
      <c r="G768" s="395"/>
      <c r="H768" s="395"/>
      <c r="I768" s="395"/>
      <c r="J768" s="217">
        <v>761</v>
      </c>
    </row>
    <row r="769" spans="1:10" x14ac:dyDescent="0.35">
      <c r="A769" s="223" t="b">
        <f t="shared" si="11"/>
        <v>0</v>
      </c>
      <c r="B769" s="398"/>
      <c r="C769" s="394"/>
      <c r="D769" s="395"/>
      <c r="E769" s="393"/>
      <c r="F769" s="394"/>
      <c r="G769" s="395"/>
      <c r="H769" s="395"/>
      <c r="I769" s="395"/>
      <c r="J769" s="217">
        <v>762</v>
      </c>
    </row>
    <row r="770" spans="1:10" x14ac:dyDescent="0.35">
      <c r="A770" s="223" t="b">
        <f t="shared" si="11"/>
        <v>0</v>
      </c>
      <c r="B770" s="398"/>
      <c r="C770" s="394"/>
      <c r="D770" s="395"/>
      <c r="E770" s="393"/>
      <c r="F770" s="394"/>
      <c r="G770" s="395"/>
      <c r="H770" s="395"/>
      <c r="I770" s="395"/>
      <c r="J770" s="217">
        <v>763</v>
      </c>
    </row>
    <row r="771" spans="1:10" x14ac:dyDescent="0.35">
      <c r="A771" s="223" t="b">
        <f t="shared" si="11"/>
        <v>0</v>
      </c>
      <c r="B771" s="398"/>
      <c r="C771" s="394"/>
      <c r="D771" s="395"/>
      <c r="E771" s="393"/>
      <c r="F771" s="394"/>
      <c r="G771" s="395"/>
      <c r="H771" s="395"/>
      <c r="I771" s="395"/>
      <c r="J771" s="217">
        <v>764</v>
      </c>
    </row>
    <row r="772" spans="1:10" x14ac:dyDescent="0.35">
      <c r="A772" s="223" t="b">
        <f t="shared" si="11"/>
        <v>0</v>
      </c>
      <c r="B772" s="398"/>
      <c r="C772" s="394"/>
      <c r="D772" s="395"/>
      <c r="E772" s="393"/>
      <c r="F772" s="394"/>
      <c r="G772" s="395"/>
      <c r="H772" s="395"/>
      <c r="I772" s="395"/>
      <c r="J772" s="217">
        <v>765</v>
      </c>
    </row>
    <row r="773" spans="1:10" x14ac:dyDescent="0.35">
      <c r="A773" s="223" t="b">
        <f t="shared" si="11"/>
        <v>0</v>
      </c>
      <c r="B773" s="398"/>
      <c r="C773" s="394"/>
      <c r="D773" s="395"/>
      <c r="E773" s="393"/>
      <c r="F773" s="394"/>
      <c r="G773" s="395"/>
      <c r="H773" s="395"/>
      <c r="I773" s="395"/>
      <c r="J773" s="217">
        <v>766</v>
      </c>
    </row>
    <row r="774" spans="1:10" x14ac:dyDescent="0.35">
      <c r="A774" s="223" t="b">
        <f t="shared" si="11"/>
        <v>0</v>
      </c>
      <c r="B774" s="398"/>
      <c r="C774" s="394"/>
      <c r="D774" s="395"/>
      <c r="E774" s="393"/>
      <c r="F774" s="394"/>
      <c r="G774" s="395"/>
      <c r="H774" s="395"/>
      <c r="I774" s="395"/>
      <c r="J774" s="217">
        <v>767</v>
      </c>
    </row>
    <row r="775" spans="1:10" x14ac:dyDescent="0.35">
      <c r="A775" s="223" t="b">
        <f t="shared" si="11"/>
        <v>0</v>
      </c>
      <c r="B775" s="398"/>
      <c r="C775" s="394"/>
      <c r="D775" s="395"/>
      <c r="E775" s="393"/>
      <c r="F775" s="394"/>
      <c r="G775" s="395"/>
      <c r="H775" s="395"/>
      <c r="I775" s="395"/>
      <c r="J775" s="217">
        <v>768</v>
      </c>
    </row>
    <row r="776" spans="1:10" x14ac:dyDescent="0.35">
      <c r="A776" s="223" t="b">
        <f t="shared" ref="A776:A839" si="12">OR(B776&lt;&gt;"",D776&lt;&gt;"",C776&lt;&gt;"",E776&lt;&gt;"",F776&lt;&gt;"",G776&lt;&gt;"")</f>
        <v>0</v>
      </c>
      <c r="B776" s="398"/>
      <c r="C776" s="394"/>
      <c r="D776" s="395"/>
      <c r="E776" s="393"/>
      <c r="F776" s="394"/>
      <c r="G776" s="395"/>
      <c r="H776" s="395"/>
      <c r="I776" s="395"/>
      <c r="J776" s="217">
        <v>769</v>
      </c>
    </row>
    <row r="777" spans="1:10" x14ac:dyDescent="0.35">
      <c r="A777" s="223" t="b">
        <f t="shared" si="12"/>
        <v>0</v>
      </c>
      <c r="B777" s="398"/>
      <c r="C777" s="394"/>
      <c r="D777" s="395"/>
      <c r="E777" s="393"/>
      <c r="F777" s="394"/>
      <c r="G777" s="395"/>
      <c r="H777" s="395"/>
      <c r="I777" s="395"/>
      <c r="J777" s="217">
        <v>770</v>
      </c>
    </row>
    <row r="778" spans="1:10" x14ac:dyDescent="0.35">
      <c r="A778" s="223" t="b">
        <f t="shared" si="12"/>
        <v>0</v>
      </c>
      <c r="B778" s="398"/>
      <c r="C778" s="394"/>
      <c r="D778" s="395"/>
      <c r="E778" s="393"/>
      <c r="F778" s="394"/>
      <c r="G778" s="395"/>
      <c r="H778" s="395"/>
      <c r="I778" s="395"/>
      <c r="J778" s="217">
        <v>771</v>
      </c>
    </row>
    <row r="779" spans="1:10" x14ac:dyDescent="0.35">
      <c r="A779" s="223" t="b">
        <f t="shared" si="12"/>
        <v>0</v>
      </c>
      <c r="B779" s="398"/>
      <c r="C779" s="394"/>
      <c r="D779" s="395"/>
      <c r="E779" s="393"/>
      <c r="F779" s="394"/>
      <c r="G779" s="395"/>
      <c r="H779" s="395"/>
      <c r="I779" s="395"/>
      <c r="J779" s="217">
        <v>772</v>
      </c>
    </row>
    <row r="780" spans="1:10" x14ac:dyDescent="0.35">
      <c r="A780" s="223" t="b">
        <f t="shared" si="12"/>
        <v>0</v>
      </c>
      <c r="B780" s="398"/>
      <c r="C780" s="394"/>
      <c r="D780" s="395"/>
      <c r="E780" s="393"/>
      <c r="F780" s="394"/>
      <c r="G780" s="395"/>
      <c r="H780" s="395"/>
      <c r="I780" s="395"/>
      <c r="J780" s="217">
        <v>773</v>
      </c>
    </row>
    <row r="781" spans="1:10" x14ac:dyDescent="0.35">
      <c r="A781" s="223" t="b">
        <f t="shared" si="12"/>
        <v>0</v>
      </c>
      <c r="B781" s="398"/>
      <c r="C781" s="394"/>
      <c r="D781" s="395"/>
      <c r="E781" s="393"/>
      <c r="F781" s="394"/>
      <c r="G781" s="395"/>
      <c r="H781" s="395"/>
      <c r="I781" s="395"/>
      <c r="J781" s="217">
        <v>774</v>
      </c>
    </row>
    <row r="782" spans="1:10" x14ac:dyDescent="0.35">
      <c r="A782" s="223" t="b">
        <f t="shared" si="12"/>
        <v>0</v>
      </c>
      <c r="B782" s="398"/>
      <c r="C782" s="394"/>
      <c r="D782" s="395"/>
      <c r="E782" s="393"/>
      <c r="F782" s="394"/>
      <c r="G782" s="395"/>
      <c r="H782" s="395"/>
      <c r="I782" s="395"/>
      <c r="J782" s="217">
        <v>775</v>
      </c>
    </row>
    <row r="783" spans="1:10" x14ac:dyDescent="0.35">
      <c r="A783" s="223" t="b">
        <f t="shared" si="12"/>
        <v>0</v>
      </c>
      <c r="B783" s="398"/>
      <c r="C783" s="394"/>
      <c r="D783" s="395"/>
      <c r="E783" s="393"/>
      <c r="F783" s="394"/>
      <c r="G783" s="395"/>
      <c r="H783" s="395"/>
      <c r="I783" s="395"/>
      <c r="J783" s="217">
        <v>776</v>
      </c>
    </row>
    <row r="784" spans="1:10" x14ac:dyDescent="0.35">
      <c r="A784" s="223" t="b">
        <f t="shared" si="12"/>
        <v>0</v>
      </c>
      <c r="B784" s="398"/>
      <c r="C784" s="394"/>
      <c r="D784" s="395"/>
      <c r="E784" s="393"/>
      <c r="F784" s="394"/>
      <c r="G784" s="395"/>
      <c r="H784" s="395"/>
      <c r="I784" s="395"/>
      <c r="J784" s="217">
        <v>777</v>
      </c>
    </row>
    <row r="785" spans="1:10" x14ac:dyDescent="0.35">
      <c r="A785" s="223" t="b">
        <f t="shared" si="12"/>
        <v>0</v>
      </c>
      <c r="B785" s="398"/>
      <c r="C785" s="394"/>
      <c r="D785" s="395"/>
      <c r="E785" s="393"/>
      <c r="F785" s="394"/>
      <c r="G785" s="395"/>
      <c r="H785" s="395"/>
      <c r="I785" s="395"/>
      <c r="J785" s="217">
        <v>778</v>
      </c>
    </row>
    <row r="786" spans="1:10" x14ac:dyDescent="0.35">
      <c r="A786" s="223" t="b">
        <f t="shared" si="12"/>
        <v>0</v>
      </c>
      <c r="B786" s="398"/>
      <c r="C786" s="394"/>
      <c r="D786" s="395"/>
      <c r="E786" s="393"/>
      <c r="F786" s="394"/>
      <c r="G786" s="395"/>
      <c r="H786" s="395"/>
      <c r="I786" s="395"/>
      <c r="J786" s="217">
        <v>779</v>
      </c>
    </row>
    <row r="787" spans="1:10" x14ac:dyDescent="0.35">
      <c r="A787" s="223" t="b">
        <f t="shared" si="12"/>
        <v>0</v>
      </c>
      <c r="B787" s="398"/>
      <c r="C787" s="394"/>
      <c r="D787" s="395"/>
      <c r="E787" s="393"/>
      <c r="F787" s="394"/>
      <c r="G787" s="395"/>
      <c r="H787" s="395"/>
      <c r="I787" s="395"/>
      <c r="J787" s="217">
        <v>780</v>
      </c>
    </row>
    <row r="788" spans="1:10" x14ac:dyDescent="0.35">
      <c r="A788" s="223" t="b">
        <f t="shared" si="12"/>
        <v>0</v>
      </c>
      <c r="B788" s="398"/>
      <c r="C788" s="394"/>
      <c r="D788" s="395"/>
      <c r="E788" s="393"/>
      <c r="F788" s="394"/>
      <c r="G788" s="395"/>
      <c r="H788" s="395"/>
      <c r="I788" s="395"/>
      <c r="J788" s="217">
        <v>781</v>
      </c>
    </row>
    <row r="789" spans="1:10" x14ac:dyDescent="0.35">
      <c r="A789" s="223" t="b">
        <f t="shared" si="12"/>
        <v>0</v>
      </c>
      <c r="B789" s="398"/>
      <c r="C789" s="394"/>
      <c r="D789" s="395"/>
      <c r="E789" s="393"/>
      <c r="F789" s="394"/>
      <c r="G789" s="395"/>
      <c r="H789" s="395"/>
      <c r="I789" s="395"/>
      <c r="J789" s="217">
        <v>782</v>
      </c>
    </row>
    <row r="790" spans="1:10" x14ac:dyDescent="0.35">
      <c r="A790" s="223" t="b">
        <f t="shared" si="12"/>
        <v>0</v>
      </c>
      <c r="B790" s="398"/>
      <c r="C790" s="394"/>
      <c r="D790" s="395"/>
      <c r="E790" s="393"/>
      <c r="F790" s="394"/>
      <c r="G790" s="395"/>
      <c r="H790" s="395"/>
      <c r="I790" s="395"/>
      <c r="J790" s="217">
        <v>783</v>
      </c>
    </row>
    <row r="791" spans="1:10" x14ac:dyDescent="0.35">
      <c r="A791" s="223" t="b">
        <f t="shared" si="12"/>
        <v>0</v>
      </c>
      <c r="B791" s="398"/>
      <c r="C791" s="394"/>
      <c r="D791" s="395"/>
      <c r="E791" s="393"/>
      <c r="F791" s="394"/>
      <c r="G791" s="395"/>
      <c r="H791" s="395"/>
      <c r="I791" s="395"/>
      <c r="J791" s="217">
        <v>784</v>
      </c>
    </row>
    <row r="792" spans="1:10" x14ac:dyDescent="0.35">
      <c r="A792" s="223" t="b">
        <f t="shared" si="12"/>
        <v>0</v>
      </c>
      <c r="B792" s="398"/>
      <c r="C792" s="394"/>
      <c r="D792" s="395"/>
      <c r="E792" s="393"/>
      <c r="F792" s="394"/>
      <c r="G792" s="395"/>
      <c r="H792" s="395"/>
      <c r="I792" s="395"/>
      <c r="J792" s="217">
        <v>785</v>
      </c>
    </row>
    <row r="793" spans="1:10" x14ac:dyDescent="0.35">
      <c r="A793" s="223" t="b">
        <f t="shared" si="12"/>
        <v>0</v>
      </c>
      <c r="B793" s="398"/>
      <c r="C793" s="394"/>
      <c r="D793" s="395"/>
      <c r="E793" s="393"/>
      <c r="F793" s="394"/>
      <c r="G793" s="395"/>
      <c r="H793" s="395"/>
      <c r="I793" s="395"/>
      <c r="J793" s="217">
        <v>786</v>
      </c>
    </row>
    <row r="794" spans="1:10" x14ac:dyDescent="0.35">
      <c r="A794" s="223" t="b">
        <f t="shared" si="12"/>
        <v>0</v>
      </c>
      <c r="B794" s="398"/>
      <c r="C794" s="394"/>
      <c r="D794" s="395"/>
      <c r="E794" s="393"/>
      <c r="F794" s="394"/>
      <c r="G794" s="395"/>
      <c r="H794" s="395"/>
      <c r="I794" s="395"/>
      <c r="J794" s="217">
        <v>787</v>
      </c>
    </row>
    <row r="795" spans="1:10" x14ac:dyDescent="0.35">
      <c r="A795" s="223" t="b">
        <f t="shared" si="12"/>
        <v>0</v>
      </c>
      <c r="B795" s="398"/>
      <c r="C795" s="394"/>
      <c r="D795" s="395"/>
      <c r="E795" s="393"/>
      <c r="F795" s="394"/>
      <c r="G795" s="395"/>
      <c r="H795" s="395"/>
      <c r="I795" s="395"/>
      <c r="J795" s="217">
        <v>788</v>
      </c>
    </row>
    <row r="796" spans="1:10" x14ac:dyDescent="0.35">
      <c r="A796" s="223" t="b">
        <f t="shared" si="12"/>
        <v>0</v>
      </c>
      <c r="B796" s="398"/>
      <c r="C796" s="394"/>
      <c r="D796" s="395"/>
      <c r="E796" s="393"/>
      <c r="F796" s="394"/>
      <c r="G796" s="395"/>
      <c r="H796" s="395"/>
      <c r="I796" s="395"/>
      <c r="J796" s="217">
        <v>789</v>
      </c>
    </row>
    <row r="797" spans="1:10" x14ac:dyDescent="0.35">
      <c r="A797" s="223" t="b">
        <f t="shared" si="12"/>
        <v>0</v>
      </c>
      <c r="B797" s="398"/>
      <c r="C797" s="394"/>
      <c r="D797" s="395"/>
      <c r="E797" s="393"/>
      <c r="F797" s="394"/>
      <c r="G797" s="395"/>
      <c r="H797" s="395"/>
      <c r="I797" s="395"/>
      <c r="J797" s="217">
        <v>790</v>
      </c>
    </row>
    <row r="798" spans="1:10" x14ac:dyDescent="0.35">
      <c r="A798" s="223" t="b">
        <f t="shared" si="12"/>
        <v>0</v>
      </c>
      <c r="B798" s="398"/>
      <c r="C798" s="394"/>
      <c r="D798" s="395"/>
      <c r="E798" s="393"/>
      <c r="F798" s="394"/>
      <c r="G798" s="395"/>
      <c r="H798" s="395"/>
      <c r="I798" s="395"/>
      <c r="J798" s="217">
        <v>791</v>
      </c>
    </row>
    <row r="799" spans="1:10" x14ac:dyDescent="0.35">
      <c r="A799" s="223" t="b">
        <f t="shared" si="12"/>
        <v>0</v>
      </c>
      <c r="B799" s="398"/>
      <c r="C799" s="394"/>
      <c r="D799" s="395"/>
      <c r="E799" s="393"/>
      <c r="F799" s="394"/>
      <c r="G799" s="395"/>
      <c r="H799" s="395"/>
      <c r="I799" s="395"/>
      <c r="J799" s="217">
        <v>792</v>
      </c>
    </row>
    <row r="800" spans="1:10" x14ac:dyDescent="0.35">
      <c r="A800" s="223" t="b">
        <f t="shared" si="12"/>
        <v>0</v>
      </c>
      <c r="B800" s="398"/>
      <c r="C800" s="394"/>
      <c r="D800" s="395"/>
      <c r="E800" s="393"/>
      <c r="F800" s="394"/>
      <c r="G800" s="395"/>
      <c r="H800" s="395"/>
      <c r="I800" s="395"/>
      <c r="J800" s="217">
        <v>793</v>
      </c>
    </row>
    <row r="801" spans="1:10" x14ac:dyDescent="0.35">
      <c r="A801" s="223" t="b">
        <f t="shared" si="12"/>
        <v>0</v>
      </c>
      <c r="B801" s="398"/>
      <c r="C801" s="394"/>
      <c r="D801" s="395"/>
      <c r="E801" s="393"/>
      <c r="F801" s="394"/>
      <c r="G801" s="395"/>
      <c r="H801" s="395"/>
      <c r="I801" s="395"/>
      <c r="J801" s="217">
        <v>794</v>
      </c>
    </row>
    <row r="802" spans="1:10" x14ac:dyDescent="0.35">
      <c r="A802" s="223" t="b">
        <f t="shared" si="12"/>
        <v>0</v>
      </c>
      <c r="B802" s="398"/>
      <c r="C802" s="394"/>
      <c r="D802" s="395"/>
      <c r="E802" s="393"/>
      <c r="F802" s="394"/>
      <c r="G802" s="395"/>
      <c r="H802" s="395"/>
      <c r="I802" s="395"/>
      <c r="J802" s="217">
        <v>795</v>
      </c>
    </row>
    <row r="803" spans="1:10" x14ac:dyDescent="0.35">
      <c r="A803" s="223" t="b">
        <f t="shared" si="12"/>
        <v>0</v>
      </c>
      <c r="B803" s="398"/>
      <c r="C803" s="394"/>
      <c r="D803" s="395"/>
      <c r="E803" s="393"/>
      <c r="F803" s="394"/>
      <c r="G803" s="395"/>
      <c r="H803" s="395"/>
      <c r="I803" s="395"/>
      <c r="J803" s="217">
        <v>796</v>
      </c>
    </row>
    <row r="804" spans="1:10" x14ac:dyDescent="0.35">
      <c r="A804" s="223" t="b">
        <f t="shared" si="12"/>
        <v>0</v>
      </c>
      <c r="B804" s="398"/>
      <c r="C804" s="394"/>
      <c r="D804" s="395"/>
      <c r="E804" s="393"/>
      <c r="F804" s="394"/>
      <c r="G804" s="395"/>
      <c r="H804" s="395"/>
      <c r="I804" s="395"/>
      <c r="J804" s="217">
        <v>797</v>
      </c>
    </row>
    <row r="805" spans="1:10" x14ac:dyDescent="0.35">
      <c r="A805" s="223" t="b">
        <f t="shared" si="12"/>
        <v>0</v>
      </c>
      <c r="B805" s="398"/>
      <c r="C805" s="394"/>
      <c r="D805" s="395"/>
      <c r="E805" s="393"/>
      <c r="F805" s="394"/>
      <c r="G805" s="395"/>
      <c r="H805" s="395"/>
      <c r="I805" s="395"/>
      <c r="J805" s="217">
        <v>798</v>
      </c>
    </row>
    <row r="806" spans="1:10" x14ac:dyDescent="0.35">
      <c r="A806" s="223" t="b">
        <f t="shared" si="12"/>
        <v>0</v>
      </c>
      <c r="B806" s="398"/>
      <c r="C806" s="394"/>
      <c r="D806" s="395"/>
      <c r="E806" s="393"/>
      <c r="F806" s="394"/>
      <c r="G806" s="395"/>
      <c r="H806" s="395"/>
      <c r="I806" s="395"/>
      <c r="J806" s="217">
        <v>799</v>
      </c>
    </row>
    <row r="807" spans="1:10" x14ac:dyDescent="0.35">
      <c r="A807" s="223" t="b">
        <f t="shared" si="12"/>
        <v>0</v>
      </c>
      <c r="B807" s="398"/>
      <c r="C807" s="394"/>
      <c r="D807" s="395"/>
      <c r="E807" s="393"/>
      <c r="F807" s="394"/>
      <c r="G807" s="395"/>
      <c r="H807" s="395"/>
      <c r="I807" s="395"/>
      <c r="J807" s="217">
        <v>800</v>
      </c>
    </row>
    <row r="808" spans="1:10" x14ac:dyDescent="0.35">
      <c r="A808" s="223" t="b">
        <f t="shared" si="12"/>
        <v>0</v>
      </c>
      <c r="B808" s="398"/>
      <c r="C808" s="394"/>
      <c r="D808" s="395"/>
      <c r="E808" s="393"/>
      <c r="F808" s="394"/>
      <c r="G808" s="395"/>
      <c r="H808" s="395"/>
      <c r="I808" s="395"/>
      <c r="J808" s="217">
        <v>801</v>
      </c>
    </row>
    <row r="809" spans="1:10" x14ac:dyDescent="0.35">
      <c r="A809" s="223" t="b">
        <f t="shared" si="12"/>
        <v>0</v>
      </c>
      <c r="B809" s="398"/>
      <c r="C809" s="394"/>
      <c r="D809" s="395"/>
      <c r="E809" s="393"/>
      <c r="F809" s="394"/>
      <c r="G809" s="395"/>
      <c r="H809" s="395"/>
      <c r="I809" s="395"/>
      <c r="J809" s="217">
        <v>802</v>
      </c>
    </row>
    <row r="810" spans="1:10" x14ac:dyDescent="0.35">
      <c r="A810" s="223" t="b">
        <f t="shared" si="12"/>
        <v>0</v>
      </c>
      <c r="B810" s="398"/>
      <c r="C810" s="394"/>
      <c r="D810" s="395"/>
      <c r="E810" s="393"/>
      <c r="F810" s="394"/>
      <c r="G810" s="395"/>
      <c r="H810" s="395"/>
      <c r="I810" s="395"/>
      <c r="J810" s="217">
        <v>803</v>
      </c>
    </row>
    <row r="811" spans="1:10" x14ac:dyDescent="0.35">
      <c r="A811" s="223" t="b">
        <f t="shared" si="12"/>
        <v>0</v>
      </c>
      <c r="B811" s="398"/>
      <c r="C811" s="394"/>
      <c r="D811" s="395"/>
      <c r="E811" s="393"/>
      <c r="F811" s="394"/>
      <c r="G811" s="395"/>
      <c r="H811" s="395"/>
      <c r="I811" s="395"/>
      <c r="J811" s="217">
        <v>804</v>
      </c>
    </row>
    <row r="812" spans="1:10" x14ac:dyDescent="0.35">
      <c r="A812" s="223" t="b">
        <f t="shared" si="12"/>
        <v>0</v>
      </c>
      <c r="B812" s="398"/>
      <c r="C812" s="394"/>
      <c r="D812" s="395"/>
      <c r="E812" s="393"/>
      <c r="F812" s="394"/>
      <c r="G812" s="395"/>
      <c r="H812" s="395"/>
      <c r="I812" s="395"/>
      <c r="J812" s="217">
        <v>805</v>
      </c>
    </row>
    <row r="813" spans="1:10" x14ac:dyDescent="0.35">
      <c r="A813" s="223" t="b">
        <f t="shared" si="12"/>
        <v>0</v>
      </c>
      <c r="B813" s="398"/>
      <c r="C813" s="394"/>
      <c r="D813" s="395"/>
      <c r="E813" s="393"/>
      <c r="F813" s="394"/>
      <c r="G813" s="395"/>
      <c r="H813" s="395"/>
      <c r="I813" s="395"/>
      <c r="J813" s="217">
        <v>806</v>
      </c>
    </row>
    <row r="814" spans="1:10" x14ac:dyDescent="0.35">
      <c r="A814" s="223" t="b">
        <f t="shared" si="12"/>
        <v>0</v>
      </c>
      <c r="B814" s="398"/>
      <c r="C814" s="394"/>
      <c r="D814" s="395"/>
      <c r="E814" s="393"/>
      <c r="F814" s="394"/>
      <c r="G814" s="395"/>
      <c r="H814" s="395"/>
      <c r="I814" s="395"/>
      <c r="J814" s="217">
        <v>807</v>
      </c>
    </row>
    <row r="815" spans="1:10" x14ac:dyDescent="0.35">
      <c r="A815" s="223" t="b">
        <f t="shared" si="12"/>
        <v>0</v>
      </c>
      <c r="B815" s="398"/>
      <c r="C815" s="394"/>
      <c r="D815" s="395"/>
      <c r="E815" s="393"/>
      <c r="F815" s="394"/>
      <c r="G815" s="395"/>
      <c r="H815" s="395"/>
      <c r="I815" s="395"/>
      <c r="J815" s="217">
        <v>808</v>
      </c>
    </row>
    <row r="816" spans="1:10" x14ac:dyDescent="0.35">
      <c r="A816" s="223" t="b">
        <f t="shared" si="12"/>
        <v>0</v>
      </c>
      <c r="B816" s="398"/>
      <c r="C816" s="394"/>
      <c r="D816" s="395"/>
      <c r="E816" s="393"/>
      <c r="F816" s="394"/>
      <c r="G816" s="395"/>
      <c r="H816" s="395"/>
      <c r="I816" s="395"/>
      <c r="J816" s="217">
        <v>809</v>
      </c>
    </row>
    <row r="817" spans="1:10" x14ac:dyDescent="0.35">
      <c r="A817" s="223" t="b">
        <f t="shared" si="12"/>
        <v>0</v>
      </c>
      <c r="B817" s="398"/>
      <c r="C817" s="394"/>
      <c r="D817" s="395"/>
      <c r="E817" s="393"/>
      <c r="F817" s="394"/>
      <c r="G817" s="395"/>
      <c r="H817" s="395"/>
      <c r="I817" s="395"/>
      <c r="J817" s="217">
        <v>810</v>
      </c>
    </row>
    <row r="818" spans="1:10" x14ac:dyDescent="0.35">
      <c r="A818" s="223" t="b">
        <f t="shared" si="12"/>
        <v>0</v>
      </c>
      <c r="B818" s="398"/>
      <c r="C818" s="394"/>
      <c r="D818" s="395"/>
      <c r="E818" s="393"/>
      <c r="F818" s="394"/>
      <c r="G818" s="395"/>
      <c r="H818" s="395"/>
      <c r="I818" s="395"/>
      <c r="J818" s="217">
        <v>811</v>
      </c>
    </row>
    <row r="819" spans="1:10" x14ac:dyDescent="0.35">
      <c r="A819" s="223" t="b">
        <f t="shared" si="12"/>
        <v>0</v>
      </c>
      <c r="B819" s="398"/>
      <c r="C819" s="394"/>
      <c r="D819" s="395"/>
      <c r="E819" s="393"/>
      <c r="F819" s="394"/>
      <c r="G819" s="395"/>
      <c r="H819" s="395"/>
      <c r="I819" s="395"/>
      <c r="J819" s="217">
        <v>812</v>
      </c>
    </row>
    <row r="820" spans="1:10" x14ac:dyDescent="0.35">
      <c r="A820" s="223" t="b">
        <f t="shared" si="12"/>
        <v>0</v>
      </c>
      <c r="B820" s="398"/>
      <c r="C820" s="394"/>
      <c r="D820" s="395"/>
      <c r="E820" s="393"/>
      <c r="F820" s="394"/>
      <c r="G820" s="395"/>
      <c r="H820" s="395"/>
      <c r="I820" s="395"/>
      <c r="J820" s="217">
        <v>813</v>
      </c>
    </row>
    <row r="821" spans="1:10" x14ac:dyDescent="0.35">
      <c r="A821" s="223" t="b">
        <f t="shared" si="12"/>
        <v>0</v>
      </c>
      <c r="B821" s="398"/>
      <c r="C821" s="394"/>
      <c r="D821" s="395"/>
      <c r="E821" s="393"/>
      <c r="F821" s="394"/>
      <c r="G821" s="395"/>
      <c r="H821" s="395"/>
      <c r="I821" s="395"/>
      <c r="J821" s="217">
        <v>814</v>
      </c>
    </row>
    <row r="822" spans="1:10" x14ac:dyDescent="0.35">
      <c r="A822" s="223" t="b">
        <f t="shared" si="12"/>
        <v>0</v>
      </c>
      <c r="B822" s="398"/>
      <c r="C822" s="394"/>
      <c r="D822" s="395"/>
      <c r="E822" s="393"/>
      <c r="F822" s="394"/>
      <c r="G822" s="395"/>
      <c r="H822" s="395"/>
      <c r="I822" s="395"/>
      <c r="J822" s="217">
        <v>815</v>
      </c>
    </row>
    <row r="823" spans="1:10" x14ac:dyDescent="0.35">
      <c r="A823" s="223" t="b">
        <f t="shared" si="12"/>
        <v>0</v>
      </c>
      <c r="B823" s="398"/>
      <c r="C823" s="394"/>
      <c r="D823" s="395"/>
      <c r="E823" s="393"/>
      <c r="F823" s="394"/>
      <c r="G823" s="395"/>
      <c r="H823" s="395"/>
      <c r="I823" s="395"/>
      <c r="J823" s="217">
        <v>816</v>
      </c>
    </row>
    <row r="824" spans="1:10" x14ac:dyDescent="0.35">
      <c r="A824" s="223" t="b">
        <f t="shared" si="12"/>
        <v>0</v>
      </c>
      <c r="B824" s="398"/>
      <c r="C824" s="394"/>
      <c r="D824" s="395"/>
      <c r="E824" s="393"/>
      <c r="F824" s="394"/>
      <c r="G824" s="395"/>
      <c r="H824" s="395"/>
      <c r="I824" s="395"/>
      <c r="J824" s="217">
        <v>817</v>
      </c>
    </row>
    <row r="825" spans="1:10" x14ac:dyDescent="0.35">
      <c r="A825" s="223" t="b">
        <f t="shared" si="12"/>
        <v>0</v>
      </c>
      <c r="B825" s="398"/>
      <c r="C825" s="394"/>
      <c r="D825" s="395"/>
      <c r="E825" s="393"/>
      <c r="F825" s="394"/>
      <c r="G825" s="395"/>
      <c r="H825" s="395"/>
      <c r="I825" s="395"/>
      <c r="J825" s="217">
        <v>818</v>
      </c>
    </row>
    <row r="826" spans="1:10" x14ac:dyDescent="0.35">
      <c r="A826" s="223" t="b">
        <f t="shared" si="12"/>
        <v>0</v>
      </c>
      <c r="B826" s="398"/>
      <c r="C826" s="394"/>
      <c r="D826" s="395"/>
      <c r="E826" s="393"/>
      <c r="F826" s="394"/>
      <c r="G826" s="395"/>
      <c r="H826" s="395"/>
      <c r="I826" s="395"/>
      <c r="J826" s="217">
        <v>819</v>
      </c>
    </row>
    <row r="827" spans="1:10" x14ac:dyDescent="0.35">
      <c r="A827" s="223" t="b">
        <f t="shared" si="12"/>
        <v>0</v>
      </c>
      <c r="B827" s="398"/>
      <c r="C827" s="394"/>
      <c r="D827" s="395"/>
      <c r="E827" s="393"/>
      <c r="F827" s="394"/>
      <c r="G827" s="395"/>
      <c r="H827" s="395"/>
      <c r="I827" s="395"/>
      <c r="J827" s="217">
        <v>820</v>
      </c>
    </row>
    <row r="828" spans="1:10" x14ac:dyDescent="0.35">
      <c r="A828" s="223" t="b">
        <f t="shared" si="12"/>
        <v>0</v>
      </c>
      <c r="B828" s="398"/>
      <c r="C828" s="394"/>
      <c r="D828" s="395"/>
      <c r="E828" s="393"/>
      <c r="F828" s="394"/>
      <c r="G828" s="395"/>
      <c r="H828" s="395"/>
      <c r="I828" s="395"/>
      <c r="J828" s="217">
        <v>821</v>
      </c>
    </row>
    <row r="829" spans="1:10" x14ac:dyDescent="0.35">
      <c r="A829" s="223" t="b">
        <f t="shared" si="12"/>
        <v>0</v>
      </c>
      <c r="B829" s="398"/>
      <c r="C829" s="394"/>
      <c r="D829" s="395"/>
      <c r="E829" s="393"/>
      <c r="F829" s="394"/>
      <c r="G829" s="395"/>
      <c r="H829" s="395"/>
      <c r="I829" s="395"/>
      <c r="J829" s="217">
        <v>822</v>
      </c>
    </row>
    <row r="830" spans="1:10" x14ac:dyDescent="0.35">
      <c r="A830" s="223" t="b">
        <f t="shared" si="12"/>
        <v>0</v>
      </c>
      <c r="B830" s="398"/>
      <c r="C830" s="394"/>
      <c r="D830" s="395"/>
      <c r="E830" s="393"/>
      <c r="F830" s="394"/>
      <c r="G830" s="395"/>
      <c r="H830" s="395"/>
      <c r="I830" s="395"/>
      <c r="J830" s="217">
        <v>823</v>
      </c>
    </row>
    <row r="831" spans="1:10" x14ac:dyDescent="0.35">
      <c r="A831" s="223" t="b">
        <f t="shared" si="12"/>
        <v>0</v>
      </c>
      <c r="B831" s="398"/>
      <c r="C831" s="394"/>
      <c r="D831" s="395"/>
      <c r="E831" s="393"/>
      <c r="F831" s="394"/>
      <c r="G831" s="395"/>
      <c r="H831" s="395"/>
      <c r="I831" s="395"/>
      <c r="J831" s="217">
        <v>824</v>
      </c>
    </row>
    <row r="832" spans="1:10" x14ac:dyDescent="0.35">
      <c r="A832" s="223" t="b">
        <f t="shared" si="12"/>
        <v>0</v>
      </c>
      <c r="B832" s="398"/>
      <c r="C832" s="394"/>
      <c r="D832" s="395"/>
      <c r="E832" s="393"/>
      <c r="F832" s="394"/>
      <c r="G832" s="395"/>
      <c r="H832" s="395"/>
      <c r="I832" s="395"/>
      <c r="J832" s="217">
        <v>825</v>
      </c>
    </row>
    <row r="833" spans="1:10" x14ac:dyDescent="0.35">
      <c r="A833" s="223" t="b">
        <f t="shared" si="12"/>
        <v>0</v>
      </c>
      <c r="B833" s="398"/>
      <c r="C833" s="394"/>
      <c r="D833" s="395"/>
      <c r="E833" s="393"/>
      <c r="F833" s="394"/>
      <c r="G833" s="395"/>
      <c r="H833" s="395"/>
      <c r="I833" s="395"/>
      <c r="J833" s="217">
        <v>826</v>
      </c>
    </row>
    <row r="834" spans="1:10" x14ac:dyDescent="0.35">
      <c r="A834" s="223" t="b">
        <f t="shared" si="12"/>
        <v>0</v>
      </c>
      <c r="B834" s="398"/>
      <c r="C834" s="394"/>
      <c r="D834" s="395"/>
      <c r="E834" s="393"/>
      <c r="F834" s="394"/>
      <c r="G834" s="395"/>
      <c r="H834" s="395"/>
      <c r="I834" s="395"/>
      <c r="J834" s="217">
        <v>827</v>
      </c>
    </row>
    <row r="835" spans="1:10" x14ac:dyDescent="0.35">
      <c r="A835" s="223" t="b">
        <f t="shared" si="12"/>
        <v>0</v>
      </c>
      <c r="B835" s="398"/>
      <c r="C835" s="394"/>
      <c r="D835" s="395"/>
      <c r="E835" s="393"/>
      <c r="F835" s="394"/>
      <c r="G835" s="395"/>
      <c r="H835" s="395"/>
      <c r="I835" s="395"/>
      <c r="J835" s="217">
        <v>828</v>
      </c>
    </row>
    <row r="836" spans="1:10" x14ac:dyDescent="0.35">
      <c r="A836" s="223" t="b">
        <f t="shared" si="12"/>
        <v>0</v>
      </c>
      <c r="B836" s="398"/>
      <c r="C836" s="394"/>
      <c r="D836" s="395"/>
      <c r="E836" s="393"/>
      <c r="F836" s="394"/>
      <c r="G836" s="395"/>
      <c r="H836" s="395"/>
      <c r="I836" s="395"/>
      <c r="J836" s="217">
        <v>829</v>
      </c>
    </row>
    <row r="837" spans="1:10" x14ac:dyDescent="0.35">
      <c r="A837" s="223" t="b">
        <f t="shared" si="12"/>
        <v>0</v>
      </c>
      <c r="B837" s="398"/>
      <c r="C837" s="394"/>
      <c r="D837" s="395"/>
      <c r="E837" s="393"/>
      <c r="F837" s="394"/>
      <c r="G837" s="395"/>
      <c r="H837" s="395"/>
      <c r="I837" s="395"/>
      <c r="J837" s="217">
        <v>830</v>
      </c>
    </row>
    <row r="838" spans="1:10" x14ac:dyDescent="0.35">
      <c r="A838" s="223" t="b">
        <f t="shared" si="12"/>
        <v>0</v>
      </c>
      <c r="B838" s="398"/>
      <c r="C838" s="394"/>
      <c r="D838" s="395"/>
      <c r="E838" s="393"/>
      <c r="F838" s="394"/>
      <c r="G838" s="395"/>
      <c r="H838" s="395"/>
      <c r="I838" s="395"/>
      <c r="J838" s="217">
        <v>831</v>
      </c>
    </row>
    <row r="839" spans="1:10" x14ac:dyDescent="0.35">
      <c r="A839" s="223" t="b">
        <f t="shared" si="12"/>
        <v>0</v>
      </c>
      <c r="B839" s="398"/>
      <c r="C839" s="394"/>
      <c r="D839" s="395"/>
      <c r="E839" s="393"/>
      <c r="F839" s="394"/>
      <c r="G839" s="395"/>
      <c r="H839" s="395"/>
      <c r="I839" s="395"/>
      <c r="J839" s="217">
        <v>832</v>
      </c>
    </row>
    <row r="840" spans="1:10" x14ac:dyDescent="0.35">
      <c r="A840" s="223" t="b">
        <f t="shared" ref="A840:A903" si="13">OR(B840&lt;&gt;"",D840&lt;&gt;"",C840&lt;&gt;"",E840&lt;&gt;"",F840&lt;&gt;"",G840&lt;&gt;"")</f>
        <v>0</v>
      </c>
      <c r="B840" s="398"/>
      <c r="C840" s="394"/>
      <c r="D840" s="395"/>
      <c r="E840" s="393"/>
      <c r="F840" s="394"/>
      <c r="G840" s="395"/>
      <c r="H840" s="395"/>
      <c r="I840" s="395"/>
      <c r="J840" s="217">
        <v>833</v>
      </c>
    </row>
    <row r="841" spans="1:10" x14ac:dyDescent="0.35">
      <c r="A841" s="223" t="b">
        <f t="shared" si="13"/>
        <v>0</v>
      </c>
      <c r="B841" s="398"/>
      <c r="C841" s="394"/>
      <c r="D841" s="395"/>
      <c r="E841" s="393"/>
      <c r="F841" s="394"/>
      <c r="G841" s="395"/>
      <c r="H841" s="395"/>
      <c r="I841" s="395"/>
      <c r="J841" s="217">
        <v>834</v>
      </c>
    </row>
    <row r="842" spans="1:10" x14ac:dyDescent="0.35">
      <c r="A842" s="223" t="b">
        <f t="shared" si="13"/>
        <v>0</v>
      </c>
      <c r="B842" s="398"/>
      <c r="C842" s="394"/>
      <c r="D842" s="395"/>
      <c r="E842" s="393"/>
      <c r="F842" s="394"/>
      <c r="G842" s="395"/>
      <c r="H842" s="395"/>
      <c r="I842" s="395"/>
      <c r="J842" s="217">
        <v>835</v>
      </c>
    </row>
    <row r="843" spans="1:10" x14ac:dyDescent="0.35">
      <c r="A843" s="223" t="b">
        <f t="shared" si="13"/>
        <v>0</v>
      </c>
      <c r="B843" s="398"/>
      <c r="C843" s="394"/>
      <c r="D843" s="395"/>
      <c r="E843" s="393"/>
      <c r="F843" s="394"/>
      <c r="G843" s="395"/>
      <c r="H843" s="395"/>
      <c r="I843" s="395"/>
      <c r="J843" s="217">
        <v>836</v>
      </c>
    </row>
    <row r="844" spans="1:10" x14ac:dyDescent="0.35">
      <c r="A844" s="223" t="b">
        <f t="shared" si="13"/>
        <v>0</v>
      </c>
      <c r="B844" s="398"/>
      <c r="C844" s="394"/>
      <c r="D844" s="395"/>
      <c r="E844" s="393"/>
      <c r="F844" s="394"/>
      <c r="G844" s="395"/>
      <c r="H844" s="395"/>
      <c r="I844" s="395"/>
      <c r="J844" s="217">
        <v>837</v>
      </c>
    </row>
    <row r="845" spans="1:10" x14ac:dyDescent="0.35">
      <c r="A845" s="223" t="b">
        <f t="shared" si="13"/>
        <v>0</v>
      </c>
      <c r="B845" s="398"/>
      <c r="C845" s="394"/>
      <c r="D845" s="395"/>
      <c r="E845" s="393"/>
      <c r="F845" s="394"/>
      <c r="G845" s="395"/>
      <c r="H845" s="395"/>
      <c r="I845" s="395"/>
      <c r="J845" s="217">
        <v>838</v>
      </c>
    </row>
    <row r="846" spans="1:10" x14ac:dyDescent="0.35">
      <c r="A846" s="223" t="b">
        <f t="shared" si="13"/>
        <v>0</v>
      </c>
      <c r="B846" s="398"/>
      <c r="C846" s="394"/>
      <c r="D846" s="395"/>
      <c r="E846" s="393"/>
      <c r="F846" s="394"/>
      <c r="G846" s="395"/>
      <c r="H846" s="395"/>
      <c r="I846" s="395"/>
      <c r="J846" s="217">
        <v>839</v>
      </c>
    </row>
    <row r="847" spans="1:10" x14ac:dyDescent="0.35">
      <c r="A847" s="223" t="b">
        <f t="shared" si="13"/>
        <v>0</v>
      </c>
      <c r="B847" s="398"/>
      <c r="C847" s="394"/>
      <c r="D847" s="395"/>
      <c r="E847" s="393"/>
      <c r="F847" s="394"/>
      <c r="G847" s="395"/>
      <c r="H847" s="395"/>
      <c r="I847" s="395"/>
      <c r="J847" s="217">
        <v>840</v>
      </c>
    </row>
    <row r="848" spans="1:10" x14ac:dyDescent="0.35">
      <c r="A848" s="223" t="b">
        <f t="shared" si="13"/>
        <v>0</v>
      </c>
      <c r="B848" s="398"/>
      <c r="C848" s="394"/>
      <c r="D848" s="395"/>
      <c r="E848" s="393"/>
      <c r="F848" s="394"/>
      <c r="G848" s="395"/>
      <c r="H848" s="395"/>
      <c r="I848" s="395"/>
      <c r="J848" s="217">
        <v>841</v>
      </c>
    </row>
    <row r="849" spans="1:10" x14ac:dyDescent="0.35">
      <c r="A849" s="223" t="b">
        <f t="shared" si="13"/>
        <v>0</v>
      </c>
      <c r="B849" s="398"/>
      <c r="C849" s="394"/>
      <c r="D849" s="395"/>
      <c r="E849" s="393"/>
      <c r="F849" s="394"/>
      <c r="G849" s="395"/>
      <c r="H849" s="395"/>
      <c r="I849" s="395"/>
      <c r="J849" s="217">
        <v>842</v>
      </c>
    </row>
    <row r="850" spans="1:10" x14ac:dyDescent="0.35">
      <c r="A850" s="223" t="b">
        <f t="shared" si="13"/>
        <v>0</v>
      </c>
      <c r="B850" s="398"/>
      <c r="C850" s="394"/>
      <c r="D850" s="395"/>
      <c r="E850" s="393"/>
      <c r="F850" s="394"/>
      <c r="G850" s="395"/>
      <c r="H850" s="395"/>
      <c r="I850" s="395"/>
      <c r="J850" s="217">
        <v>843</v>
      </c>
    </row>
    <row r="851" spans="1:10" x14ac:dyDescent="0.35">
      <c r="A851" s="223" t="b">
        <f t="shared" si="13"/>
        <v>0</v>
      </c>
      <c r="B851" s="398"/>
      <c r="C851" s="394"/>
      <c r="D851" s="395"/>
      <c r="E851" s="393"/>
      <c r="F851" s="394"/>
      <c r="G851" s="395"/>
      <c r="H851" s="395"/>
      <c r="I851" s="395"/>
      <c r="J851" s="217">
        <v>844</v>
      </c>
    </row>
    <row r="852" spans="1:10" x14ac:dyDescent="0.35">
      <c r="A852" s="223" t="b">
        <f t="shared" si="13"/>
        <v>0</v>
      </c>
      <c r="B852" s="398"/>
      <c r="C852" s="394"/>
      <c r="D852" s="395"/>
      <c r="E852" s="393"/>
      <c r="F852" s="394"/>
      <c r="G852" s="395"/>
      <c r="H852" s="395"/>
      <c r="I852" s="395"/>
      <c r="J852" s="217">
        <v>845</v>
      </c>
    </row>
    <row r="853" spans="1:10" x14ac:dyDescent="0.35">
      <c r="A853" s="223" t="b">
        <f t="shared" si="13"/>
        <v>0</v>
      </c>
      <c r="B853" s="398"/>
      <c r="C853" s="394"/>
      <c r="D853" s="395"/>
      <c r="E853" s="393"/>
      <c r="F853" s="394"/>
      <c r="G853" s="395"/>
      <c r="H853" s="395"/>
      <c r="I853" s="395"/>
      <c r="J853" s="217">
        <v>846</v>
      </c>
    </row>
    <row r="854" spans="1:10" x14ac:dyDescent="0.35">
      <c r="A854" s="223" t="b">
        <f t="shared" si="13"/>
        <v>0</v>
      </c>
      <c r="B854" s="398"/>
      <c r="C854" s="394"/>
      <c r="D854" s="395"/>
      <c r="E854" s="393"/>
      <c r="F854" s="394"/>
      <c r="G854" s="395"/>
      <c r="H854" s="395"/>
      <c r="I854" s="395"/>
      <c r="J854" s="217">
        <v>847</v>
      </c>
    </row>
    <row r="855" spans="1:10" x14ac:dyDescent="0.35">
      <c r="A855" s="223" t="b">
        <f t="shared" si="13"/>
        <v>0</v>
      </c>
      <c r="B855" s="398"/>
      <c r="C855" s="394"/>
      <c r="D855" s="395"/>
      <c r="E855" s="393"/>
      <c r="F855" s="394"/>
      <c r="G855" s="395"/>
      <c r="H855" s="395"/>
      <c r="I855" s="395"/>
      <c r="J855" s="217">
        <v>848</v>
      </c>
    </row>
    <row r="856" spans="1:10" x14ac:dyDescent="0.35">
      <c r="A856" s="223" t="b">
        <f t="shared" si="13"/>
        <v>0</v>
      </c>
      <c r="B856" s="398"/>
      <c r="C856" s="394"/>
      <c r="D856" s="395"/>
      <c r="E856" s="393"/>
      <c r="F856" s="394"/>
      <c r="G856" s="395"/>
      <c r="H856" s="395"/>
      <c r="I856" s="395"/>
      <c r="J856" s="217">
        <v>849</v>
      </c>
    </row>
    <row r="857" spans="1:10" x14ac:dyDescent="0.35">
      <c r="A857" s="223" t="b">
        <f t="shared" si="13"/>
        <v>0</v>
      </c>
      <c r="B857" s="398"/>
      <c r="C857" s="394"/>
      <c r="D857" s="395"/>
      <c r="E857" s="393"/>
      <c r="F857" s="394"/>
      <c r="G857" s="395"/>
      <c r="H857" s="395"/>
      <c r="I857" s="395"/>
      <c r="J857" s="217">
        <v>850</v>
      </c>
    </row>
    <row r="858" spans="1:10" x14ac:dyDescent="0.35">
      <c r="A858" s="223" t="b">
        <f t="shared" si="13"/>
        <v>0</v>
      </c>
      <c r="B858" s="398"/>
      <c r="C858" s="394"/>
      <c r="D858" s="395"/>
      <c r="E858" s="393"/>
      <c r="F858" s="394"/>
      <c r="G858" s="395"/>
      <c r="H858" s="395"/>
      <c r="I858" s="395"/>
      <c r="J858" s="217">
        <v>851</v>
      </c>
    </row>
    <row r="859" spans="1:10" x14ac:dyDescent="0.35">
      <c r="A859" s="223" t="b">
        <f t="shared" si="13"/>
        <v>0</v>
      </c>
      <c r="B859" s="398"/>
      <c r="C859" s="394"/>
      <c r="D859" s="395"/>
      <c r="E859" s="393"/>
      <c r="F859" s="394"/>
      <c r="G859" s="395"/>
      <c r="H859" s="395"/>
      <c r="I859" s="395"/>
      <c r="J859" s="217">
        <v>852</v>
      </c>
    </row>
    <row r="860" spans="1:10" x14ac:dyDescent="0.35">
      <c r="A860" s="223" t="b">
        <f t="shared" si="13"/>
        <v>0</v>
      </c>
      <c r="B860" s="398"/>
      <c r="C860" s="394"/>
      <c r="D860" s="395"/>
      <c r="E860" s="393"/>
      <c r="F860" s="394"/>
      <c r="G860" s="395"/>
      <c r="H860" s="395"/>
      <c r="I860" s="395"/>
      <c r="J860" s="217">
        <v>853</v>
      </c>
    </row>
    <row r="861" spans="1:10" x14ac:dyDescent="0.35">
      <c r="A861" s="223" t="b">
        <f t="shared" si="13"/>
        <v>0</v>
      </c>
      <c r="B861" s="398"/>
      <c r="C861" s="394"/>
      <c r="D861" s="395"/>
      <c r="E861" s="393"/>
      <c r="F861" s="394"/>
      <c r="G861" s="395"/>
      <c r="H861" s="395"/>
      <c r="I861" s="395"/>
      <c r="J861" s="217">
        <v>854</v>
      </c>
    </row>
    <row r="862" spans="1:10" x14ac:dyDescent="0.35">
      <c r="A862" s="223" t="b">
        <f t="shared" si="13"/>
        <v>0</v>
      </c>
      <c r="B862" s="398"/>
      <c r="C862" s="394"/>
      <c r="D862" s="395"/>
      <c r="E862" s="393"/>
      <c r="F862" s="394"/>
      <c r="G862" s="395"/>
      <c r="H862" s="395"/>
      <c r="I862" s="395"/>
      <c r="J862" s="217">
        <v>855</v>
      </c>
    </row>
    <row r="863" spans="1:10" x14ac:dyDescent="0.35">
      <c r="A863" s="223" t="b">
        <f t="shared" si="13"/>
        <v>0</v>
      </c>
      <c r="B863" s="398"/>
      <c r="C863" s="394"/>
      <c r="D863" s="395"/>
      <c r="E863" s="393"/>
      <c r="F863" s="394"/>
      <c r="G863" s="395"/>
      <c r="H863" s="395"/>
      <c r="I863" s="395"/>
      <c r="J863" s="217">
        <v>856</v>
      </c>
    </row>
    <row r="864" spans="1:10" x14ac:dyDescent="0.35">
      <c r="A864" s="223" t="b">
        <f t="shared" si="13"/>
        <v>0</v>
      </c>
      <c r="B864" s="398"/>
      <c r="C864" s="394"/>
      <c r="D864" s="395"/>
      <c r="E864" s="393"/>
      <c r="F864" s="394"/>
      <c r="G864" s="395"/>
      <c r="H864" s="395"/>
      <c r="I864" s="395"/>
      <c r="J864" s="217">
        <v>857</v>
      </c>
    </row>
    <row r="865" spans="1:10" x14ac:dyDescent="0.35">
      <c r="A865" s="223" t="b">
        <f t="shared" si="13"/>
        <v>0</v>
      </c>
      <c r="B865" s="398"/>
      <c r="C865" s="394"/>
      <c r="D865" s="395"/>
      <c r="E865" s="393"/>
      <c r="F865" s="394"/>
      <c r="G865" s="395"/>
      <c r="H865" s="395"/>
      <c r="I865" s="395"/>
      <c r="J865" s="217">
        <v>858</v>
      </c>
    </row>
    <row r="866" spans="1:10" x14ac:dyDescent="0.35">
      <c r="A866" s="223" t="b">
        <f t="shared" si="13"/>
        <v>0</v>
      </c>
      <c r="B866" s="398"/>
      <c r="C866" s="394"/>
      <c r="D866" s="395"/>
      <c r="E866" s="393"/>
      <c r="F866" s="394"/>
      <c r="G866" s="395"/>
      <c r="H866" s="395"/>
      <c r="I866" s="395"/>
      <c r="J866" s="217">
        <v>859</v>
      </c>
    </row>
    <row r="867" spans="1:10" x14ac:dyDescent="0.35">
      <c r="A867" s="223" t="b">
        <f t="shared" si="13"/>
        <v>0</v>
      </c>
      <c r="B867" s="398"/>
      <c r="C867" s="394"/>
      <c r="D867" s="395"/>
      <c r="E867" s="393"/>
      <c r="F867" s="394"/>
      <c r="G867" s="395"/>
      <c r="H867" s="395"/>
      <c r="I867" s="395"/>
      <c r="J867" s="217">
        <v>860</v>
      </c>
    </row>
    <row r="868" spans="1:10" x14ac:dyDescent="0.35">
      <c r="A868" s="223" t="b">
        <f t="shared" si="13"/>
        <v>0</v>
      </c>
      <c r="B868" s="398"/>
      <c r="C868" s="394"/>
      <c r="D868" s="395"/>
      <c r="E868" s="393"/>
      <c r="F868" s="394"/>
      <c r="G868" s="395"/>
      <c r="H868" s="395"/>
      <c r="I868" s="395"/>
      <c r="J868" s="217">
        <v>861</v>
      </c>
    </row>
    <row r="869" spans="1:10" x14ac:dyDescent="0.35">
      <c r="A869" s="223" t="b">
        <f t="shared" si="13"/>
        <v>0</v>
      </c>
      <c r="B869" s="398"/>
      <c r="C869" s="394"/>
      <c r="D869" s="395"/>
      <c r="E869" s="393"/>
      <c r="F869" s="394"/>
      <c r="G869" s="395"/>
      <c r="H869" s="395"/>
      <c r="I869" s="395"/>
      <c r="J869" s="217">
        <v>862</v>
      </c>
    </row>
    <row r="870" spans="1:10" x14ac:dyDescent="0.35">
      <c r="A870" s="223" t="b">
        <f t="shared" si="13"/>
        <v>0</v>
      </c>
      <c r="B870" s="398"/>
      <c r="C870" s="394"/>
      <c r="D870" s="395"/>
      <c r="E870" s="393"/>
      <c r="F870" s="394"/>
      <c r="G870" s="395"/>
      <c r="H870" s="395"/>
      <c r="I870" s="395"/>
      <c r="J870" s="217">
        <v>863</v>
      </c>
    </row>
    <row r="871" spans="1:10" x14ac:dyDescent="0.35">
      <c r="A871" s="223" t="b">
        <f t="shared" si="13"/>
        <v>0</v>
      </c>
      <c r="B871" s="398"/>
      <c r="C871" s="394"/>
      <c r="D871" s="395"/>
      <c r="E871" s="393"/>
      <c r="F871" s="394"/>
      <c r="G871" s="395"/>
      <c r="H871" s="395"/>
      <c r="I871" s="395"/>
      <c r="J871" s="217">
        <v>864</v>
      </c>
    </row>
    <row r="872" spans="1:10" x14ac:dyDescent="0.35">
      <c r="A872" s="223" t="b">
        <f t="shared" si="13"/>
        <v>0</v>
      </c>
      <c r="B872" s="398"/>
      <c r="C872" s="394"/>
      <c r="D872" s="395"/>
      <c r="E872" s="393"/>
      <c r="F872" s="394"/>
      <c r="G872" s="395"/>
      <c r="H872" s="395"/>
      <c r="I872" s="395"/>
      <c r="J872" s="217">
        <v>865</v>
      </c>
    </row>
    <row r="873" spans="1:10" x14ac:dyDescent="0.35">
      <c r="A873" s="223" t="b">
        <f t="shared" si="13"/>
        <v>0</v>
      </c>
      <c r="B873" s="398"/>
      <c r="C873" s="394"/>
      <c r="D873" s="395"/>
      <c r="E873" s="393"/>
      <c r="F873" s="394"/>
      <c r="G873" s="395"/>
      <c r="H873" s="395"/>
      <c r="I873" s="395"/>
      <c r="J873" s="217">
        <v>866</v>
      </c>
    </row>
    <row r="874" spans="1:10" x14ac:dyDescent="0.35">
      <c r="A874" s="223" t="b">
        <f t="shared" si="13"/>
        <v>0</v>
      </c>
      <c r="B874" s="398"/>
      <c r="C874" s="394"/>
      <c r="D874" s="395"/>
      <c r="E874" s="393"/>
      <c r="F874" s="394"/>
      <c r="G874" s="395"/>
      <c r="H874" s="395"/>
      <c r="I874" s="395"/>
      <c r="J874" s="217">
        <v>867</v>
      </c>
    </row>
    <row r="875" spans="1:10" x14ac:dyDescent="0.35">
      <c r="A875" s="223" t="b">
        <f t="shared" si="13"/>
        <v>0</v>
      </c>
      <c r="B875" s="398"/>
      <c r="C875" s="394"/>
      <c r="D875" s="395"/>
      <c r="E875" s="393"/>
      <c r="F875" s="394"/>
      <c r="G875" s="395"/>
      <c r="H875" s="395"/>
      <c r="I875" s="395"/>
      <c r="J875" s="217">
        <v>868</v>
      </c>
    </row>
    <row r="876" spans="1:10" x14ac:dyDescent="0.35">
      <c r="A876" s="223" t="b">
        <f t="shared" si="13"/>
        <v>0</v>
      </c>
      <c r="B876" s="398"/>
      <c r="C876" s="394"/>
      <c r="D876" s="395"/>
      <c r="E876" s="393"/>
      <c r="F876" s="394"/>
      <c r="G876" s="395"/>
      <c r="H876" s="395"/>
      <c r="I876" s="395"/>
      <c r="J876" s="217">
        <v>869</v>
      </c>
    </row>
    <row r="877" spans="1:10" x14ac:dyDescent="0.35">
      <c r="A877" s="223" t="b">
        <f t="shared" si="13"/>
        <v>0</v>
      </c>
      <c r="B877" s="398"/>
      <c r="C877" s="394"/>
      <c r="D877" s="395"/>
      <c r="E877" s="393"/>
      <c r="F877" s="394"/>
      <c r="G877" s="395"/>
      <c r="H877" s="395"/>
      <c r="I877" s="395"/>
      <c r="J877" s="217">
        <v>870</v>
      </c>
    </row>
    <row r="878" spans="1:10" x14ac:dyDescent="0.35">
      <c r="A878" s="223" t="b">
        <f t="shared" si="13"/>
        <v>0</v>
      </c>
      <c r="B878" s="398"/>
      <c r="C878" s="394"/>
      <c r="D878" s="395"/>
      <c r="E878" s="393"/>
      <c r="F878" s="394"/>
      <c r="G878" s="395"/>
      <c r="H878" s="395"/>
      <c r="I878" s="395"/>
      <c r="J878" s="217">
        <v>871</v>
      </c>
    </row>
    <row r="879" spans="1:10" x14ac:dyDescent="0.35">
      <c r="A879" s="223" t="b">
        <f t="shared" si="13"/>
        <v>0</v>
      </c>
      <c r="B879" s="398"/>
      <c r="C879" s="394"/>
      <c r="D879" s="395"/>
      <c r="E879" s="393"/>
      <c r="F879" s="394"/>
      <c r="G879" s="395"/>
      <c r="H879" s="395"/>
      <c r="I879" s="395"/>
      <c r="J879" s="217">
        <v>872</v>
      </c>
    </row>
    <row r="880" spans="1:10" x14ac:dyDescent="0.35">
      <c r="A880" s="223" t="b">
        <f t="shared" si="13"/>
        <v>0</v>
      </c>
      <c r="B880" s="398"/>
      <c r="C880" s="394"/>
      <c r="D880" s="395"/>
      <c r="E880" s="393"/>
      <c r="F880" s="394"/>
      <c r="G880" s="395"/>
      <c r="H880" s="395"/>
      <c r="I880" s="395"/>
      <c r="J880" s="217">
        <v>873</v>
      </c>
    </row>
    <row r="881" spans="1:10" x14ac:dyDescent="0.35">
      <c r="A881" s="223" t="b">
        <f t="shared" si="13"/>
        <v>0</v>
      </c>
      <c r="B881" s="398"/>
      <c r="C881" s="394"/>
      <c r="D881" s="395"/>
      <c r="E881" s="393"/>
      <c r="F881" s="394"/>
      <c r="G881" s="395"/>
      <c r="H881" s="395"/>
      <c r="I881" s="395"/>
      <c r="J881" s="217">
        <v>874</v>
      </c>
    </row>
    <row r="882" spans="1:10" x14ac:dyDescent="0.35">
      <c r="A882" s="223" t="b">
        <f t="shared" si="13"/>
        <v>0</v>
      </c>
      <c r="B882" s="398"/>
      <c r="C882" s="394"/>
      <c r="D882" s="395"/>
      <c r="E882" s="393"/>
      <c r="F882" s="394"/>
      <c r="G882" s="395"/>
      <c r="H882" s="395"/>
      <c r="I882" s="395"/>
      <c r="J882" s="217">
        <v>875</v>
      </c>
    </row>
    <row r="883" spans="1:10" x14ac:dyDescent="0.35">
      <c r="A883" s="223" t="b">
        <f t="shared" si="13"/>
        <v>0</v>
      </c>
      <c r="B883" s="398"/>
      <c r="C883" s="394"/>
      <c r="D883" s="395"/>
      <c r="E883" s="393"/>
      <c r="F883" s="394"/>
      <c r="G883" s="395"/>
      <c r="H883" s="395"/>
      <c r="I883" s="395"/>
      <c r="J883" s="217">
        <v>876</v>
      </c>
    </row>
    <row r="884" spans="1:10" x14ac:dyDescent="0.35">
      <c r="A884" s="223" t="b">
        <f t="shared" si="13"/>
        <v>0</v>
      </c>
      <c r="B884" s="398"/>
      <c r="C884" s="394"/>
      <c r="D884" s="395"/>
      <c r="E884" s="393"/>
      <c r="F884" s="394"/>
      <c r="G884" s="395"/>
      <c r="H884" s="395"/>
      <c r="I884" s="395"/>
      <c r="J884" s="217">
        <v>877</v>
      </c>
    </row>
    <row r="885" spans="1:10" x14ac:dyDescent="0.35">
      <c r="A885" s="223" t="b">
        <f t="shared" si="13"/>
        <v>0</v>
      </c>
      <c r="B885" s="398"/>
      <c r="C885" s="394"/>
      <c r="D885" s="395"/>
      <c r="E885" s="393"/>
      <c r="F885" s="394"/>
      <c r="G885" s="395"/>
      <c r="H885" s="395"/>
      <c r="I885" s="395"/>
      <c r="J885" s="217">
        <v>878</v>
      </c>
    </row>
    <row r="886" spans="1:10" x14ac:dyDescent="0.35">
      <c r="A886" s="223" t="b">
        <f t="shared" si="13"/>
        <v>0</v>
      </c>
      <c r="B886" s="398"/>
      <c r="C886" s="394"/>
      <c r="D886" s="395"/>
      <c r="E886" s="393"/>
      <c r="F886" s="394"/>
      <c r="G886" s="395"/>
      <c r="H886" s="395"/>
      <c r="I886" s="395"/>
      <c r="J886" s="217">
        <v>879</v>
      </c>
    </row>
    <row r="887" spans="1:10" x14ac:dyDescent="0.35">
      <c r="A887" s="223" t="b">
        <f t="shared" si="13"/>
        <v>0</v>
      </c>
      <c r="B887" s="398"/>
      <c r="C887" s="394"/>
      <c r="D887" s="395"/>
      <c r="E887" s="393"/>
      <c r="F887" s="394"/>
      <c r="G887" s="395"/>
      <c r="H887" s="395"/>
      <c r="I887" s="395"/>
      <c r="J887" s="217">
        <v>880</v>
      </c>
    </row>
    <row r="888" spans="1:10" x14ac:dyDescent="0.35">
      <c r="A888" s="223" t="b">
        <f t="shared" si="13"/>
        <v>0</v>
      </c>
      <c r="B888" s="398"/>
      <c r="C888" s="394"/>
      <c r="D888" s="395"/>
      <c r="E888" s="393"/>
      <c r="F888" s="394"/>
      <c r="G888" s="395"/>
      <c r="H888" s="395"/>
      <c r="I888" s="395"/>
      <c r="J888" s="217">
        <v>881</v>
      </c>
    </row>
    <row r="889" spans="1:10" x14ac:dyDescent="0.35">
      <c r="A889" s="223" t="b">
        <f t="shared" si="13"/>
        <v>0</v>
      </c>
      <c r="B889" s="398"/>
      <c r="C889" s="394"/>
      <c r="D889" s="395"/>
      <c r="E889" s="393"/>
      <c r="F889" s="394"/>
      <c r="G889" s="395"/>
      <c r="H889" s="395"/>
      <c r="I889" s="395"/>
      <c r="J889" s="217">
        <v>882</v>
      </c>
    </row>
    <row r="890" spans="1:10" x14ac:dyDescent="0.35">
      <c r="A890" s="223" t="b">
        <f t="shared" si="13"/>
        <v>0</v>
      </c>
      <c r="B890" s="398"/>
      <c r="C890" s="394"/>
      <c r="D890" s="395"/>
      <c r="E890" s="393"/>
      <c r="F890" s="394"/>
      <c r="G890" s="395"/>
      <c r="H890" s="395"/>
      <c r="I890" s="395"/>
      <c r="J890" s="217">
        <v>883</v>
      </c>
    </row>
    <row r="891" spans="1:10" x14ac:dyDescent="0.35">
      <c r="A891" s="223" t="b">
        <f t="shared" si="13"/>
        <v>0</v>
      </c>
      <c r="B891" s="398"/>
      <c r="C891" s="394"/>
      <c r="D891" s="395"/>
      <c r="E891" s="393"/>
      <c r="F891" s="394"/>
      <c r="G891" s="395"/>
      <c r="H891" s="395"/>
      <c r="I891" s="395"/>
      <c r="J891" s="217">
        <v>884</v>
      </c>
    </row>
    <row r="892" spans="1:10" x14ac:dyDescent="0.35">
      <c r="A892" s="223" t="b">
        <f t="shared" si="13"/>
        <v>0</v>
      </c>
      <c r="B892" s="398"/>
      <c r="C892" s="394"/>
      <c r="D892" s="395"/>
      <c r="E892" s="393"/>
      <c r="F892" s="394"/>
      <c r="G892" s="395"/>
      <c r="H892" s="395"/>
      <c r="I892" s="395"/>
      <c r="J892" s="217">
        <v>885</v>
      </c>
    </row>
    <row r="893" spans="1:10" x14ac:dyDescent="0.35">
      <c r="A893" s="223" t="b">
        <f t="shared" si="13"/>
        <v>0</v>
      </c>
      <c r="B893" s="398"/>
      <c r="C893" s="394"/>
      <c r="D893" s="395"/>
      <c r="E893" s="393"/>
      <c r="F893" s="394"/>
      <c r="G893" s="395"/>
      <c r="H893" s="395"/>
      <c r="I893" s="395"/>
      <c r="J893" s="217">
        <v>886</v>
      </c>
    </row>
    <row r="894" spans="1:10" x14ac:dyDescent="0.35">
      <c r="A894" s="223" t="b">
        <f t="shared" si="13"/>
        <v>0</v>
      </c>
      <c r="B894" s="398"/>
      <c r="C894" s="394"/>
      <c r="D894" s="395"/>
      <c r="E894" s="393"/>
      <c r="F894" s="394"/>
      <c r="G894" s="395"/>
      <c r="H894" s="395"/>
      <c r="I894" s="395"/>
      <c r="J894" s="217">
        <v>887</v>
      </c>
    </row>
    <row r="895" spans="1:10" x14ac:dyDescent="0.35">
      <c r="A895" s="223" t="b">
        <f t="shared" si="13"/>
        <v>0</v>
      </c>
      <c r="B895" s="398"/>
      <c r="C895" s="394"/>
      <c r="D895" s="395"/>
      <c r="E895" s="393"/>
      <c r="F895" s="394"/>
      <c r="G895" s="395"/>
      <c r="H895" s="395"/>
      <c r="I895" s="395"/>
      <c r="J895" s="217">
        <v>888</v>
      </c>
    </row>
    <row r="896" spans="1:10" x14ac:dyDescent="0.35">
      <c r="A896" s="223" t="b">
        <f t="shared" si="13"/>
        <v>0</v>
      </c>
      <c r="B896" s="398"/>
      <c r="C896" s="394"/>
      <c r="D896" s="395"/>
      <c r="E896" s="393"/>
      <c r="F896" s="394"/>
      <c r="G896" s="395"/>
      <c r="H896" s="395"/>
      <c r="I896" s="395"/>
      <c r="J896" s="217">
        <v>889</v>
      </c>
    </row>
    <row r="897" spans="1:10" x14ac:dyDescent="0.35">
      <c r="A897" s="223" t="b">
        <f t="shared" si="13"/>
        <v>0</v>
      </c>
      <c r="B897" s="398"/>
      <c r="C897" s="394"/>
      <c r="D897" s="395"/>
      <c r="E897" s="393"/>
      <c r="F897" s="394"/>
      <c r="G897" s="395"/>
      <c r="H897" s="395"/>
      <c r="I897" s="395"/>
      <c r="J897" s="217">
        <v>890</v>
      </c>
    </row>
    <row r="898" spans="1:10" x14ac:dyDescent="0.35">
      <c r="A898" s="223" t="b">
        <f t="shared" si="13"/>
        <v>0</v>
      </c>
      <c r="B898" s="398"/>
      <c r="C898" s="394"/>
      <c r="D898" s="395"/>
      <c r="E898" s="393"/>
      <c r="F898" s="394"/>
      <c r="G898" s="395"/>
      <c r="H898" s="395"/>
      <c r="I898" s="395"/>
      <c r="J898" s="217">
        <v>891</v>
      </c>
    </row>
    <row r="899" spans="1:10" x14ac:dyDescent="0.35">
      <c r="A899" s="223" t="b">
        <f t="shared" si="13"/>
        <v>0</v>
      </c>
      <c r="B899" s="398"/>
      <c r="C899" s="394"/>
      <c r="D899" s="395"/>
      <c r="E899" s="393"/>
      <c r="F899" s="394"/>
      <c r="G899" s="395"/>
      <c r="H899" s="395"/>
      <c r="I899" s="395"/>
      <c r="J899" s="217">
        <v>892</v>
      </c>
    </row>
    <row r="900" spans="1:10" x14ac:dyDescent="0.35">
      <c r="A900" s="223" t="b">
        <f t="shared" si="13"/>
        <v>0</v>
      </c>
      <c r="B900" s="398"/>
      <c r="C900" s="394"/>
      <c r="D900" s="395"/>
      <c r="E900" s="393"/>
      <c r="F900" s="394"/>
      <c r="G900" s="395"/>
      <c r="H900" s="395"/>
      <c r="I900" s="395"/>
      <c r="J900" s="217">
        <v>893</v>
      </c>
    </row>
    <row r="901" spans="1:10" x14ac:dyDescent="0.35">
      <c r="A901" s="223" t="b">
        <f t="shared" si="13"/>
        <v>0</v>
      </c>
      <c r="B901" s="398"/>
      <c r="C901" s="394"/>
      <c r="D901" s="395"/>
      <c r="E901" s="393"/>
      <c r="F901" s="394"/>
      <c r="G901" s="395"/>
      <c r="H901" s="395"/>
      <c r="I901" s="395"/>
      <c r="J901" s="217">
        <v>894</v>
      </c>
    </row>
    <row r="902" spans="1:10" x14ac:dyDescent="0.35">
      <c r="A902" s="223" t="b">
        <f t="shared" si="13"/>
        <v>0</v>
      </c>
      <c r="B902" s="398"/>
      <c r="C902" s="394"/>
      <c r="D902" s="395"/>
      <c r="E902" s="393"/>
      <c r="F902" s="394"/>
      <c r="G902" s="395"/>
      <c r="H902" s="395"/>
      <c r="I902" s="395"/>
      <c r="J902" s="217">
        <v>895</v>
      </c>
    </row>
    <row r="903" spans="1:10" x14ac:dyDescent="0.35">
      <c r="A903" s="223" t="b">
        <f t="shared" si="13"/>
        <v>0</v>
      </c>
      <c r="B903" s="398"/>
      <c r="C903" s="394"/>
      <c r="D903" s="395"/>
      <c r="E903" s="393"/>
      <c r="F903" s="394"/>
      <c r="G903" s="395"/>
      <c r="H903" s="395"/>
      <c r="I903" s="395"/>
      <c r="J903" s="217">
        <v>896</v>
      </c>
    </row>
    <row r="904" spans="1:10" x14ac:dyDescent="0.35">
      <c r="A904" s="223" t="b">
        <f t="shared" ref="A904:A967" si="14">OR(B904&lt;&gt;"",D904&lt;&gt;"",C904&lt;&gt;"",E904&lt;&gt;"",F904&lt;&gt;"",G904&lt;&gt;"")</f>
        <v>0</v>
      </c>
      <c r="B904" s="398"/>
      <c r="C904" s="394"/>
      <c r="D904" s="395"/>
      <c r="E904" s="393"/>
      <c r="F904" s="394"/>
      <c r="G904" s="395"/>
      <c r="H904" s="395"/>
      <c r="I904" s="395"/>
      <c r="J904" s="217">
        <v>897</v>
      </c>
    </row>
    <row r="905" spans="1:10" x14ac:dyDescent="0.35">
      <c r="A905" s="223" t="b">
        <f t="shared" si="14"/>
        <v>0</v>
      </c>
      <c r="B905" s="398"/>
      <c r="C905" s="394"/>
      <c r="D905" s="395"/>
      <c r="E905" s="393"/>
      <c r="F905" s="394"/>
      <c r="G905" s="395"/>
      <c r="H905" s="395"/>
      <c r="I905" s="395"/>
      <c r="J905" s="217">
        <v>898</v>
      </c>
    </row>
    <row r="906" spans="1:10" x14ac:dyDescent="0.35">
      <c r="A906" s="223" t="b">
        <f t="shared" si="14"/>
        <v>0</v>
      </c>
      <c r="B906" s="398"/>
      <c r="C906" s="394"/>
      <c r="D906" s="395"/>
      <c r="E906" s="393"/>
      <c r="F906" s="394"/>
      <c r="G906" s="395"/>
      <c r="H906" s="395"/>
      <c r="I906" s="395"/>
      <c r="J906" s="217">
        <v>899</v>
      </c>
    </row>
    <row r="907" spans="1:10" x14ac:dyDescent="0.35">
      <c r="A907" s="223" t="b">
        <f t="shared" si="14"/>
        <v>0</v>
      </c>
      <c r="B907" s="398"/>
      <c r="C907" s="394"/>
      <c r="D907" s="395"/>
      <c r="E907" s="393"/>
      <c r="F907" s="394"/>
      <c r="G907" s="395"/>
      <c r="H907" s="395"/>
      <c r="I907" s="395"/>
      <c r="J907" s="217">
        <v>900</v>
      </c>
    </row>
    <row r="908" spans="1:10" x14ac:dyDescent="0.35">
      <c r="A908" s="223" t="b">
        <f t="shared" si="14"/>
        <v>0</v>
      </c>
      <c r="B908" s="398"/>
      <c r="C908" s="394"/>
      <c r="D908" s="395"/>
      <c r="E908" s="393"/>
      <c r="F908" s="394"/>
      <c r="G908" s="395"/>
      <c r="H908" s="395"/>
      <c r="I908" s="395"/>
      <c r="J908" s="217">
        <v>901</v>
      </c>
    </row>
    <row r="909" spans="1:10" x14ac:dyDescent="0.35">
      <c r="A909" s="223" t="b">
        <f t="shared" si="14"/>
        <v>0</v>
      </c>
      <c r="B909" s="398"/>
      <c r="C909" s="394"/>
      <c r="D909" s="395"/>
      <c r="E909" s="393"/>
      <c r="F909" s="394"/>
      <c r="G909" s="395"/>
      <c r="H909" s="395"/>
      <c r="I909" s="395"/>
      <c r="J909" s="217">
        <v>902</v>
      </c>
    </row>
    <row r="910" spans="1:10" x14ac:dyDescent="0.35">
      <c r="A910" s="223" t="b">
        <f t="shared" si="14"/>
        <v>0</v>
      </c>
      <c r="B910" s="398"/>
      <c r="C910" s="394"/>
      <c r="D910" s="395"/>
      <c r="E910" s="393"/>
      <c r="F910" s="394"/>
      <c r="G910" s="395"/>
      <c r="H910" s="395"/>
      <c r="I910" s="395"/>
      <c r="J910" s="217">
        <v>903</v>
      </c>
    </row>
    <row r="911" spans="1:10" x14ac:dyDescent="0.35">
      <c r="A911" s="223" t="b">
        <f t="shared" si="14"/>
        <v>0</v>
      </c>
      <c r="B911" s="398"/>
      <c r="C911" s="394"/>
      <c r="D911" s="395"/>
      <c r="E911" s="393"/>
      <c r="F911" s="394"/>
      <c r="G911" s="395"/>
      <c r="H911" s="395"/>
      <c r="I911" s="395"/>
      <c r="J911" s="217">
        <v>904</v>
      </c>
    </row>
    <row r="912" spans="1:10" x14ac:dyDescent="0.35">
      <c r="A912" s="223" t="b">
        <f t="shared" si="14"/>
        <v>0</v>
      </c>
      <c r="B912" s="398"/>
      <c r="C912" s="394"/>
      <c r="D912" s="395"/>
      <c r="E912" s="393"/>
      <c r="F912" s="394"/>
      <c r="G912" s="395"/>
      <c r="H912" s="395"/>
      <c r="I912" s="395"/>
      <c r="J912" s="217">
        <v>905</v>
      </c>
    </row>
    <row r="913" spans="1:10" x14ac:dyDescent="0.35">
      <c r="A913" s="223" t="b">
        <f t="shared" si="14"/>
        <v>0</v>
      </c>
      <c r="B913" s="398"/>
      <c r="C913" s="394"/>
      <c r="D913" s="395"/>
      <c r="E913" s="393"/>
      <c r="F913" s="394"/>
      <c r="G913" s="395"/>
      <c r="H913" s="395"/>
      <c r="I913" s="395"/>
      <c r="J913" s="217">
        <v>906</v>
      </c>
    </row>
    <row r="914" spans="1:10" x14ac:dyDescent="0.35">
      <c r="A914" s="223" t="b">
        <f t="shared" si="14"/>
        <v>0</v>
      </c>
      <c r="B914" s="398"/>
      <c r="C914" s="394"/>
      <c r="D914" s="395"/>
      <c r="E914" s="393"/>
      <c r="F914" s="394"/>
      <c r="G914" s="395"/>
      <c r="H914" s="395"/>
      <c r="I914" s="395"/>
      <c r="J914" s="217">
        <v>907</v>
      </c>
    </row>
    <row r="915" spans="1:10" x14ac:dyDescent="0.35">
      <c r="A915" s="223" t="b">
        <f t="shared" si="14"/>
        <v>0</v>
      </c>
      <c r="B915" s="398"/>
      <c r="C915" s="394"/>
      <c r="D915" s="395"/>
      <c r="E915" s="393"/>
      <c r="F915" s="394"/>
      <c r="G915" s="395"/>
      <c r="H915" s="395"/>
      <c r="I915" s="395"/>
      <c r="J915" s="217">
        <v>908</v>
      </c>
    </row>
    <row r="916" spans="1:10" x14ac:dyDescent="0.35">
      <c r="A916" s="223" t="b">
        <f t="shared" si="14"/>
        <v>0</v>
      </c>
      <c r="B916" s="398"/>
      <c r="C916" s="394"/>
      <c r="D916" s="395"/>
      <c r="E916" s="393"/>
      <c r="F916" s="394"/>
      <c r="G916" s="395"/>
      <c r="H916" s="395"/>
      <c r="I916" s="395"/>
      <c r="J916" s="217">
        <v>909</v>
      </c>
    </row>
    <row r="917" spans="1:10" x14ac:dyDescent="0.35">
      <c r="A917" s="223" t="b">
        <f t="shared" si="14"/>
        <v>0</v>
      </c>
      <c r="B917" s="398"/>
      <c r="C917" s="394"/>
      <c r="D917" s="395"/>
      <c r="E917" s="393"/>
      <c r="F917" s="394"/>
      <c r="G917" s="395"/>
      <c r="H917" s="395"/>
      <c r="I917" s="395"/>
      <c r="J917" s="217">
        <v>910</v>
      </c>
    </row>
    <row r="918" spans="1:10" x14ac:dyDescent="0.35">
      <c r="A918" s="223" t="b">
        <f t="shared" si="14"/>
        <v>0</v>
      </c>
      <c r="B918" s="398"/>
      <c r="C918" s="394"/>
      <c r="D918" s="395"/>
      <c r="E918" s="393"/>
      <c r="F918" s="394"/>
      <c r="G918" s="395"/>
      <c r="H918" s="395"/>
      <c r="I918" s="395"/>
      <c r="J918" s="217">
        <v>911</v>
      </c>
    </row>
    <row r="919" spans="1:10" x14ac:dyDescent="0.35">
      <c r="A919" s="223" t="b">
        <f t="shared" si="14"/>
        <v>0</v>
      </c>
      <c r="B919" s="398"/>
      <c r="C919" s="394"/>
      <c r="D919" s="395"/>
      <c r="E919" s="393"/>
      <c r="F919" s="394"/>
      <c r="G919" s="395"/>
      <c r="H919" s="395"/>
      <c r="I919" s="395"/>
      <c r="J919" s="217">
        <v>912</v>
      </c>
    </row>
    <row r="920" spans="1:10" x14ac:dyDescent="0.35">
      <c r="A920" s="223" t="b">
        <f t="shared" si="14"/>
        <v>0</v>
      </c>
      <c r="B920" s="398"/>
      <c r="C920" s="394"/>
      <c r="D920" s="395"/>
      <c r="E920" s="393"/>
      <c r="F920" s="394"/>
      <c r="G920" s="395"/>
      <c r="H920" s="395"/>
      <c r="I920" s="395"/>
      <c r="J920" s="217">
        <v>913</v>
      </c>
    </row>
    <row r="921" spans="1:10" x14ac:dyDescent="0.35">
      <c r="A921" s="223" t="b">
        <f t="shared" si="14"/>
        <v>0</v>
      </c>
      <c r="B921" s="398"/>
      <c r="C921" s="394"/>
      <c r="D921" s="395"/>
      <c r="E921" s="393"/>
      <c r="F921" s="394"/>
      <c r="G921" s="395"/>
      <c r="H921" s="395"/>
      <c r="I921" s="395"/>
      <c r="J921" s="217">
        <v>914</v>
      </c>
    </row>
    <row r="922" spans="1:10" x14ac:dyDescent="0.35">
      <c r="A922" s="223" t="b">
        <f t="shared" si="14"/>
        <v>0</v>
      </c>
      <c r="B922" s="398"/>
      <c r="C922" s="394"/>
      <c r="D922" s="395"/>
      <c r="E922" s="393"/>
      <c r="F922" s="394"/>
      <c r="G922" s="395"/>
      <c r="H922" s="395"/>
      <c r="I922" s="395"/>
      <c r="J922" s="217">
        <v>915</v>
      </c>
    </row>
    <row r="923" spans="1:10" x14ac:dyDescent="0.35">
      <c r="A923" s="223" t="b">
        <f t="shared" si="14"/>
        <v>0</v>
      </c>
      <c r="B923" s="398"/>
      <c r="C923" s="394"/>
      <c r="D923" s="395"/>
      <c r="E923" s="393"/>
      <c r="F923" s="394"/>
      <c r="G923" s="395"/>
      <c r="H923" s="395"/>
      <c r="I923" s="395"/>
      <c r="J923" s="217">
        <v>916</v>
      </c>
    </row>
    <row r="924" spans="1:10" x14ac:dyDescent="0.35">
      <c r="A924" s="223" t="b">
        <f t="shared" si="14"/>
        <v>0</v>
      </c>
      <c r="B924" s="398"/>
      <c r="C924" s="394"/>
      <c r="D924" s="395"/>
      <c r="E924" s="393"/>
      <c r="F924" s="394"/>
      <c r="G924" s="395"/>
      <c r="H924" s="395"/>
      <c r="I924" s="395"/>
      <c r="J924" s="217">
        <v>917</v>
      </c>
    </row>
    <row r="925" spans="1:10" x14ac:dyDescent="0.35">
      <c r="A925" s="223" t="b">
        <f t="shared" si="14"/>
        <v>0</v>
      </c>
      <c r="B925" s="398"/>
      <c r="C925" s="394"/>
      <c r="D925" s="395"/>
      <c r="E925" s="393"/>
      <c r="F925" s="394"/>
      <c r="G925" s="395"/>
      <c r="H925" s="395"/>
      <c r="I925" s="395"/>
      <c r="J925" s="217">
        <v>918</v>
      </c>
    </row>
    <row r="926" spans="1:10" x14ac:dyDescent="0.35">
      <c r="A926" s="223" t="b">
        <f t="shared" si="14"/>
        <v>0</v>
      </c>
      <c r="B926" s="398"/>
      <c r="C926" s="394"/>
      <c r="D926" s="395"/>
      <c r="E926" s="393"/>
      <c r="F926" s="394"/>
      <c r="G926" s="395"/>
      <c r="H926" s="395"/>
      <c r="I926" s="395"/>
      <c r="J926" s="217">
        <v>919</v>
      </c>
    </row>
    <row r="927" spans="1:10" x14ac:dyDescent="0.35">
      <c r="A927" s="223" t="b">
        <f t="shared" si="14"/>
        <v>0</v>
      </c>
      <c r="B927" s="398"/>
      <c r="C927" s="394"/>
      <c r="D927" s="395"/>
      <c r="E927" s="393"/>
      <c r="F927" s="394"/>
      <c r="G927" s="395"/>
      <c r="H927" s="395"/>
      <c r="I927" s="395"/>
      <c r="J927" s="217">
        <v>920</v>
      </c>
    </row>
    <row r="928" spans="1:10" x14ac:dyDescent="0.35">
      <c r="A928" s="223" t="b">
        <f t="shared" si="14"/>
        <v>0</v>
      </c>
      <c r="B928" s="398"/>
      <c r="C928" s="394"/>
      <c r="D928" s="395"/>
      <c r="E928" s="393"/>
      <c r="F928" s="394"/>
      <c r="G928" s="395"/>
      <c r="H928" s="395"/>
      <c r="I928" s="395"/>
      <c r="J928" s="217">
        <v>921</v>
      </c>
    </row>
    <row r="929" spans="1:10" x14ac:dyDescent="0.35">
      <c r="A929" s="223" t="b">
        <f t="shared" si="14"/>
        <v>0</v>
      </c>
      <c r="B929" s="398"/>
      <c r="C929" s="394"/>
      <c r="D929" s="395"/>
      <c r="E929" s="393"/>
      <c r="F929" s="394"/>
      <c r="G929" s="395"/>
      <c r="H929" s="395"/>
      <c r="I929" s="395"/>
      <c r="J929" s="217">
        <v>922</v>
      </c>
    </row>
    <row r="930" spans="1:10" x14ac:dyDescent="0.35">
      <c r="A930" s="223" t="b">
        <f t="shared" si="14"/>
        <v>0</v>
      </c>
      <c r="B930" s="398"/>
      <c r="C930" s="394"/>
      <c r="D930" s="395"/>
      <c r="E930" s="393"/>
      <c r="F930" s="394"/>
      <c r="G930" s="395"/>
      <c r="H930" s="395"/>
      <c r="I930" s="395"/>
      <c r="J930" s="217">
        <v>923</v>
      </c>
    </row>
    <row r="931" spans="1:10" x14ac:dyDescent="0.35">
      <c r="A931" s="223" t="b">
        <f t="shared" si="14"/>
        <v>0</v>
      </c>
      <c r="B931" s="398"/>
      <c r="C931" s="394"/>
      <c r="D931" s="395"/>
      <c r="E931" s="393"/>
      <c r="F931" s="394"/>
      <c r="G931" s="395"/>
      <c r="H931" s="395"/>
      <c r="I931" s="395"/>
      <c r="J931" s="217">
        <v>924</v>
      </c>
    </row>
    <row r="932" spans="1:10" x14ac:dyDescent="0.35">
      <c r="A932" s="223" t="b">
        <f t="shared" si="14"/>
        <v>0</v>
      </c>
      <c r="B932" s="398"/>
      <c r="C932" s="394"/>
      <c r="D932" s="395"/>
      <c r="E932" s="393"/>
      <c r="F932" s="394"/>
      <c r="G932" s="395"/>
      <c r="H932" s="395"/>
      <c r="I932" s="395"/>
      <c r="J932" s="217">
        <v>925</v>
      </c>
    </row>
    <row r="933" spans="1:10" x14ac:dyDescent="0.35">
      <c r="A933" s="223" t="b">
        <f t="shared" si="14"/>
        <v>0</v>
      </c>
      <c r="B933" s="398"/>
      <c r="C933" s="394"/>
      <c r="D933" s="395"/>
      <c r="E933" s="393"/>
      <c r="F933" s="394"/>
      <c r="G933" s="395"/>
      <c r="H933" s="395"/>
      <c r="I933" s="395"/>
      <c r="J933" s="217">
        <v>926</v>
      </c>
    </row>
    <row r="934" spans="1:10" x14ac:dyDescent="0.35">
      <c r="A934" s="223" t="b">
        <f t="shared" si="14"/>
        <v>0</v>
      </c>
      <c r="B934" s="398"/>
      <c r="C934" s="394"/>
      <c r="D934" s="395"/>
      <c r="E934" s="393"/>
      <c r="F934" s="394"/>
      <c r="G934" s="395"/>
      <c r="H934" s="395"/>
      <c r="I934" s="395"/>
      <c r="J934" s="217">
        <v>927</v>
      </c>
    </row>
    <row r="935" spans="1:10" x14ac:dyDescent="0.35">
      <c r="A935" s="223" t="b">
        <f t="shared" si="14"/>
        <v>0</v>
      </c>
      <c r="B935" s="398"/>
      <c r="C935" s="394"/>
      <c r="D935" s="395"/>
      <c r="E935" s="393"/>
      <c r="F935" s="394"/>
      <c r="G935" s="395"/>
      <c r="H935" s="395"/>
      <c r="I935" s="395"/>
      <c r="J935" s="217">
        <v>928</v>
      </c>
    </row>
    <row r="936" spans="1:10" x14ac:dyDescent="0.35">
      <c r="A936" s="223" t="b">
        <f t="shared" si="14"/>
        <v>0</v>
      </c>
      <c r="B936" s="398"/>
      <c r="C936" s="394"/>
      <c r="D936" s="395"/>
      <c r="E936" s="393"/>
      <c r="F936" s="394"/>
      <c r="G936" s="395"/>
      <c r="H936" s="395"/>
      <c r="I936" s="395"/>
      <c r="J936" s="217">
        <v>929</v>
      </c>
    </row>
    <row r="937" spans="1:10" x14ac:dyDescent="0.35">
      <c r="A937" s="223" t="b">
        <f t="shared" si="14"/>
        <v>0</v>
      </c>
      <c r="B937" s="398"/>
      <c r="C937" s="394"/>
      <c r="D937" s="395"/>
      <c r="E937" s="393"/>
      <c r="F937" s="394"/>
      <c r="G937" s="395"/>
      <c r="H937" s="395"/>
      <c r="I937" s="395"/>
      <c r="J937" s="217">
        <v>930</v>
      </c>
    </row>
    <row r="938" spans="1:10" x14ac:dyDescent="0.35">
      <c r="A938" s="223" t="b">
        <f t="shared" si="14"/>
        <v>0</v>
      </c>
      <c r="B938" s="398"/>
      <c r="C938" s="394"/>
      <c r="D938" s="395"/>
      <c r="E938" s="393"/>
      <c r="F938" s="394"/>
      <c r="G938" s="395"/>
      <c r="H938" s="395"/>
      <c r="I938" s="395"/>
      <c r="J938" s="217">
        <v>931</v>
      </c>
    </row>
    <row r="939" spans="1:10" x14ac:dyDescent="0.35">
      <c r="A939" s="223" t="b">
        <f t="shared" si="14"/>
        <v>0</v>
      </c>
      <c r="B939" s="398"/>
      <c r="C939" s="394"/>
      <c r="D939" s="395"/>
      <c r="E939" s="393"/>
      <c r="F939" s="394"/>
      <c r="G939" s="395"/>
      <c r="H939" s="395"/>
      <c r="I939" s="395"/>
      <c r="J939" s="217">
        <v>932</v>
      </c>
    </row>
    <row r="940" spans="1:10" x14ac:dyDescent="0.35">
      <c r="A940" s="223" t="b">
        <f t="shared" si="14"/>
        <v>0</v>
      </c>
      <c r="B940" s="398"/>
      <c r="C940" s="394"/>
      <c r="D940" s="395"/>
      <c r="E940" s="393"/>
      <c r="F940" s="394"/>
      <c r="G940" s="395"/>
      <c r="H940" s="395"/>
      <c r="I940" s="395"/>
      <c r="J940" s="217">
        <v>933</v>
      </c>
    </row>
    <row r="941" spans="1:10" x14ac:dyDescent="0.35">
      <c r="A941" s="223" t="b">
        <f t="shared" si="14"/>
        <v>0</v>
      </c>
      <c r="B941" s="398"/>
      <c r="C941" s="394"/>
      <c r="D941" s="395"/>
      <c r="E941" s="393"/>
      <c r="F941" s="394"/>
      <c r="G941" s="395"/>
      <c r="H941" s="395"/>
      <c r="I941" s="395"/>
      <c r="J941" s="217">
        <v>934</v>
      </c>
    </row>
    <row r="942" spans="1:10" x14ac:dyDescent="0.35">
      <c r="A942" s="223" t="b">
        <f t="shared" si="14"/>
        <v>0</v>
      </c>
      <c r="B942" s="398"/>
      <c r="C942" s="394"/>
      <c r="D942" s="395"/>
      <c r="E942" s="393"/>
      <c r="F942" s="394"/>
      <c r="G942" s="395"/>
      <c r="H942" s="395"/>
      <c r="I942" s="395"/>
      <c r="J942" s="217">
        <v>935</v>
      </c>
    </row>
    <row r="943" spans="1:10" x14ac:dyDescent="0.35">
      <c r="A943" s="223" t="b">
        <f t="shared" si="14"/>
        <v>0</v>
      </c>
      <c r="B943" s="398"/>
      <c r="C943" s="394"/>
      <c r="D943" s="395"/>
      <c r="E943" s="393"/>
      <c r="F943" s="394"/>
      <c r="G943" s="395"/>
      <c r="H943" s="395"/>
      <c r="I943" s="395"/>
      <c r="J943" s="217">
        <v>936</v>
      </c>
    </row>
    <row r="944" spans="1:10" x14ac:dyDescent="0.35">
      <c r="A944" s="223" t="b">
        <f t="shared" si="14"/>
        <v>0</v>
      </c>
      <c r="B944" s="398"/>
      <c r="C944" s="394"/>
      <c r="D944" s="395"/>
      <c r="E944" s="393"/>
      <c r="F944" s="394"/>
      <c r="G944" s="395"/>
      <c r="H944" s="395"/>
      <c r="I944" s="395"/>
      <c r="J944" s="217">
        <v>937</v>
      </c>
    </row>
    <row r="945" spans="1:10" x14ac:dyDescent="0.35">
      <c r="A945" s="223" t="b">
        <f t="shared" si="14"/>
        <v>0</v>
      </c>
      <c r="B945" s="398"/>
      <c r="C945" s="394"/>
      <c r="D945" s="395"/>
      <c r="E945" s="393"/>
      <c r="F945" s="394"/>
      <c r="G945" s="395"/>
      <c r="H945" s="395"/>
      <c r="I945" s="395"/>
      <c r="J945" s="217">
        <v>938</v>
      </c>
    </row>
    <row r="946" spans="1:10" x14ac:dyDescent="0.35">
      <c r="A946" s="223" t="b">
        <f t="shared" si="14"/>
        <v>0</v>
      </c>
      <c r="B946" s="398"/>
      <c r="C946" s="394"/>
      <c r="D946" s="395"/>
      <c r="E946" s="393"/>
      <c r="F946" s="394"/>
      <c r="G946" s="395"/>
      <c r="H946" s="395"/>
      <c r="I946" s="395"/>
      <c r="J946" s="217">
        <v>939</v>
      </c>
    </row>
    <row r="947" spans="1:10" x14ac:dyDescent="0.35">
      <c r="A947" s="223" t="b">
        <f t="shared" si="14"/>
        <v>0</v>
      </c>
      <c r="B947" s="398"/>
      <c r="C947" s="394"/>
      <c r="D947" s="395"/>
      <c r="E947" s="393"/>
      <c r="F947" s="394"/>
      <c r="G947" s="395"/>
      <c r="H947" s="395"/>
      <c r="I947" s="395"/>
      <c r="J947" s="217">
        <v>940</v>
      </c>
    </row>
    <row r="948" spans="1:10" x14ac:dyDescent="0.35">
      <c r="A948" s="223" t="b">
        <f t="shared" si="14"/>
        <v>0</v>
      </c>
      <c r="B948" s="398"/>
      <c r="C948" s="394"/>
      <c r="D948" s="395"/>
      <c r="E948" s="393"/>
      <c r="F948" s="394"/>
      <c r="G948" s="395"/>
      <c r="H948" s="395"/>
      <c r="I948" s="395"/>
      <c r="J948" s="217">
        <v>941</v>
      </c>
    </row>
    <row r="949" spans="1:10" x14ac:dyDescent="0.35">
      <c r="A949" s="223" t="b">
        <f t="shared" si="14"/>
        <v>0</v>
      </c>
      <c r="B949" s="398"/>
      <c r="C949" s="394"/>
      <c r="D949" s="395"/>
      <c r="E949" s="393"/>
      <c r="F949" s="394"/>
      <c r="G949" s="395"/>
      <c r="H949" s="395"/>
      <c r="I949" s="395"/>
      <c r="J949" s="217">
        <v>942</v>
      </c>
    </row>
    <row r="950" spans="1:10" x14ac:dyDescent="0.35">
      <c r="A950" s="223" t="b">
        <f t="shared" si="14"/>
        <v>0</v>
      </c>
      <c r="B950" s="398"/>
      <c r="C950" s="394"/>
      <c r="D950" s="395"/>
      <c r="E950" s="393"/>
      <c r="F950" s="394"/>
      <c r="G950" s="395"/>
      <c r="H950" s="395"/>
      <c r="I950" s="395"/>
      <c r="J950" s="217">
        <v>943</v>
      </c>
    </row>
    <row r="951" spans="1:10" x14ac:dyDescent="0.35">
      <c r="A951" s="223" t="b">
        <f t="shared" si="14"/>
        <v>0</v>
      </c>
      <c r="B951" s="398"/>
      <c r="C951" s="394"/>
      <c r="D951" s="395"/>
      <c r="E951" s="393"/>
      <c r="F951" s="394"/>
      <c r="G951" s="395"/>
      <c r="H951" s="395"/>
      <c r="I951" s="395"/>
      <c r="J951" s="217">
        <v>944</v>
      </c>
    </row>
    <row r="952" spans="1:10" x14ac:dyDescent="0.35">
      <c r="A952" s="223" t="b">
        <f t="shared" si="14"/>
        <v>0</v>
      </c>
      <c r="B952" s="398"/>
      <c r="C952" s="394"/>
      <c r="D952" s="395"/>
      <c r="E952" s="393"/>
      <c r="F952" s="394"/>
      <c r="G952" s="395"/>
      <c r="H952" s="395"/>
      <c r="I952" s="395"/>
      <c r="J952" s="217">
        <v>945</v>
      </c>
    </row>
    <row r="953" spans="1:10" x14ac:dyDescent="0.35">
      <c r="A953" s="223" t="b">
        <f t="shared" si="14"/>
        <v>0</v>
      </c>
      <c r="B953" s="398"/>
      <c r="C953" s="394"/>
      <c r="D953" s="395"/>
      <c r="E953" s="393"/>
      <c r="F953" s="394"/>
      <c r="G953" s="395"/>
      <c r="H953" s="395"/>
      <c r="I953" s="395"/>
      <c r="J953" s="217">
        <v>946</v>
      </c>
    </row>
    <row r="954" spans="1:10" x14ac:dyDescent="0.35">
      <c r="A954" s="223" t="b">
        <f t="shared" si="14"/>
        <v>0</v>
      </c>
      <c r="B954" s="398"/>
      <c r="C954" s="394"/>
      <c r="D954" s="395"/>
      <c r="E954" s="393"/>
      <c r="F954" s="394"/>
      <c r="G954" s="395"/>
      <c r="H954" s="395"/>
      <c r="I954" s="395"/>
      <c r="J954" s="217">
        <v>947</v>
      </c>
    </row>
    <row r="955" spans="1:10" x14ac:dyDescent="0.35">
      <c r="A955" s="223" t="b">
        <f t="shared" si="14"/>
        <v>0</v>
      </c>
      <c r="B955" s="398"/>
      <c r="C955" s="394"/>
      <c r="D955" s="395"/>
      <c r="E955" s="393"/>
      <c r="F955" s="394"/>
      <c r="G955" s="395"/>
      <c r="H955" s="395"/>
      <c r="I955" s="395"/>
      <c r="J955" s="217">
        <v>948</v>
      </c>
    </row>
    <row r="956" spans="1:10" x14ac:dyDescent="0.35">
      <c r="A956" s="223" t="b">
        <f t="shared" si="14"/>
        <v>0</v>
      </c>
      <c r="B956" s="398"/>
      <c r="C956" s="394"/>
      <c r="D956" s="395"/>
      <c r="E956" s="393"/>
      <c r="F956" s="394"/>
      <c r="G956" s="395"/>
      <c r="H956" s="395"/>
      <c r="I956" s="395"/>
      <c r="J956" s="217">
        <v>949</v>
      </c>
    </row>
    <row r="957" spans="1:10" x14ac:dyDescent="0.35">
      <c r="A957" s="223" t="b">
        <f t="shared" si="14"/>
        <v>0</v>
      </c>
      <c r="B957" s="398"/>
      <c r="C957" s="394"/>
      <c r="D957" s="395"/>
      <c r="E957" s="393"/>
      <c r="F957" s="394"/>
      <c r="G957" s="395"/>
      <c r="H957" s="395"/>
      <c r="I957" s="395"/>
      <c r="J957" s="217">
        <v>950</v>
      </c>
    </row>
    <row r="958" spans="1:10" x14ac:dyDescent="0.35">
      <c r="A958" s="223" t="b">
        <f t="shared" si="14"/>
        <v>0</v>
      </c>
      <c r="B958" s="398"/>
      <c r="C958" s="394"/>
      <c r="D958" s="395"/>
      <c r="E958" s="393"/>
      <c r="F958" s="394"/>
      <c r="G958" s="395"/>
      <c r="H958" s="395"/>
      <c r="I958" s="395"/>
      <c r="J958" s="217">
        <v>951</v>
      </c>
    </row>
    <row r="959" spans="1:10" x14ac:dyDescent="0.35">
      <c r="A959" s="223" t="b">
        <f t="shared" si="14"/>
        <v>0</v>
      </c>
      <c r="B959" s="398"/>
      <c r="C959" s="394"/>
      <c r="D959" s="395"/>
      <c r="E959" s="393"/>
      <c r="F959" s="394"/>
      <c r="G959" s="395"/>
      <c r="H959" s="395"/>
      <c r="I959" s="395"/>
      <c r="J959" s="217">
        <v>952</v>
      </c>
    </row>
    <row r="960" spans="1:10" x14ac:dyDescent="0.35">
      <c r="A960" s="223" t="b">
        <f t="shared" si="14"/>
        <v>0</v>
      </c>
      <c r="B960" s="398"/>
      <c r="C960" s="394"/>
      <c r="D960" s="395"/>
      <c r="E960" s="393"/>
      <c r="F960" s="394"/>
      <c r="G960" s="395"/>
      <c r="H960" s="395"/>
      <c r="I960" s="395"/>
      <c r="J960" s="217">
        <v>953</v>
      </c>
    </row>
    <row r="961" spans="1:10" x14ac:dyDescent="0.35">
      <c r="A961" s="223" t="b">
        <f t="shared" si="14"/>
        <v>0</v>
      </c>
      <c r="B961" s="398"/>
      <c r="C961" s="394"/>
      <c r="D961" s="395"/>
      <c r="E961" s="393"/>
      <c r="F961" s="394"/>
      <c r="G961" s="395"/>
      <c r="H961" s="395"/>
      <c r="I961" s="395"/>
      <c r="J961" s="217">
        <v>954</v>
      </c>
    </row>
    <row r="962" spans="1:10" x14ac:dyDescent="0.35">
      <c r="A962" s="223" t="b">
        <f t="shared" si="14"/>
        <v>0</v>
      </c>
      <c r="B962" s="398"/>
      <c r="C962" s="394"/>
      <c r="D962" s="395"/>
      <c r="E962" s="393"/>
      <c r="F962" s="394"/>
      <c r="G962" s="395"/>
      <c r="H962" s="395"/>
      <c r="I962" s="395"/>
      <c r="J962" s="217">
        <v>955</v>
      </c>
    </row>
    <row r="963" spans="1:10" x14ac:dyDescent="0.35">
      <c r="A963" s="223" t="b">
        <f t="shared" si="14"/>
        <v>0</v>
      </c>
      <c r="B963" s="398"/>
      <c r="C963" s="394"/>
      <c r="D963" s="395"/>
      <c r="E963" s="393"/>
      <c r="F963" s="394"/>
      <c r="G963" s="395"/>
      <c r="H963" s="395"/>
      <c r="I963" s="395"/>
      <c r="J963" s="217">
        <v>956</v>
      </c>
    </row>
    <row r="964" spans="1:10" x14ac:dyDescent="0.35">
      <c r="A964" s="223" t="b">
        <f t="shared" si="14"/>
        <v>0</v>
      </c>
      <c r="B964" s="398"/>
      <c r="C964" s="394"/>
      <c r="D964" s="395"/>
      <c r="E964" s="393"/>
      <c r="F964" s="394"/>
      <c r="G964" s="395"/>
      <c r="H964" s="395"/>
      <c r="I964" s="395"/>
      <c r="J964" s="217">
        <v>957</v>
      </c>
    </row>
    <row r="965" spans="1:10" x14ac:dyDescent="0.35">
      <c r="A965" s="223" t="b">
        <f t="shared" si="14"/>
        <v>0</v>
      </c>
      <c r="B965" s="398"/>
      <c r="C965" s="394"/>
      <c r="D965" s="395"/>
      <c r="E965" s="393"/>
      <c r="F965" s="394"/>
      <c r="G965" s="395"/>
      <c r="H965" s="395"/>
      <c r="I965" s="395"/>
      <c r="J965" s="217">
        <v>958</v>
      </c>
    </row>
    <row r="966" spans="1:10" x14ac:dyDescent="0.35">
      <c r="A966" s="223" t="b">
        <f t="shared" si="14"/>
        <v>0</v>
      </c>
      <c r="B966" s="398"/>
      <c r="C966" s="394"/>
      <c r="D966" s="395"/>
      <c r="E966" s="393"/>
      <c r="F966" s="394"/>
      <c r="G966" s="395"/>
      <c r="H966" s="395"/>
      <c r="I966" s="395"/>
      <c r="J966" s="217">
        <v>959</v>
      </c>
    </row>
    <row r="967" spans="1:10" x14ac:dyDescent="0.35">
      <c r="A967" s="223" t="b">
        <f t="shared" si="14"/>
        <v>0</v>
      </c>
      <c r="B967" s="398"/>
      <c r="C967" s="394"/>
      <c r="D967" s="395"/>
      <c r="E967" s="393"/>
      <c r="F967" s="394"/>
      <c r="G967" s="395"/>
      <c r="H967" s="395"/>
      <c r="I967" s="395"/>
      <c r="J967" s="217">
        <v>960</v>
      </c>
    </row>
    <row r="968" spans="1:10" x14ac:dyDescent="0.35">
      <c r="A968" s="223" t="b">
        <f t="shared" ref="A968:A1007" si="15">OR(B968&lt;&gt;"",D968&lt;&gt;"",C968&lt;&gt;"",E968&lt;&gt;"",F968&lt;&gt;"",G968&lt;&gt;"")</f>
        <v>0</v>
      </c>
      <c r="B968" s="398"/>
      <c r="C968" s="394"/>
      <c r="D968" s="395"/>
      <c r="E968" s="393"/>
      <c r="F968" s="394"/>
      <c r="G968" s="395"/>
      <c r="H968" s="395"/>
      <c r="I968" s="395"/>
      <c r="J968" s="217">
        <v>961</v>
      </c>
    </row>
    <row r="969" spans="1:10" x14ac:dyDescent="0.35">
      <c r="A969" s="223" t="b">
        <f t="shared" si="15"/>
        <v>0</v>
      </c>
      <c r="B969" s="398"/>
      <c r="C969" s="394"/>
      <c r="D969" s="395"/>
      <c r="E969" s="393"/>
      <c r="F969" s="394"/>
      <c r="G969" s="395"/>
      <c r="H969" s="395"/>
      <c r="I969" s="395"/>
      <c r="J969" s="217">
        <v>962</v>
      </c>
    </row>
    <row r="970" spans="1:10" x14ac:dyDescent="0.35">
      <c r="A970" s="223" t="b">
        <f t="shared" si="15"/>
        <v>0</v>
      </c>
      <c r="B970" s="398"/>
      <c r="C970" s="394"/>
      <c r="D970" s="395"/>
      <c r="E970" s="393"/>
      <c r="F970" s="394"/>
      <c r="G970" s="395"/>
      <c r="H970" s="395"/>
      <c r="I970" s="395"/>
      <c r="J970" s="217">
        <v>963</v>
      </c>
    </row>
    <row r="971" spans="1:10" x14ac:dyDescent="0.35">
      <c r="A971" s="223" t="b">
        <f t="shared" si="15"/>
        <v>0</v>
      </c>
      <c r="B971" s="398"/>
      <c r="C971" s="394"/>
      <c r="D971" s="395"/>
      <c r="E971" s="393"/>
      <c r="F971" s="394"/>
      <c r="G971" s="395"/>
      <c r="H971" s="395"/>
      <c r="I971" s="395"/>
      <c r="J971" s="217">
        <v>964</v>
      </c>
    </row>
    <row r="972" spans="1:10" x14ac:dyDescent="0.35">
      <c r="A972" s="223" t="b">
        <f t="shared" si="15"/>
        <v>0</v>
      </c>
      <c r="B972" s="398"/>
      <c r="C972" s="394"/>
      <c r="D972" s="395"/>
      <c r="E972" s="393"/>
      <c r="F972" s="394"/>
      <c r="G972" s="395"/>
      <c r="H972" s="395"/>
      <c r="I972" s="395"/>
      <c r="J972" s="217">
        <v>965</v>
      </c>
    </row>
    <row r="973" spans="1:10" x14ac:dyDescent="0.35">
      <c r="A973" s="223" t="b">
        <f t="shared" si="15"/>
        <v>0</v>
      </c>
      <c r="B973" s="398"/>
      <c r="C973" s="394"/>
      <c r="D973" s="395"/>
      <c r="E973" s="393"/>
      <c r="F973" s="394"/>
      <c r="G973" s="395"/>
      <c r="H973" s="395"/>
      <c r="I973" s="395"/>
      <c r="J973" s="217">
        <v>966</v>
      </c>
    </row>
    <row r="974" spans="1:10" x14ac:dyDescent="0.35">
      <c r="A974" s="223" t="b">
        <f t="shared" si="15"/>
        <v>0</v>
      </c>
      <c r="B974" s="398"/>
      <c r="C974" s="394"/>
      <c r="D974" s="395"/>
      <c r="E974" s="393"/>
      <c r="F974" s="394"/>
      <c r="G974" s="395"/>
      <c r="H974" s="395"/>
      <c r="I974" s="395"/>
      <c r="J974" s="217">
        <v>967</v>
      </c>
    </row>
    <row r="975" spans="1:10" x14ac:dyDescent="0.35">
      <c r="A975" s="223" t="b">
        <f t="shared" si="15"/>
        <v>0</v>
      </c>
      <c r="B975" s="398"/>
      <c r="C975" s="394"/>
      <c r="D975" s="395"/>
      <c r="E975" s="393"/>
      <c r="F975" s="394"/>
      <c r="G975" s="395"/>
      <c r="H975" s="395"/>
      <c r="I975" s="395"/>
      <c r="J975" s="217">
        <v>968</v>
      </c>
    </row>
    <row r="976" spans="1:10" x14ac:dyDescent="0.35">
      <c r="A976" s="223" t="b">
        <f t="shared" si="15"/>
        <v>0</v>
      </c>
      <c r="B976" s="398"/>
      <c r="C976" s="394"/>
      <c r="D976" s="395"/>
      <c r="E976" s="393"/>
      <c r="F976" s="394"/>
      <c r="G976" s="395"/>
      <c r="H976" s="395"/>
      <c r="I976" s="395"/>
      <c r="J976" s="217">
        <v>969</v>
      </c>
    </row>
    <row r="977" spans="1:10" x14ac:dyDescent="0.35">
      <c r="A977" s="223" t="b">
        <f t="shared" si="15"/>
        <v>0</v>
      </c>
      <c r="B977" s="398"/>
      <c r="C977" s="394"/>
      <c r="D977" s="395"/>
      <c r="E977" s="393"/>
      <c r="F977" s="394"/>
      <c r="G977" s="395"/>
      <c r="H977" s="395"/>
      <c r="I977" s="395"/>
      <c r="J977" s="217">
        <v>970</v>
      </c>
    </row>
    <row r="978" spans="1:10" x14ac:dyDescent="0.35">
      <c r="A978" s="223" t="b">
        <f t="shared" si="15"/>
        <v>0</v>
      </c>
      <c r="B978" s="398"/>
      <c r="C978" s="394"/>
      <c r="D978" s="395"/>
      <c r="E978" s="393"/>
      <c r="F978" s="394"/>
      <c r="G978" s="395"/>
      <c r="H978" s="395"/>
      <c r="I978" s="395"/>
      <c r="J978" s="217">
        <v>971</v>
      </c>
    </row>
    <row r="979" spans="1:10" x14ac:dyDescent="0.35">
      <c r="A979" s="223" t="b">
        <f t="shared" si="15"/>
        <v>0</v>
      </c>
      <c r="B979" s="398"/>
      <c r="C979" s="394"/>
      <c r="D979" s="395"/>
      <c r="E979" s="393"/>
      <c r="F979" s="394"/>
      <c r="G979" s="395"/>
      <c r="H979" s="395"/>
      <c r="I979" s="395"/>
      <c r="J979" s="217">
        <v>972</v>
      </c>
    </row>
    <row r="980" spans="1:10" x14ac:dyDescent="0.35">
      <c r="A980" s="223" t="b">
        <f t="shared" si="15"/>
        <v>0</v>
      </c>
      <c r="B980" s="398"/>
      <c r="C980" s="394"/>
      <c r="D980" s="395"/>
      <c r="E980" s="393"/>
      <c r="F980" s="394"/>
      <c r="G980" s="395"/>
      <c r="H980" s="395"/>
      <c r="I980" s="395"/>
      <c r="J980" s="217">
        <v>973</v>
      </c>
    </row>
    <row r="981" spans="1:10" x14ac:dyDescent="0.35">
      <c r="A981" s="223" t="b">
        <f t="shared" si="15"/>
        <v>0</v>
      </c>
      <c r="B981" s="398"/>
      <c r="C981" s="394"/>
      <c r="D981" s="395"/>
      <c r="E981" s="393"/>
      <c r="F981" s="394"/>
      <c r="G981" s="395"/>
      <c r="H981" s="395"/>
      <c r="I981" s="395"/>
      <c r="J981" s="217">
        <v>974</v>
      </c>
    </row>
    <row r="982" spans="1:10" x14ac:dyDescent="0.35">
      <c r="A982" s="223" t="b">
        <f t="shared" si="15"/>
        <v>0</v>
      </c>
      <c r="B982" s="398"/>
      <c r="C982" s="394"/>
      <c r="D982" s="395"/>
      <c r="E982" s="393"/>
      <c r="F982" s="394"/>
      <c r="G982" s="395"/>
      <c r="H982" s="395"/>
      <c r="I982" s="395"/>
      <c r="J982" s="217">
        <v>975</v>
      </c>
    </row>
    <row r="983" spans="1:10" x14ac:dyDescent="0.35">
      <c r="A983" s="223" t="b">
        <f t="shared" si="15"/>
        <v>0</v>
      </c>
      <c r="B983" s="398"/>
      <c r="C983" s="394"/>
      <c r="D983" s="395"/>
      <c r="E983" s="393"/>
      <c r="F983" s="394"/>
      <c r="G983" s="395"/>
      <c r="H983" s="395"/>
      <c r="I983" s="395"/>
      <c r="J983" s="217">
        <v>976</v>
      </c>
    </row>
    <row r="984" spans="1:10" x14ac:dyDescent="0.35">
      <c r="A984" s="223" t="b">
        <f t="shared" si="15"/>
        <v>0</v>
      </c>
      <c r="B984" s="398"/>
      <c r="C984" s="394"/>
      <c r="D984" s="395"/>
      <c r="E984" s="393"/>
      <c r="F984" s="394"/>
      <c r="G984" s="395"/>
      <c r="H984" s="395"/>
      <c r="I984" s="395"/>
      <c r="J984" s="217">
        <v>977</v>
      </c>
    </row>
    <row r="985" spans="1:10" x14ac:dyDescent="0.35">
      <c r="A985" s="223" t="b">
        <f t="shared" si="15"/>
        <v>0</v>
      </c>
      <c r="B985" s="398"/>
      <c r="C985" s="394"/>
      <c r="D985" s="395"/>
      <c r="E985" s="393"/>
      <c r="F985" s="394"/>
      <c r="G985" s="395"/>
      <c r="H985" s="395"/>
      <c r="I985" s="395"/>
      <c r="J985" s="217">
        <v>978</v>
      </c>
    </row>
    <row r="986" spans="1:10" x14ac:dyDescent="0.35">
      <c r="A986" s="223" t="b">
        <f t="shared" si="15"/>
        <v>0</v>
      </c>
      <c r="B986" s="398"/>
      <c r="C986" s="394"/>
      <c r="D986" s="395"/>
      <c r="E986" s="393"/>
      <c r="F986" s="394"/>
      <c r="G986" s="395"/>
      <c r="H986" s="395"/>
      <c r="I986" s="395"/>
      <c r="J986" s="217">
        <v>979</v>
      </c>
    </row>
    <row r="987" spans="1:10" x14ac:dyDescent="0.35">
      <c r="A987" s="223" t="b">
        <f t="shared" si="15"/>
        <v>0</v>
      </c>
      <c r="B987" s="398"/>
      <c r="C987" s="394"/>
      <c r="D987" s="395"/>
      <c r="E987" s="393"/>
      <c r="F987" s="394"/>
      <c r="G987" s="395"/>
      <c r="H987" s="395"/>
      <c r="I987" s="395"/>
      <c r="J987" s="217">
        <v>980</v>
      </c>
    </row>
    <row r="988" spans="1:10" x14ac:dyDescent="0.35">
      <c r="A988" s="223" t="b">
        <f t="shared" si="15"/>
        <v>0</v>
      </c>
      <c r="B988" s="398"/>
      <c r="C988" s="394"/>
      <c r="D988" s="395"/>
      <c r="E988" s="393"/>
      <c r="F988" s="394"/>
      <c r="G988" s="395"/>
      <c r="H988" s="395"/>
      <c r="I988" s="395"/>
      <c r="J988" s="217">
        <v>981</v>
      </c>
    </row>
    <row r="989" spans="1:10" x14ac:dyDescent="0.35">
      <c r="A989" s="223" t="b">
        <f t="shared" si="15"/>
        <v>0</v>
      </c>
      <c r="B989" s="398"/>
      <c r="C989" s="394"/>
      <c r="D989" s="395"/>
      <c r="E989" s="393"/>
      <c r="F989" s="394"/>
      <c r="G989" s="395"/>
      <c r="H989" s="395"/>
      <c r="I989" s="395"/>
      <c r="J989" s="217">
        <v>982</v>
      </c>
    </row>
    <row r="990" spans="1:10" x14ac:dyDescent="0.35">
      <c r="A990" s="223" t="b">
        <f t="shared" si="15"/>
        <v>0</v>
      </c>
      <c r="B990" s="398"/>
      <c r="C990" s="394"/>
      <c r="D990" s="395"/>
      <c r="E990" s="393"/>
      <c r="F990" s="394"/>
      <c r="G990" s="395"/>
      <c r="H990" s="395"/>
      <c r="I990" s="395"/>
      <c r="J990" s="217">
        <v>983</v>
      </c>
    </row>
    <row r="991" spans="1:10" x14ac:dyDescent="0.35">
      <c r="A991" s="223" t="b">
        <f t="shared" si="15"/>
        <v>0</v>
      </c>
      <c r="B991" s="398"/>
      <c r="C991" s="394"/>
      <c r="D991" s="395"/>
      <c r="E991" s="393"/>
      <c r="F991" s="394"/>
      <c r="G991" s="395"/>
      <c r="H991" s="395"/>
      <c r="I991" s="395"/>
      <c r="J991" s="217">
        <v>984</v>
      </c>
    </row>
    <row r="992" spans="1:10" x14ac:dyDescent="0.35">
      <c r="A992" s="223" t="b">
        <f t="shared" si="15"/>
        <v>0</v>
      </c>
      <c r="B992" s="398"/>
      <c r="C992" s="394"/>
      <c r="D992" s="395"/>
      <c r="E992" s="393"/>
      <c r="F992" s="394"/>
      <c r="G992" s="395"/>
      <c r="H992" s="395"/>
      <c r="I992" s="395"/>
      <c r="J992" s="217">
        <v>985</v>
      </c>
    </row>
    <row r="993" spans="1:10" x14ac:dyDescent="0.35">
      <c r="A993" s="223" t="b">
        <f t="shared" si="15"/>
        <v>0</v>
      </c>
      <c r="B993" s="398"/>
      <c r="C993" s="394"/>
      <c r="D993" s="395"/>
      <c r="E993" s="393"/>
      <c r="F993" s="394"/>
      <c r="G993" s="395"/>
      <c r="H993" s="395"/>
      <c r="I993" s="395"/>
      <c r="J993" s="217">
        <v>986</v>
      </c>
    </row>
    <row r="994" spans="1:10" x14ac:dyDescent="0.35">
      <c r="A994" s="223" t="b">
        <f t="shared" si="15"/>
        <v>0</v>
      </c>
      <c r="B994" s="398"/>
      <c r="C994" s="394"/>
      <c r="D994" s="395"/>
      <c r="E994" s="393"/>
      <c r="F994" s="394"/>
      <c r="G994" s="395"/>
      <c r="H994" s="395"/>
      <c r="I994" s="395"/>
      <c r="J994" s="217">
        <v>987</v>
      </c>
    </row>
    <row r="995" spans="1:10" x14ac:dyDescent="0.35">
      <c r="A995" s="223" t="b">
        <f t="shared" si="15"/>
        <v>0</v>
      </c>
      <c r="B995" s="398"/>
      <c r="C995" s="394"/>
      <c r="D995" s="395"/>
      <c r="E995" s="393"/>
      <c r="F995" s="394"/>
      <c r="G995" s="395"/>
      <c r="H995" s="395"/>
      <c r="I995" s="395"/>
      <c r="J995" s="217">
        <v>988</v>
      </c>
    </row>
    <row r="996" spans="1:10" x14ac:dyDescent="0.35">
      <c r="A996" s="223" t="b">
        <f t="shared" si="15"/>
        <v>0</v>
      </c>
      <c r="B996" s="398"/>
      <c r="C996" s="394"/>
      <c r="D996" s="395"/>
      <c r="E996" s="393"/>
      <c r="F996" s="394"/>
      <c r="G996" s="395"/>
      <c r="H996" s="395"/>
      <c r="I996" s="395"/>
      <c r="J996" s="217">
        <v>989</v>
      </c>
    </row>
    <row r="997" spans="1:10" x14ac:dyDescent="0.35">
      <c r="A997" s="223" t="b">
        <f t="shared" si="15"/>
        <v>0</v>
      </c>
      <c r="B997" s="398"/>
      <c r="C997" s="394"/>
      <c r="D997" s="395"/>
      <c r="E997" s="393"/>
      <c r="F997" s="394"/>
      <c r="G997" s="395"/>
      <c r="H997" s="395"/>
      <c r="I997" s="395"/>
      <c r="J997" s="217">
        <v>990</v>
      </c>
    </row>
    <row r="998" spans="1:10" x14ac:dyDescent="0.35">
      <c r="A998" s="223" t="b">
        <f t="shared" si="15"/>
        <v>0</v>
      </c>
      <c r="B998" s="398"/>
      <c r="C998" s="394"/>
      <c r="D998" s="395"/>
      <c r="E998" s="393"/>
      <c r="F998" s="394"/>
      <c r="G998" s="395"/>
      <c r="H998" s="395"/>
      <c r="I998" s="395"/>
      <c r="J998" s="217">
        <v>991</v>
      </c>
    </row>
    <row r="999" spans="1:10" x14ac:dyDescent="0.35">
      <c r="A999" s="223" t="b">
        <f t="shared" si="15"/>
        <v>0</v>
      </c>
      <c r="B999" s="398"/>
      <c r="C999" s="394"/>
      <c r="D999" s="395"/>
      <c r="E999" s="393"/>
      <c r="F999" s="394"/>
      <c r="G999" s="395"/>
      <c r="H999" s="395"/>
      <c r="I999" s="395"/>
      <c r="J999" s="217">
        <v>992</v>
      </c>
    </row>
    <row r="1000" spans="1:10" x14ac:dyDescent="0.35">
      <c r="A1000" s="223" t="b">
        <f t="shared" si="15"/>
        <v>0</v>
      </c>
      <c r="B1000" s="398"/>
      <c r="C1000" s="394"/>
      <c r="D1000" s="395"/>
      <c r="E1000" s="393"/>
      <c r="F1000" s="394"/>
      <c r="G1000" s="395"/>
      <c r="H1000" s="395"/>
      <c r="I1000" s="395"/>
      <c r="J1000" s="217">
        <v>993</v>
      </c>
    </row>
    <row r="1001" spans="1:10" x14ac:dyDescent="0.35">
      <c r="A1001" s="223" t="b">
        <f t="shared" si="15"/>
        <v>0</v>
      </c>
      <c r="B1001" s="398"/>
      <c r="C1001" s="394"/>
      <c r="D1001" s="395"/>
      <c r="E1001" s="393"/>
      <c r="F1001" s="394"/>
      <c r="G1001" s="395"/>
      <c r="H1001" s="395"/>
      <c r="I1001" s="395"/>
      <c r="J1001" s="217">
        <v>994</v>
      </c>
    </row>
    <row r="1002" spans="1:10" x14ac:dyDescent="0.35">
      <c r="A1002" s="223" t="b">
        <f t="shared" si="15"/>
        <v>0</v>
      </c>
      <c r="B1002" s="398"/>
      <c r="C1002" s="394"/>
      <c r="D1002" s="395"/>
      <c r="E1002" s="393"/>
      <c r="F1002" s="394"/>
      <c r="G1002" s="395"/>
      <c r="H1002" s="395"/>
      <c r="I1002" s="395"/>
      <c r="J1002" s="217">
        <v>995</v>
      </c>
    </row>
    <row r="1003" spans="1:10" x14ac:dyDescent="0.35">
      <c r="A1003" s="223" t="b">
        <f t="shared" si="15"/>
        <v>0</v>
      </c>
      <c r="B1003" s="398"/>
      <c r="C1003" s="394"/>
      <c r="D1003" s="395"/>
      <c r="E1003" s="393"/>
      <c r="F1003" s="394"/>
      <c r="G1003" s="395"/>
      <c r="H1003" s="395"/>
      <c r="I1003" s="395"/>
      <c r="J1003" s="217">
        <v>996</v>
      </c>
    </row>
    <row r="1004" spans="1:10" x14ac:dyDescent="0.35">
      <c r="A1004" s="223" t="b">
        <f t="shared" si="15"/>
        <v>0</v>
      </c>
      <c r="B1004" s="398"/>
      <c r="C1004" s="394"/>
      <c r="D1004" s="395"/>
      <c r="E1004" s="393"/>
      <c r="F1004" s="394"/>
      <c r="G1004" s="395"/>
      <c r="H1004" s="395"/>
      <c r="I1004" s="395"/>
      <c r="J1004" s="217">
        <v>997</v>
      </c>
    </row>
    <row r="1005" spans="1:10" x14ac:dyDescent="0.35">
      <c r="A1005" s="223" t="b">
        <f t="shared" si="15"/>
        <v>0</v>
      </c>
      <c r="B1005" s="398"/>
      <c r="C1005" s="394"/>
      <c r="D1005" s="395"/>
      <c r="E1005" s="393"/>
      <c r="F1005" s="394"/>
      <c r="G1005" s="395"/>
      <c r="H1005" s="395"/>
      <c r="I1005" s="395"/>
      <c r="J1005" s="217">
        <v>998</v>
      </c>
    </row>
    <row r="1006" spans="1:10" x14ac:dyDescent="0.35">
      <c r="A1006" s="223" t="b">
        <f t="shared" si="15"/>
        <v>0</v>
      </c>
      <c r="B1006" s="398"/>
      <c r="C1006" s="394"/>
      <c r="D1006" s="395"/>
      <c r="E1006" s="393"/>
      <c r="F1006" s="394"/>
      <c r="G1006" s="395"/>
      <c r="H1006" s="395"/>
      <c r="I1006" s="395"/>
      <c r="J1006" s="217">
        <v>999</v>
      </c>
    </row>
    <row r="1007" spans="1:10" x14ac:dyDescent="0.35">
      <c r="A1007" s="223" t="b">
        <f t="shared" si="15"/>
        <v>0</v>
      </c>
      <c r="B1007" s="398"/>
      <c r="C1007" s="394"/>
      <c r="D1007" s="395"/>
      <c r="E1007" s="393"/>
      <c r="F1007" s="394"/>
      <c r="G1007" s="395"/>
      <c r="H1007" s="395"/>
      <c r="I1007" s="395"/>
      <c r="J1007" s="217">
        <v>1000</v>
      </c>
    </row>
  </sheetData>
  <sortState xmlns:xlrd2="http://schemas.microsoft.com/office/spreadsheetml/2017/richdata2" ref="A8:J1007">
    <sortCondition ref="J8"/>
  </sortState>
  <conditionalFormatting sqref="B8:B1007">
    <cfRule type="duplicateValues" dxfId="6" priority="2"/>
  </conditionalFormatting>
  <conditionalFormatting sqref="B8:C8 E8:I8 B9:I18 B21:I1007 D19:I20 B19:B20">
    <cfRule type="expression" dxfId="5" priority="1">
      <formula>$I8:$I1007= "Yes"</formula>
    </cfRule>
  </conditionalFormatting>
  <conditionalFormatting sqref="C20">
    <cfRule type="expression" dxfId="4" priority="6">
      <formula>$I19:$I1018= "Yes"</formula>
    </cfRule>
  </conditionalFormatting>
  <dataValidations count="5">
    <dataValidation type="list" allowBlank="1" showInputMessage="1" showErrorMessage="1" sqref="G8:G1048576 H1008:I1048576 I8:I1007" xr:uid="{00000000-0002-0000-0300-000000000000}">
      <formula1>Yes_No</formula1>
    </dataValidation>
    <dataValidation type="list" allowBlank="1" showInputMessage="1" showErrorMessage="1" errorTitle="Invalid Jurisdiction" error="Jurisdiction must be a valid entry in the drop-down list" sqref="F8:F1048576" xr:uid="{00000000-0002-0000-0300-000001000000}">
      <formula1>Jurisdiction</formula1>
    </dataValidation>
    <dataValidation type="textLength" operator="equal" allowBlank="1" showInputMessage="1" showErrorMessage="1" errorTitle="UTR Validation" error="Value must be a 10 digit number (without spaces)" promptTitle="UTR Validation - length" prompt="This cell entry must be 10 characters long" sqref="C3" xr:uid="{00000000-0002-0000-0300-000002000000}">
      <formula1>10</formula1>
    </dataValidation>
    <dataValidation type="custom" allowBlank="1" showInputMessage="1" showErrorMessage="1" errorTitle="Invalid UTR" error="Value must be a 10 digit number (without spaces) or blank" sqref="D8:D1007" xr:uid="{00000000-0002-0000-0300-000003000000}">
      <formula1>OR($D8 = "N/A",AND(ISNUMBER($D8),LEN($D8)=10))</formula1>
    </dataValidation>
    <dataValidation type="list" allowBlank="1" showInputMessage="1" showErrorMessage="1" sqref="C8:C18 C20:C1048576" xr:uid="{00000000-0002-0000-0300-000004000000}">
      <formula1>Entity_Types</formula1>
    </dataValidation>
  </dataValidations>
  <pageMargins left="0.70866141732283472" right="0.70866141732283472" top="0.74803149606299213" bottom="0.74803149606299213" header="0.31496062992125984" footer="0.31496062992125984"/>
  <pageSetup paperSize="9" scale="57" fitToHeight="1000" orientation="landscape" r:id="rId1"/>
  <headerFooter>
    <oddFooter>&amp;C&amp;1#&amp;"Calibri"&amp;10&amp;K000000OFFICIAL-SENSITIVE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sStep02">
    <tabColor theme="4" tint="0.39997558519241921"/>
    <outlinePr summaryBelow="0" summaryRight="0"/>
    <pageSetUpPr fitToPage="1"/>
  </sheetPr>
  <dimension ref="A1:N37"/>
  <sheetViews>
    <sheetView showGridLines="0" zoomScaleNormal="100" workbookViewId="0">
      <pane xSplit="7" ySplit="6" topLeftCell="H7" activePane="bottomRight" state="frozenSplit"/>
      <selection pane="topRight" activeCell="H1" sqref="H1"/>
      <selection pane="bottomLeft" activeCell="A7" sqref="A7"/>
      <selection pane="bottomRight" activeCell="B12" sqref="B12:D12"/>
    </sheetView>
  </sheetViews>
  <sheetFormatPr defaultRowHeight="14.5" outlineLevelRow="1" outlineLevelCol="1" x14ac:dyDescent="0.35"/>
  <cols>
    <col min="1" max="1" width="1.7265625" customWidth="1"/>
    <col min="2" max="2" width="30.7265625" customWidth="1"/>
    <col min="3" max="3" width="20.7265625" customWidth="1"/>
    <col min="4" max="4" width="55.7265625" customWidth="1"/>
    <col min="5" max="7" width="20.7265625" customWidth="1" outlineLevel="1"/>
    <col min="8" max="8" width="3.26953125" customWidth="1" collapsed="1"/>
    <col min="9" max="9" width="20.7265625" hidden="1" customWidth="1" outlineLevel="1"/>
    <col min="10" max="10" width="9.1796875" hidden="1" customWidth="1"/>
    <col min="11" max="11" width="3.7265625" customWidth="1" collapsed="1"/>
    <col min="12" max="12" width="20.7265625" hidden="1" customWidth="1" outlineLevel="1"/>
    <col min="13" max="13" width="8.1796875" hidden="1" customWidth="1"/>
    <col min="14" max="14" width="20.7265625" customWidth="1"/>
  </cols>
  <sheetData>
    <row r="1" spans="1:14" s="80" customFormat="1" ht="30" customHeight="1" x14ac:dyDescent="0.35">
      <c r="A1" s="182"/>
      <c r="B1" s="97" t="s">
        <v>36</v>
      </c>
      <c r="C1" s="97"/>
      <c r="D1" s="98"/>
      <c r="E1" s="98"/>
      <c r="F1" s="98"/>
      <c r="G1" s="409" t="s">
        <v>37</v>
      </c>
      <c r="H1" s="412" t="s">
        <v>38</v>
      </c>
      <c r="I1" s="360"/>
      <c r="J1" s="204" t="s">
        <v>39</v>
      </c>
      <c r="K1" s="404" t="s">
        <v>40</v>
      </c>
      <c r="L1" s="202"/>
      <c r="M1" s="144" t="s">
        <v>41</v>
      </c>
      <c r="N1" s="365" t="s">
        <v>9</v>
      </c>
    </row>
    <row r="2" spans="1:14" ht="15.5" x14ac:dyDescent="0.35">
      <c r="A2" s="183"/>
      <c r="B2" s="102" t="s">
        <v>12</v>
      </c>
      <c r="C2" s="413" t="str">
        <f>IF(Entity!C2=0,"",Entity!C2)</f>
        <v/>
      </c>
      <c r="D2" s="413"/>
      <c r="E2" s="103"/>
      <c r="F2" s="103"/>
      <c r="G2" s="410"/>
      <c r="H2" s="412"/>
      <c r="I2" s="361"/>
      <c r="J2" s="90"/>
      <c r="K2" s="404"/>
      <c r="L2" s="203"/>
      <c r="M2" s="111"/>
    </row>
    <row r="3" spans="1:14" x14ac:dyDescent="0.35">
      <c r="A3" s="183"/>
      <c r="B3" s="104" t="s">
        <v>42</v>
      </c>
      <c r="C3" s="406" t="str">
        <f>IF(Entity!C4="","",Entity!C4)</f>
        <v/>
      </c>
      <c r="D3" s="406"/>
      <c r="E3" s="105"/>
      <c r="F3" s="105"/>
      <c r="G3" s="410"/>
      <c r="H3" s="412"/>
      <c r="I3" s="362"/>
      <c r="J3" s="119"/>
      <c r="K3" s="404"/>
      <c r="L3" s="219"/>
      <c r="M3" s="111"/>
    </row>
    <row r="4" spans="1:14" ht="15" customHeight="1" x14ac:dyDescent="0.35">
      <c r="A4" s="183"/>
      <c r="B4" s="104"/>
      <c r="C4" s="106"/>
      <c r="D4" s="3"/>
      <c r="E4" s="216" t="b">
        <f>IF(SUM(E8:E42)&gt;0,TRUE,FALSE)</f>
        <v>0</v>
      </c>
      <c r="F4" s="3"/>
      <c r="G4" s="411"/>
      <c r="H4" s="412"/>
      <c r="I4" s="407"/>
      <c r="J4" s="119"/>
      <c r="K4" s="405"/>
      <c r="L4" s="402"/>
      <c r="M4" s="141"/>
    </row>
    <row r="5" spans="1:14" x14ac:dyDescent="0.35">
      <c r="A5" s="183"/>
      <c r="B5" s="104"/>
      <c r="C5" s="106"/>
      <c r="D5" s="3"/>
      <c r="E5" s="18" t="s">
        <v>43</v>
      </c>
      <c r="F5" s="16" t="s">
        <v>38</v>
      </c>
      <c r="G5" s="20" t="s">
        <v>40</v>
      </c>
      <c r="H5" s="412"/>
      <c r="I5" s="407"/>
      <c r="J5" s="205"/>
      <c r="K5" s="405"/>
      <c r="L5" s="402"/>
      <c r="M5" s="141"/>
    </row>
    <row r="6" spans="1:14" s="6" customFormat="1" x14ac:dyDescent="0.35">
      <c r="A6" s="184"/>
      <c r="B6" s="28"/>
      <c r="C6" s="28"/>
      <c r="D6" s="28"/>
      <c r="E6" s="19" t="s">
        <v>44</v>
      </c>
      <c r="F6" s="17" t="s">
        <v>44</v>
      </c>
      <c r="G6" s="21" t="s">
        <v>44</v>
      </c>
      <c r="H6" s="412"/>
      <c r="I6" s="408"/>
      <c r="J6" s="123"/>
      <c r="K6" s="405"/>
      <c r="L6" s="403"/>
      <c r="M6" s="143"/>
    </row>
    <row r="7" spans="1:14" x14ac:dyDescent="0.35">
      <c r="A7" s="188"/>
      <c r="B7" s="129" t="s">
        <v>45</v>
      </c>
      <c r="C7" s="123"/>
      <c r="D7" s="123"/>
      <c r="E7" s="124"/>
      <c r="F7" s="124"/>
      <c r="G7" s="125"/>
      <c r="H7" s="126"/>
      <c r="I7" s="214"/>
      <c r="J7" s="123"/>
      <c r="K7" s="126"/>
      <c r="L7" s="214"/>
      <c r="M7" s="141"/>
    </row>
    <row r="8" spans="1:14" x14ac:dyDescent="0.35">
      <c r="A8" s="186"/>
      <c r="B8" s="399" t="s">
        <v>46</v>
      </c>
      <c r="C8" s="400"/>
      <c r="D8" s="401"/>
      <c r="E8" s="231">
        <f>SUM(F8:G8)</f>
        <v>0</v>
      </c>
      <c r="F8" s="231">
        <f>SUM(H8:J8)</f>
        <v>0</v>
      </c>
      <c r="G8" s="232">
        <f>SUM(K8:M8)</f>
        <v>0</v>
      </c>
      <c r="H8" s="22"/>
      <c r="I8" s="252"/>
      <c r="J8" s="127"/>
      <c r="K8" s="146"/>
      <c r="L8" s="252"/>
      <c r="M8" s="141"/>
    </row>
    <row r="9" spans="1:14" x14ac:dyDescent="0.35">
      <c r="A9" s="186"/>
      <c r="B9" s="11" t="s">
        <v>47</v>
      </c>
      <c r="C9" s="12"/>
      <c r="D9" s="10"/>
      <c r="E9" s="231">
        <f>SUM(E10:E11)</f>
        <v>0</v>
      </c>
      <c r="F9" s="232">
        <f>SUM(F10:F11)</f>
        <v>0</v>
      </c>
      <c r="G9" s="232">
        <f>SUM(G10:G11)</f>
        <v>0</v>
      </c>
      <c r="H9" s="43"/>
      <c r="I9" s="253">
        <f>SUM(I10:I11)</f>
        <v>0</v>
      </c>
      <c r="J9" s="206"/>
      <c r="K9" s="147"/>
      <c r="L9" s="253">
        <f>SUM(L10:L11)</f>
        <v>0</v>
      </c>
      <c r="M9" s="141"/>
    </row>
    <row r="10" spans="1:14" x14ac:dyDescent="0.35">
      <c r="A10" s="186"/>
      <c r="B10" s="7" t="s">
        <v>48</v>
      </c>
      <c r="C10" s="7"/>
      <c r="D10" s="10"/>
      <c r="E10" s="233">
        <f>SUM($F10:$G10)</f>
        <v>0</v>
      </c>
      <c r="F10" s="234">
        <f>SUM(H10:J10)</f>
        <v>0</v>
      </c>
      <c r="G10" s="235">
        <f>SUM(K10:M10)</f>
        <v>0</v>
      </c>
      <c r="H10" s="42"/>
      <c r="I10" s="254"/>
      <c r="J10" s="207"/>
      <c r="K10" s="148"/>
      <c r="L10" s="254"/>
      <c r="M10" s="141"/>
    </row>
    <row r="11" spans="1:14" x14ac:dyDescent="0.35">
      <c r="A11" s="186" t="s">
        <v>49</v>
      </c>
      <c r="B11" s="8" t="s">
        <v>50</v>
      </c>
      <c r="C11" s="8"/>
      <c r="D11" s="9"/>
      <c r="E11" s="236">
        <f>SUM(E12:E16)</f>
        <v>0</v>
      </c>
      <c r="F11" s="236">
        <f>SUM(F12:F16)</f>
        <v>0</v>
      </c>
      <c r="G11" s="236">
        <f>SUM(G12:G16)</f>
        <v>0</v>
      </c>
      <c r="H11" s="46"/>
      <c r="I11" s="236">
        <f>SUM(I12:I16)</f>
        <v>0</v>
      </c>
      <c r="J11" s="208"/>
      <c r="K11" s="169"/>
      <c r="L11" s="236">
        <f>SUM(L12:L16)</f>
        <v>0</v>
      </c>
      <c r="M11" s="141"/>
    </row>
    <row r="12" spans="1:14" outlineLevel="1" x14ac:dyDescent="0.35">
      <c r="A12" s="186"/>
      <c r="B12" s="414"/>
      <c r="C12" s="415"/>
      <c r="D12" s="416"/>
      <c r="E12" s="237">
        <f>SUM($F12:$G12)</f>
        <v>0</v>
      </c>
      <c r="F12" s="238">
        <f>SUM(H12:J12)</f>
        <v>0</v>
      </c>
      <c r="G12" s="239">
        <f>SUM(K12:M12)</f>
        <v>0</v>
      </c>
      <c r="H12" s="22"/>
      <c r="I12" s="254"/>
      <c r="J12" s="127"/>
      <c r="K12" s="146"/>
      <c r="L12" s="254"/>
      <c r="M12" s="141"/>
    </row>
    <row r="13" spans="1:14" outlineLevel="1" x14ac:dyDescent="0.35">
      <c r="A13" s="186"/>
      <c r="B13" s="414"/>
      <c r="C13" s="415"/>
      <c r="D13" s="416"/>
      <c r="E13" s="237">
        <f>SUM($F13:$G13)</f>
        <v>0</v>
      </c>
      <c r="F13" s="238">
        <f>SUM(H13:J13)</f>
        <v>0</v>
      </c>
      <c r="G13" s="239">
        <f>SUM(K13:M13)</f>
        <v>0</v>
      </c>
      <c r="H13" s="22"/>
      <c r="I13" s="254"/>
      <c r="J13" s="127"/>
      <c r="K13" s="146"/>
      <c r="L13" s="254"/>
      <c r="M13" s="141"/>
    </row>
    <row r="14" spans="1:14" outlineLevel="1" x14ac:dyDescent="0.35">
      <c r="A14" s="186"/>
      <c r="B14" s="414"/>
      <c r="C14" s="415"/>
      <c r="D14" s="416"/>
      <c r="E14" s="237">
        <f>SUM($F14:$G14)</f>
        <v>0</v>
      </c>
      <c r="F14" s="238">
        <f>SUM(H14:J14)</f>
        <v>0</v>
      </c>
      <c r="G14" s="239">
        <f>SUM(K14:M14)</f>
        <v>0</v>
      </c>
      <c r="H14" s="22"/>
      <c r="I14" s="254"/>
      <c r="J14" s="127"/>
      <c r="K14" s="146"/>
      <c r="L14" s="254"/>
      <c r="M14" s="141"/>
    </row>
    <row r="15" spans="1:14" outlineLevel="1" x14ac:dyDescent="0.35">
      <c r="A15" s="186"/>
      <c r="B15" s="414"/>
      <c r="C15" s="415"/>
      <c r="D15" s="416"/>
      <c r="E15" s="237">
        <f>SUM($F15:$G15)</f>
        <v>0</v>
      </c>
      <c r="F15" s="238">
        <f>SUM(H15:J15)</f>
        <v>0</v>
      </c>
      <c r="G15" s="239">
        <f>SUM(K15:M15)</f>
        <v>0</v>
      </c>
      <c r="H15" s="22"/>
      <c r="I15" s="254"/>
      <c r="J15" s="127"/>
      <c r="K15" s="146"/>
      <c r="L15" s="254"/>
      <c r="M15" s="141"/>
    </row>
    <row r="16" spans="1:14" outlineLevel="1" x14ac:dyDescent="0.35">
      <c r="A16" s="186"/>
      <c r="B16" s="414"/>
      <c r="C16" s="415"/>
      <c r="D16" s="416"/>
      <c r="E16" s="237">
        <f>SUM($F16:$G16)</f>
        <v>0</v>
      </c>
      <c r="F16" s="238">
        <f>SUM(H16:J16)</f>
        <v>0</v>
      </c>
      <c r="G16" s="239">
        <f>SUM(K16:M16)</f>
        <v>0</v>
      </c>
      <c r="H16" s="22"/>
      <c r="I16" s="254"/>
      <c r="J16" s="127"/>
      <c r="K16" s="146"/>
      <c r="L16" s="254"/>
      <c r="M16" s="141"/>
    </row>
    <row r="17" spans="1:13" ht="15" thickBot="1" x14ac:dyDescent="0.4">
      <c r="A17" s="186" t="s">
        <v>51</v>
      </c>
      <c r="B17" s="13" t="s">
        <v>52</v>
      </c>
      <c r="C17" s="14"/>
      <c r="D17" s="15"/>
      <c r="E17" s="240">
        <f>SUM(E8,E9)</f>
        <v>0</v>
      </c>
      <c r="F17" s="240">
        <f>SUM(F8,F9)</f>
        <v>0</v>
      </c>
      <c r="G17" s="240">
        <f>SUM(G8,G9)</f>
        <v>0</v>
      </c>
      <c r="H17" s="23"/>
      <c r="I17" s="240">
        <f>SUM(I8,I9)</f>
        <v>0</v>
      </c>
      <c r="J17" s="209"/>
      <c r="K17" s="149"/>
      <c r="L17" s="240">
        <f>SUM(L8,L9)</f>
        <v>0</v>
      </c>
      <c r="M17" s="141"/>
    </row>
    <row r="18" spans="1:13" ht="15" thickTop="1" x14ac:dyDescent="0.35">
      <c r="A18" s="186" t="s">
        <v>53</v>
      </c>
      <c r="B18" s="7" t="s">
        <v>497</v>
      </c>
      <c r="C18" s="12"/>
      <c r="D18" s="10"/>
      <c r="E18" s="241">
        <f>SUM($F18:$G18)</f>
        <v>0</v>
      </c>
      <c r="F18" s="242">
        <f>SUM(H18:J18)</f>
        <v>0</v>
      </c>
      <c r="G18" s="243">
        <f>SUM(K18:M18)</f>
        <v>0</v>
      </c>
      <c r="H18" s="22"/>
      <c r="I18" s="254"/>
      <c r="J18" s="127"/>
      <c r="K18" s="146"/>
      <c r="L18" s="254"/>
      <c r="M18" s="141"/>
    </row>
    <row r="19" spans="1:13" x14ac:dyDescent="0.35">
      <c r="A19" s="186"/>
      <c r="B19" s="7" t="s">
        <v>498</v>
      </c>
      <c r="C19" s="12"/>
      <c r="D19" s="10"/>
      <c r="E19" s="241">
        <f t="shared" ref="E19:E20" si="0">SUM($F19:$G19)</f>
        <v>0</v>
      </c>
      <c r="F19" s="242">
        <f>SUM(H19:J19)</f>
        <v>0</v>
      </c>
      <c r="G19" s="243">
        <f t="shared" ref="G19:G20" si="1">SUM(K19:M19)</f>
        <v>0</v>
      </c>
      <c r="H19" s="22"/>
      <c r="I19" s="254"/>
      <c r="J19" s="127"/>
      <c r="K19" s="146"/>
      <c r="L19" s="254"/>
      <c r="M19" s="141"/>
    </row>
    <row r="20" spans="1:13" x14ac:dyDescent="0.35">
      <c r="A20" s="186"/>
      <c r="B20" s="7" t="s">
        <v>500</v>
      </c>
      <c r="C20" s="12"/>
      <c r="D20" s="9"/>
      <c r="E20" s="241">
        <f t="shared" si="0"/>
        <v>0</v>
      </c>
      <c r="F20" s="242">
        <f>SUM(H20:J20)</f>
        <v>0</v>
      </c>
      <c r="G20" s="243">
        <f t="shared" si="1"/>
        <v>0</v>
      </c>
      <c r="H20" s="22"/>
      <c r="I20" s="254"/>
      <c r="J20" s="127"/>
      <c r="K20" s="146"/>
      <c r="L20" s="254"/>
      <c r="M20" s="141"/>
    </row>
    <row r="21" spans="1:13" ht="15" thickBot="1" x14ac:dyDescent="0.4">
      <c r="A21" s="186"/>
      <c r="B21" s="13" t="s">
        <v>54</v>
      </c>
      <c r="C21" s="14"/>
      <c r="D21" s="15"/>
      <c r="E21" s="240">
        <f>SUM(E17:E20)</f>
        <v>0</v>
      </c>
      <c r="F21" s="240">
        <f t="shared" ref="F21:G21" si="2">SUM(F17:F20)</f>
        <v>0</v>
      </c>
      <c r="G21" s="240">
        <f t="shared" si="2"/>
        <v>0</v>
      </c>
      <c r="H21" s="23"/>
      <c r="I21" s="240">
        <f>SUM(I17:I20)</f>
        <v>0</v>
      </c>
      <c r="J21" s="209"/>
      <c r="K21" s="149"/>
      <c r="L21" s="240">
        <f>SUM(L17:L20)</f>
        <v>0</v>
      </c>
      <c r="M21" s="141"/>
    </row>
    <row r="22" spans="1:13" ht="15" thickTop="1" x14ac:dyDescent="0.35">
      <c r="A22" s="186" t="s">
        <v>55</v>
      </c>
      <c r="B22" s="8" t="s">
        <v>56</v>
      </c>
      <c r="C22" s="8"/>
      <c r="D22" s="9"/>
      <c r="E22" s="245">
        <f>SUM(E23:E27)</f>
        <v>0</v>
      </c>
      <c r="F22" s="245">
        <f>SUM(F23:F27)</f>
        <v>0</v>
      </c>
      <c r="G22" s="245">
        <f>SUM(G23:G27)</f>
        <v>0</v>
      </c>
      <c r="H22" s="170"/>
      <c r="I22" s="245">
        <f>SUM(I23:I27)</f>
        <v>0</v>
      </c>
      <c r="J22" s="210"/>
      <c r="K22" s="171"/>
      <c r="L22" s="245">
        <f>SUM(L23:L27)</f>
        <v>0</v>
      </c>
      <c r="M22" s="141"/>
    </row>
    <row r="23" spans="1:13" outlineLevel="1" x14ac:dyDescent="0.35">
      <c r="A23" s="186"/>
      <c r="B23" s="414"/>
      <c r="C23" s="415"/>
      <c r="D23" s="416"/>
      <c r="E23" s="237">
        <f t="shared" ref="E23:E27" si="3">SUM($F23:$G23)</f>
        <v>0</v>
      </c>
      <c r="F23" s="238">
        <f>SUM(H23:J23)</f>
        <v>0</v>
      </c>
      <c r="G23" s="239">
        <f t="shared" ref="G23:G27" si="4">SUM(K23:M23)</f>
        <v>0</v>
      </c>
      <c r="H23" s="22"/>
      <c r="I23" s="254"/>
      <c r="J23" s="127"/>
      <c r="K23" s="146"/>
      <c r="L23" s="254"/>
      <c r="M23" s="141"/>
    </row>
    <row r="24" spans="1:13" outlineLevel="1" x14ac:dyDescent="0.35">
      <c r="A24" s="186"/>
      <c r="B24" s="414"/>
      <c r="C24" s="415"/>
      <c r="D24" s="416"/>
      <c r="E24" s="237">
        <f t="shared" si="3"/>
        <v>0</v>
      </c>
      <c r="F24" s="238">
        <f>SUM(H24:J24)</f>
        <v>0</v>
      </c>
      <c r="G24" s="239">
        <f t="shared" ref="G24" si="5">SUM(K24:M24)</f>
        <v>0</v>
      </c>
      <c r="H24" s="22"/>
      <c r="I24" s="254"/>
      <c r="J24" s="127"/>
      <c r="K24" s="146"/>
      <c r="L24" s="254"/>
      <c r="M24" s="141"/>
    </row>
    <row r="25" spans="1:13" outlineLevel="1" x14ac:dyDescent="0.35">
      <c r="A25" s="186"/>
      <c r="B25" s="414"/>
      <c r="C25" s="415"/>
      <c r="D25" s="416"/>
      <c r="E25" s="237">
        <f t="shared" si="3"/>
        <v>0</v>
      </c>
      <c r="F25" s="238">
        <f>SUM(H25:J25)</f>
        <v>0</v>
      </c>
      <c r="G25" s="239">
        <f t="shared" ref="G25:G26" si="6">SUM(K25:M25)</f>
        <v>0</v>
      </c>
      <c r="H25" s="22"/>
      <c r="I25" s="254"/>
      <c r="J25" s="127"/>
      <c r="K25" s="146"/>
      <c r="L25" s="254"/>
      <c r="M25" s="141"/>
    </row>
    <row r="26" spans="1:13" outlineLevel="1" x14ac:dyDescent="0.35">
      <c r="A26" s="186"/>
      <c r="B26" s="414"/>
      <c r="C26" s="415"/>
      <c r="D26" s="416"/>
      <c r="E26" s="237">
        <f t="shared" si="3"/>
        <v>0</v>
      </c>
      <c r="F26" s="238">
        <f>SUM(H26:J26)</f>
        <v>0</v>
      </c>
      <c r="G26" s="239">
        <f t="shared" si="6"/>
        <v>0</v>
      </c>
      <c r="H26" s="22"/>
      <c r="I26" s="254"/>
      <c r="J26" s="127"/>
      <c r="K26" s="146"/>
      <c r="L26" s="254"/>
      <c r="M26" s="141"/>
    </row>
    <row r="27" spans="1:13" outlineLevel="1" x14ac:dyDescent="0.35">
      <c r="A27" s="186"/>
      <c r="B27" s="414"/>
      <c r="C27" s="415"/>
      <c r="D27" s="416"/>
      <c r="E27" s="237">
        <f t="shared" si="3"/>
        <v>0</v>
      </c>
      <c r="F27" s="238">
        <f>SUM(H27:J27)</f>
        <v>0</v>
      </c>
      <c r="G27" s="239">
        <f t="shared" si="4"/>
        <v>0</v>
      </c>
      <c r="H27" s="22"/>
      <c r="I27" s="254"/>
      <c r="J27" s="127"/>
      <c r="K27" s="146"/>
      <c r="L27" s="254"/>
      <c r="M27" s="141"/>
    </row>
    <row r="28" spans="1:13" ht="15" thickBot="1" x14ac:dyDescent="0.4">
      <c r="A28" s="186" t="s">
        <v>57</v>
      </c>
      <c r="B28" s="13" t="s">
        <v>58</v>
      </c>
      <c r="C28" s="14"/>
      <c r="D28" s="15"/>
      <c r="E28" s="240">
        <f>SUM(E21,E22)</f>
        <v>0</v>
      </c>
      <c r="F28" s="240">
        <f>SUM(F21,F22)</f>
        <v>0</v>
      </c>
      <c r="G28" s="240">
        <f>SUM(G21,G22)</f>
        <v>0</v>
      </c>
      <c r="H28" s="23"/>
      <c r="I28" s="240">
        <f>SUM(I21,I22)</f>
        <v>0</v>
      </c>
      <c r="J28" s="209"/>
      <c r="K28" s="149"/>
      <c r="L28" s="240">
        <f>SUM(L21,L22)</f>
        <v>0</v>
      </c>
      <c r="M28" s="141"/>
    </row>
    <row r="29" spans="1:13" ht="15" thickTop="1" x14ac:dyDescent="0.35">
      <c r="A29" s="186"/>
      <c r="B29" s="3"/>
      <c r="C29" s="3"/>
      <c r="D29" s="3"/>
      <c r="E29" s="246"/>
      <c r="F29" s="246"/>
      <c r="G29" s="246"/>
      <c r="H29" s="27"/>
      <c r="I29" s="257"/>
      <c r="J29" s="27"/>
      <c r="K29" s="26"/>
      <c r="L29" s="257"/>
      <c r="M29" s="141"/>
    </row>
    <row r="30" spans="1:13" x14ac:dyDescent="0.35">
      <c r="A30" s="183"/>
      <c r="B30" s="129" t="s">
        <v>59</v>
      </c>
      <c r="C30" s="28"/>
      <c r="D30" s="28"/>
      <c r="E30" s="247"/>
      <c r="F30" s="247"/>
      <c r="G30" s="247"/>
      <c r="H30" s="29"/>
      <c r="I30" s="258"/>
      <c r="J30" s="29"/>
      <c r="K30" s="28"/>
      <c r="L30" s="258"/>
      <c r="M30" s="141"/>
    </row>
    <row r="31" spans="1:13" x14ac:dyDescent="0.35">
      <c r="A31" s="186" t="s">
        <v>60</v>
      </c>
      <c r="B31" s="12" t="s">
        <v>61</v>
      </c>
      <c r="C31" s="12"/>
      <c r="D31" s="24"/>
      <c r="E31" s="248">
        <f>SUM($F31:$G31)</f>
        <v>0</v>
      </c>
      <c r="F31" s="248">
        <f>SUM(H31:J31)</f>
        <v>0</v>
      </c>
      <c r="G31" s="249">
        <f>SUM(K31:M31)</f>
        <v>0</v>
      </c>
      <c r="H31" s="22"/>
      <c r="I31" s="252"/>
      <c r="J31" s="211"/>
      <c r="K31" s="79"/>
      <c r="L31" s="252"/>
      <c r="M31" s="141"/>
    </row>
    <row r="32" spans="1:13" x14ac:dyDescent="0.35">
      <c r="A32" s="186" t="s">
        <v>62</v>
      </c>
      <c r="B32" s="12" t="s">
        <v>63</v>
      </c>
      <c r="C32" s="12"/>
      <c r="D32" s="25"/>
      <c r="E32" s="250">
        <f>SUM($F32:$G32)</f>
        <v>0</v>
      </c>
      <c r="F32" s="250">
        <f>SUM(H32:J32)</f>
        <v>0</v>
      </c>
      <c r="G32" s="251">
        <f>SUM(K32:M32)</f>
        <v>0</v>
      </c>
      <c r="H32" s="22"/>
      <c r="I32" s="256"/>
      <c r="J32" s="211"/>
      <c r="K32" s="79"/>
      <c r="L32" s="256"/>
      <c r="M32" s="141"/>
    </row>
    <row r="33" spans="1:13" s="1" customFormat="1" ht="15" thickBot="1" x14ac:dyDescent="0.4">
      <c r="A33" s="187"/>
      <c r="B33" s="13" t="s">
        <v>64</v>
      </c>
      <c r="C33" s="30"/>
      <c r="D33" s="31"/>
      <c r="E33" s="240">
        <f>SUM(E31:E32)</f>
        <v>0</v>
      </c>
      <c r="F33" s="240">
        <f>SUM(F31:F32)</f>
        <v>0</v>
      </c>
      <c r="G33" s="240">
        <f>SUM(G31:G32)</f>
        <v>0</v>
      </c>
      <c r="H33" s="23"/>
      <c r="I33" s="244">
        <f>SUM(I31:I32)</f>
        <v>0</v>
      </c>
      <c r="J33" s="209"/>
      <c r="K33" s="13"/>
      <c r="L33" s="244">
        <f>SUM(L31:L32)</f>
        <v>0</v>
      </c>
      <c r="M33" s="142"/>
    </row>
    <row r="34" spans="1:13" ht="15" thickTop="1" x14ac:dyDescent="0.35">
      <c r="A34" s="183"/>
      <c r="B34" s="3"/>
      <c r="C34" s="3"/>
      <c r="D34" s="3"/>
      <c r="E34" s="3"/>
      <c r="F34" s="3"/>
      <c r="G34" s="127"/>
      <c r="H34" s="127"/>
      <c r="I34" s="27"/>
      <c r="J34" s="127"/>
      <c r="K34" s="3"/>
      <c r="L34" s="27"/>
      <c r="M34" s="111"/>
    </row>
    <row r="35" spans="1:13" x14ac:dyDescent="0.35">
      <c r="A35" s="183"/>
      <c r="B35" s="3"/>
      <c r="C35" s="3"/>
      <c r="D35" s="3"/>
      <c r="E35" s="216">
        <f>SUM(Residual!E8:E40)</f>
        <v>0</v>
      </c>
      <c r="F35" s="3"/>
      <c r="G35" s="127"/>
      <c r="H35" s="127"/>
      <c r="I35" s="127"/>
      <c r="J35" s="127"/>
      <c r="K35" s="3"/>
      <c r="L35" s="127"/>
      <c r="M35" s="111"/>
    </row>
    <row r="36" spans="1:13" x14ac:dyDescent="0.35">
      <c r="A36" s="183"/>
      <c r="B36" s="3"/>
      <c r="C36" s="3"/>
      <c r="D36" s="3"/>
      <c r="E36" s="216">
        <f>SUM(TaxExempt!E7:E40)</f>
        <v>0</v>
      </c>
      <c r="F36" s="3"/>
      <c r="G36" s="127"/>
      <c r="H36" s="127"/>
      <c r="I36" s="127"/>
      <c r="J36" s="127"/>
      <c r="K36" s="3"/>
      <c r="L36" s="127"/>
      <c r="M36" s="111"/>
    </row>
    <row r="37" spans="1:13" x14ac:dyDescent="0.35">
      <c r="A37" s="183"/>
      <c r="B37" s="28"/>
      <c r="C37" s="28"/>
      <c r="D37" s="28"/>
      <c r="E37" s="28"/>
      <c r="F37" s="28"/>
      <c r="G37" s="29"/>
      <c r="H37" s="29"/>
      <c r="I37" s="29"/>
      <c r="J37" s="29"/>
      <c r="K37" s="28"/>
      <c r="L37" s="29"/>
      <c r="M37" s="115"/>
    </row>
  </sheetData>
  <sheetProtection selectLockedCells="1" autoFilter="0"/>
  <mergeCells count="18">
    <mergeCell ref="B27:D27"/>
    <mergeCell ref="B23:D23"/>
    <mergeCell ref="B25:D25"/>
    <mergeCell ref="B24:D24"/>
    <mergeCell ref="B26:D26"/>
    <mergeCell ref="B12:D12"/>
    <mergeCell ref="B16:D16"/>
    <mergeCell ref="B15:D15"/>
    <mergeCell ref="B14:D14"/>
    <mergeCell ref="B13:D13"/>
    <mergeCell ref="B8:D8"/>
    <mergeCell ref="L4:L6"/>
    <mergeCell ref="K1:K6"/>
    <mergeCell ref="C3:D3"/>
    <mergeCell ref="I4:I6"/>
    <mergeCell ref="G1:G4"/>
    <mergeCell ref="H1:H6"/>
    <mergeCell ref="C2:D2"/>
  </mergeCells>
  <conditionalFormatting sqref="B12:D16 B23:D27">
    <cfRule type="expression" dxfId="3" priority="4">
      <formula>AND($E12&gt;0,ISBLANK($B12))</formula>
    </cfRule>
  </conditionalFormatting>
  <dataValidations count="3">
    <dataValidation type="list" allowBlank="1" showInputMessage="1" showErrorMessage="1" sqref="B12:D16" xr:uid="{00000000-0002-0000-0400-000001000000}">
      <formula1>Step3_Income</formula1>
    </dataValidation>
    <dataValidation type="list" allowBlank="1" showInputMessage="1" showErrorMessage="1" sqref="B23:D27" xr:uid="{00000000-0002-0000-0400-000000000000}">
      <formula1>Step3_Adjustments</formula1>
    </dataValidation>
    <dataValidation type="decimal" operator="notEqual" allowBlank="1" showInputMessage="1" showErrorMessage="1" errorTitle="Data Validation" error="Value must be a number" sqref="L8:L32 I8:I32" xr:uid="{00000000-0002-0000-0400-000002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paperSize="9" scale="61" fitToWidth="10" orientation="landscape" r:id="rId1"/>
  <headerFooter>
    <oddFooter>&amp;C&amp;1#&amp;"Calibri"&amp;10&amp;K000000OFFICIAL-SENSITIVE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sStep03">
    <tabColor theme="9" tint="0.59999389629810485"/>
    <outlinePr summaryBelow="0" summaryRight="0"/>
    <pageSetUpPr fitToPage="1"/>
  </sheetPr>
  <dimension ref="A1:N36"/>
  <sheetViews>
    <sheetView showGridLines="0" zoomScaleNormal="100" workbookViewId="0">
      <pane xSplit="7" ySplit="6" topLeftCell="H7" activePane="bottomRight" state="frozenSplit"/>
      <selection pane="topRight" activeCell="H1" sqref="H1"/>
      <selection pane="bottomLeft" activeCell="A7" sqref="A7"/>
      <selection pane="bottomRight" activeCell="B12" sqref="B12:D12"/>
    </sheetView>
  </sheetViews>
  <sheetFormatPr defaultRowHeight="14.5" outlineLevelRow="1" outlineLevelCol="1" x14ac:dyDescent="0.35"/>
  <cols>
    <col min="1" max="1" width="1.7265625" style="180" customWidth="1"/>
    <col min="2" max="2" width="30.7265625" customWidth="1"/>
    <col min="3" max="3" width="20.7265625" customWidth="1"/>
    <col min="4" max="4" width="55.7265625" customWidth="1"/>
    <col min="5" max="7" width="20.7265625" customWidth="1" outlineLevel="1"/>
    <col min="8" max="8" width="3.7265625" customWidth="1" collapsed="1"/>
    <col min="9" max="9" width="20.7265625" hidden="1" customWidth="1" outlineLevel="1"/>
    <col min="10" max="10" width="9.1796875" hidden="1" customWidth="1"/>
    <col min="11" max="11" width="3.7265625" customWidth="1" collapsed="1"/>
    <col min="12" max="12" width="20.7265625" hidden="1" customWidth="1" outlineLevel="1"/>
    <col min="13" max="13" width="16.1796875" hidden="1" customWidth="1"/>
  </cols>
  <sheetData>
    <row r="1" spans="1:14" s="80" customFormat="1" ht="30" customHeight="1" x14ac:dyDescent="0.35">
      <c r="A1" s="182"/>
      <c r="B1" s="97" t="s">
        <v>65</v>
      </c>
      <c r="C1" s="97"/>
      <c r="D1" s="98"/>
      <c r="E1" s="98"/>
      <c r="F1" s="98"/>
      <c r="G1" s="409" t="s">
        <v>37</v>
      </c>
      <c r="H1" s="412" t="s">
        <v>38</v>
      </c>
      <c r="I1" s="200"/>
      <c r="J1" s="204" t="s">
        <v>39</v>
      </c>
      <c r="K1" s="404" t="s">
        <v>40</v>
      </c>
      <c r="L1" s="201"/>
      <c r="M1" s="144" t="s">
        <v>41</v>
      </c>
      <c r="N1" s="365" t="s">
        <v>9</v>
      </c>
    </row>
    <row r="2" spans="1:14" ht="15.5" x14ac:dyDescent="0.35">
      <c r="A2" s="183"/>
      <c r="B2" s="102" t="s">
        <v>12</v>
      </c>
      <c r="C2" s="420" t="str">
        <f>Property!C2</f>
        <v/>
      </c>
      <c r="D2" s="413"/>
      <c r="E2" s="103"/>
      <c r="F2" s="103"/>
      <c r="G2" s="410"/>
      <c r="H2" s="412"/>
      <c r="I2" s="363"/>
      <c r="J2" s="90"/>
      <c r="K2" s="404"/>
      <c r="L2" s="359"/>
      <c r="M2" s="111"/>
    </row>
    <row r="3" spans="1:14" x14ac:dyDescent="0.35">
      <c r="A3" s="183"/>
      <c r="B3" s="104" t="s">
        <v>42</v>
      </c>
      <c r="C3" s="420" t="str">
        <f>Property!C3</f>
        <v/>
      </c>
      <c r="D3" s="413"/>
      <c r="E3" s="105"/>
      <c r="F3" s="105"/>
      <c r="G3" s="410"/>
      <c r="H3" s="412"/>
      <c r="I3" s="364"/>
      <c r="J3" s="119"/>
      <c r="K3" s="404"/>
      <c r="L3" s="79"/>
      <c r="M3" s="111"/>
    </row>
    <row r="4" spans="1:14" ht="15" customHeight="1" x14ac:dyDescent="0.35">
      <c r="A4" s="183"/>
      <c r="B4" s="104"/>
      <c r="C4" s="106"/>
      <c r="D4" s="3"/>
      <c r="E4" s="3"/>
      <c r="F4" s="3"/>
      <c r="G4" s="411"/>
      <c r="H4" s="412"/>
      <c r="I4" s="407"/>
      <c r="J4" s="119"/>
      <c r="K4" s="404"/>
      <c r="L4" s="402"/>
      <c r="M4" s="111"/>
    </row>
    <row r="5" spans="1:14" x14ac:dyDescent="0.35">
      <c r="A5" s="183"/>
      <c r="B5" s="104"/>
      <c r="C5" s="106"/>
      <c r="D5" s="3"/>
      <c r="E5" s="18" t="s">
        <v>43</v>
      </c>
      <c r="F5" s="16" t="s">
        <v>38</v>
      </c>
      <c r="G5" s="20" t="s">
        <v>40</v>
      </c>
      <c r="H5" s="412"/>
      <c r="I5" s="407"/>
      <c r="J5" s="205"/>
      <c r="K5" s="404"/>
      <c r="L5" s="402"/>
      <c r="M5" s="111"/>
    </row>
    <row r="6" spans="1:14" s="6" customFormat="1" x14ac:dyDescent="0.35">
      <c r="A6" s="184"/>
      <c r="B6" s="89"/>
      <c r="C6" s="3"/>
      <c r="D6" s="3"/>
      <c r="E6" s="66" t="s">
        <v>44</v>
      </c>
      <c r="F6" s="67" t="s">
        <v>44</v>
      </c>
      <c r="G6" s="68" t="s">
        <v>44</v>
      </c>
      <c r="H6" s="412"/>
      <c r="I6" s="408"/>
      <c r="J6" s="123"/>
      <c r="K6" s="404"/>
      <c r="L6" s="403"/>
      <c r="M6" s="115"/>
    </row>
    <row r="7" spans="1:14" x14ac:dyDescent="0.35">
      <c r="A7" s="188"/>
      <c r="B7" s="128" t="s">
        <v>45</v>
      </c>
      <c r="C7" s="123"/>
      <c r="D7" s="123"/>
      <c r="E7" s="124"/>
      <c r="F7" s="124"/>
      <c r="G7" s="125"/>
      <c r="H7" s="126"/>
      <c r="I7" s="214"/>
      <c r="J7" s="123"/>
      <c r="K7" s="126"/>
      <c r="L7" s="214"/>
      <c r="M7" s="111"/>
    </row>
    <row r="8" spans="1:14" x14ac:dyDescent="0.35">
      <c r="A8" s="186"/>
      <c r="B8" s="417" t="s">
        <v>66</v>
      </c>
      <c r="C8" s="418"/>
      <c r="D8" s="419"/>
      <c r="E8" s="261">
        <f>SUM(F8:G8)</f>
        <v>0</v>
      </c>
      <c r="F8" s="261">
        <f>SUM(H8:J8)</f>
        <v>0</v>
      </c>
      <c r="G8" s="272">
        <f>SUM(K8:M8)</f>
        <v>0</v>
      </c>
      <c r="H8" s="22"/>
      <c r="I8" s="252"/>
      <c r="J8" s="259"/>
      <c r="K8" s="260"/>
      <c r="L8" s="252"/>
      <c r="M8" s="111"/>
    </row>
    <row r="9" spans="1:14" x14ac:dyDescent="0.35">
      <c r="A9" s="186"/>
      <c r="B9" s="32" t="s">
        <v>47</v>
      </c>
      <c r="C9" s="33"/>
      <c r="D9" s="34"/>
      <c r="E9" s="273">
        <f>SUM(E10:E11)</f>
        <v>0</v>
      </c>
      <c r="F9" s="273">
        <f>SUM(F10:F11)</f>
        <v>0</v>
      </c>
      <c r="G9" s="273">
        <f>SUM(G10:G11)</f>
        <v>0</v>
      </c>
      <c r="H9" s="22"/>
      <c r="I9" s="261">
        <f>SUM(I10:I11)</f>
        <v>0</v>
      </c>
      <c r="J9" s="262"/>
      <c r="K9" s="260"/>
      <c r="L9" s="261">
        <f>SUM(L10:L11)</f>
        <v>0</v>
      </c>
      <c r="M9" s="111"/>
    </row>
    <row r="10" spans="1:14" x14ac:dyDescent="0.35">
      <c r="A10" s="186"/>
      <c r="B10" s="35" t="s">
        <v>67</v>
      </c>
      <c r="C10" s="35"/>
      <c r="D10" s="34"/>
      <c r="E10" s="274">
        <f>SUM($F10:$G10)</f>
        <v>0</v>
      </c>
      <c r="F10" s="274">
        <f>SUM(H10:J10)</f>
        <v>0</v>
      </c>
      <c r="G10" s="275">
        <f>SUM(K10:M10)</f>
        <v>0</v>
      </c>
      <c r="H10" s="22"/>
      <c r="I10" s="254"/>
      <c r="J10" s="259"/>
      <c r="K10" s="260"/>
      <c r="L10" s="254"/>
      <c r="M10" s="111"/>
    </row>
    <row r="11" spans="1:14" x14ac:dyDescent="0.35">
      <c r="A11" s="186" t="s">
        <v>49</v>
      </c>
      <c r="B11" s="36" t="s">
        <v>50</v>
      </c>
      <c r="C11" s="36"/>
      <c r="D11" s="37"/>
      <c r="E11" s="276">
        <f>SUM(E12:E16)</f>
        <v>0</v>
      </c>
      <c r="F11" s="276">
        <f>SUM(F12:F16)</f>
        <v>0</v>
      </c>
      <c r="G11" s="276">
        <f>SUM(G12:G16)</f>
        <v>0</v>
      </c>
      <c r="H11" s="46"/>
      <c r="I11" s="263">
        <f>SUM(I12:I16)</f>
        <v>0</v>
      </c>
      <c r="J11" s="264"/>
      <c r="K11" s="265"/>
      <c r="L11" s="263">
        <f>SUM(L12:L16)</f>
        <v>0</v>
      </c>
      <c r="M11" s="111"/>
    </row>
    <row r="12" spans="1:14" outlineLevel="1" x14ac:dyDescent="0.35">
      <c r="A12" s="186"/>
      <c r="B12" s="421"/>
      <c r="C12" s="422"/>
      <c r="D12" s="423"/>
      <c r="E12" s="277">
        <f>SUM($F12:$G12)</f>
        <v>0</v>
      </c>
      <c r="F12" s="278">
        <f>SUM(H12:J12)</f>
        <v>0</v>
      </c>
      <c r="G12" s="279">
        <f>SUM(K12:M12)</f>
        <v>0</v>
      </c>
      <c r="H12" s="22"/>
      <c r="I12" s="254"/>
      <c r="J12" s="259"/>
      <c r="K12" s="260"/>
      <c r="L12" s="254"/>
      <c r="M12" s="111"/>
    </row>
    <row r="13" spans="1:14" outlineLevel="1" x14ac:dyDescent="0.35">
      <c r="A13" s="186"/>
      <c r="B13" s="421"/>
      <c r="C13" s="422"/>
      <c r="D13" s="423"/>
      <c r="E13" s="277">
        <f>SUM($F13:$G13)</f>
        <v>0</v>
      </c>
      <c r="F13" s="278">
        <f>SUM(H13:J13)</f>
        <v>0</v>
      </c>
      <c r="G13" s="279">
        <f>SUM(K13:M13)</f>
        <v>0</v>
      </c>
      <c r="H13" s="22"/>
      <c r="I13" s="254"/>
      <c r="J13" s="259"/>
      <c r="K13" s="260"/>
      <c r="L13" s="254"/>
      <c r="M13" s="111"/>
    </row>
    <row r="14" spans="1:14" outlineLevel="1" x14ac:dyDescent="0.35">
      <c r="A14" s="186"/>
      <c r="B14" s="421"/>
      <c r="C14" s="422"/>
      <c r="D14" s="423"/>
      <c r="E14" s="277">
        <f>SUM($F14:$G14)</f>
        <v>0</v>
      </c>
      <c r="F14" s="278">
        <f>SUM(H14:J14)</f>
        <v>0</v>
      </c>
      <c r="G14" s="279">
        <f>SUM(K14:M14)</f>
        <v>0</v>
      </c>
      <c r="H14" s="22"/>
      <c r="I14" s="254"/>
      <c r="J14" s="259"/>
      <c r="K14" s="260"/>
      <c r="L14" s="254"/>
      <c r="M14" s="111"/>
    </row>
    <row r="15" spans="1:14" outlineLevel="1" x14ac:dyDescent="0.35">
      <c r="A15" s="186"/>
      <c r="B15" s="421"/>
      <c r="C15" s="422"/>
      <c r="D15" s="423"/>
      <c r="E15" s="277">
        <f>SUM($F15:$G15)</f>
        <v>0</v>
      </c>
      <c r="F15" s="278">
        <f>SUM(H15:J15)</f>
        <v>0</v>
      </c>
      <c r="G15" s="279">
        <f>SUM(K15:M15)</f>
        <v>0</v>
      </c>
      <c r="H15" s="22"/>
      <c r="I15" s="254"/>
      <c r="J15" s="259"/>
      <c r="K15" s="260"/>
      <c r="L15" s="254"/>
      <c r="M15" s="111"/>
    </row>
    <row r="16" spans="1:14" outlineLevel="1" x14ac:dyDescent="0.35">
      <c r="A16" s="186"/>
      <c r="B16" s="421"/>
      <c r="C16" s="422"/>
      <c r="D16" s="423"/>
      <c r="E16" s="277">
        <f>SUM($F16:$G16)</f>
        <v>0</v>
      </c>
      <c r="F16" s="278">
        <f>SUM(H16:J16)</f>
        <v>0</v>
      </c>
      <c r="G16" s="279">
        <f>SUM(K16:M16)</f>
        <v>0</v>
      </c>
      <c r="H16" s="22"/>
      <c r="I16" s="256"/>
      <c r="J16" s="259"/>
      <c r="K16" s="260"/>
      <c r="L16" s="256"/>
      <c r="M16" s="111"/>
    </row>
    <row r="17" spans="1:13" ht="15" thickBot="1" x14ac:dyDescent="0.4">
      <c r="A17" s="186" t="s">
        <v>51</v>
      </c>
      <c r="B17" s="58" t="s">
        <v>52</v>
      </c>
      <c r="C17" s="59"/>
      <c r="D17" s="60"/>
      <c r="E17" s="268">
        <f>SUM(E8,E9)</f>
        <v>0</v>
      </c>
      <c r="F17" s="268">
        <f>SUM(F8,F9)</f>
        <v>0</v>
      </c>
      <c r="G17" s="280">
        <f>SUM(G8,G9)</f>
        <v>0</v>
      </c>
      <c r="H17" s="61"/>
      <c r="I17" s="280">
        <f>SUM(I8,I9)</f>
        <v>0</v>
      </c>
      <c r="J17" s="266"/>
      <c r="K17" s="267"/>
      <c r="L17" s="280">
        <f>SUM(L8,L9)</f>
        <v>0</v>
      </c>
      <c r="M17" s="111"/>
    </row>
    <row r="18" spans="1:13" ht="15" thickTop="1" x14ac:dyDescent="0.35">
      <c r="A18" s="186" t="s">
        <v>53</v>
      </c>
      <c r="B18" s="33" t="s">
        <v>68</v>
      </c>
      <c r="C18" s="33"/>
      <c r="D18" s="38"/>
      <c r="E18" s="281">
        <f>SUM($F18:$G18)</f>
        <v>0</v>
      </c>
      <c r="F18" s="282">
        <f>SUM(H18:J18)</f>
        <v>0</v>
      </c>
      <c r="G18" s="283">
        <f>SUM(K18:M18)</f>
        <v>0</v>
      </c>
      <c r="H18" s="22"/>
      <c r="I18" s="255"/>
      <c r="J18" s="259"/>
      <c r="K18" s="260"/>
      <c r="L18" s="255"/>
      <c r="M18" s="111"/>
    </row>
    <row r="19" spans="1:13" ht="15" thickBot="1" x14ac:dyDescent="0.4">
      <c r="A19" s="186"/>
      <c r="B19" s="58" t="s">
        <v>54</v>
      </c>
      <c r="C19" s="59"/>
      <c r="D19" s="60"/>
      <c r="E19" s="268">
        <f>E17+E18</f>
        <v>0</v>
      </c>
      <c r="F19" s="268">
        <f>F17+F18</f>
        <v>0</v>
      </c>
      <c r="G19" s="280">
        <f>G17+G18</f>
        <v>0</v>
      </c>
      <c r="H19" s="61"/>
      <c r="I19" s="268">
        <f>I17+I18</f>
        <v>0</v>
      </c>
      <c r="J19" s="266"/>
      <c r="K19" s="267"/>
      <c r="L19" s="268">
        <f>L17+L18</f>
        <v>0</v>
      </c>
      <c r="M19" s="111"/>
    </row>
    <row r="20" spans="1:13" ht="15" thickTop="1" x14ac:dyDescent="0.35">
      <c r="A20" s="186" t="s">
        <v>55</v>
      </c>
      <c r="B20" s="36" t="s">
        <v>56</v>
      </c>
      <c r="C20" s="36"/>
      <c r="D20" s="37"/>
      <c r="E20" s="271">
        <f>SUM(E21:E25)</f>
        <v>0</v>
      </c>
      <c r="F20" s="271">
        <f>SUM(F21:F25)</f>
        <v>0</v>
      </c>
      <c r="G20" s="271">
        <f>SUM(G21:G25)</f>
        <v>0</v>
      </c>
      <c r="H20" s="170"/>
      <c r="I20" s="271">
        <f>SUM(I21:I25)</f>
        <v>0</v>
      </c>
      <c r="J20" s="269"/>
      <c r="K20" s="270"/>
      <c r="L20" s="271">
        <f>SUM(L21:L25)</f>
        <v>0</v>
      </c>
      <c r="M20" s="111"/>
    </row>
    <row r="21" spans="1:13" outlineLevel="1" x14ac:dyDescent="0.35">
      <c r="A21" s="186"/>
      <c r="B21" s="414"/>
      <c r="C21" s="415"/>
      <c r="D21" s="416"/>
      <c r="E21" s="277">
        <f>SUM($F21:$G21)</f>
        <v>0</v>
      </c>
      <c r="F21" s="278">
        <f>SUM(H21:J21)</f>
        <v>0</v>
      </c>
      <c r="G21" s="279">
        <f>SUM(K21:M21)</f>
        <v>0</v>
      </c>
      <c r="H21" s="22"/>
      <c r="I21" s="254"/>
      <c r="J21" s="259"/>
      <c r="K21" s="260"/>
      <c r="L21" s="254"/>
      <c r="M21" s="111"/>
    </row>
    <row r="22" spans="1:13" outlineLevel="1" x14ac:dyDescent="0.35">
      <c r="A22" s="186"/>
      <c r="B22" s="414"/>
      <c r="C22" s="415"/>
      <c r="D22" s="416"/>
      <c r="E22" s="277">
        <f>SUM($F22:$G22)</f>
        <v>0</v>
      </c>
      <c r="F22" s="278">
        <f>SUM(H22:J22)</f>
        <v>0</v>
      </c>
      <c r="G22" s="279">
        <f>SUM(K22:M22)</f>
        <v>0</v>
      </c>
      <c r="H22" s="22"/>
      <c r="I22" s="254"/>
      <c r="J22" s="259"/>
      <c r="K22" s="260"/>
      <c r="L22" s="254"/>
      <c r="M22" s="111"/>
    </row>
    <row r="23" spans="1:13" outlineLevel="1" x14ac:dyDescent="0.35">
      <c r="A23" s="186"/>
      <c r="B23" s="414"/>
      <c r="C23" s="415"/>
      <c r="D23" s="416"/>
      <c r="E23" s="277">
        <f>SUM($F23:$G23)</f>
        <v>0</v>
      </c>
      <c r="F23" s="278">
        <f>SUM(H23:J23)</f>
        <v>0</v>
      </c>
      <c r="G23" s="279">
        <f>SUM(K23:M23)</f>
        <v>0</v>
      </c>
      <c r="H23" s="22"/>
      <c r="I23" s="254"/>
      <c r="J23" s="259"/>
      <c r="K23" s="260"/>
      <c r="L23" s="254"/>
      <c r="M23" s="111"/>
    </row>
    <row r="24" spans="1:13" outlineLevel="1" x14ac:dyDescent="0.35">
      <c r="A24" s="186"/>
      <c r="B24" s="414"/>
      <c r="C24" s="415"/>
      <c r="D24" s="416"/>
      <c r="E24" s="277">
        <f>SUM($F24:$G24)</f>
        <v>0</v>
      </c>
      <c r="F24" s="278">
        <f>SUM(H24:J24)</f>
        <v>0</v>
      </c>
      <c r="G24" s="279">
        <f>SUM(K24:M24)</f>
        <v>0</v>
      </c>
      <c r="H24" s="22"/>
      <c r="I24" s="254"/>
      <c r="J24" s="259"/>
      <c r="K24" s="260"/>
      <c r="L24" s="254"/>
      <c r="M24" s="111"/>
    </row>
    <row r="25" spans="1:13" outlineLevel="1" x14ac:dyDescent="0.35">
      <c r="A25" s="186"/>
      <c r="B25" s="414"/>
      <c r="C25" s="415"/>
      <c r="D25" s="416"/>
      <c r="E25" s="277">
        <f>SUM($F25:$G25)</f>
        <v>0</v>
      </c>
      <c r="F25" s="278">
        <f>SUM(H25:J25)</f>
        <v>0</v>
      </c>
      <c r="G25" s="279">
        <f>SUM(K25:M25)</f>
        <v>0</v>
      </c>
      <c r="H25" s="22"/>
      <c r="I25" s="256"/>
      <c r="J25" s="259"/>
      <c r="K25" s="260"/>
      <c r="L25" s="256"/>
      <c r="M25" s="111"/>
    </row>
    <row r="26" spans="1:13" ht="15" thickBot="1" x14ac:dyDescent="0.4">
      <c r="A26" s="186" t="s">
        <v>57</v>
      </c>
      <c r="B26" s="58" t="s">
        <v>58</v>
      </c>
      <c r="C26" s="59"/>
      <c r="D26" s="60"/>
      <c r="E26" s="268">
        <f>SUM(E19,E20)</f>
        <v>0</v>
      </c>
      <c r="F26" s="268">
        <f>SUM(F19,F20)</f>
        <v>0</v>
      </c>
      <c r="G26" s="268">
        <f>SUM(G19,G20)</f>
        <v>0</v>
      </c>
      <c r="H26" s="61"/>
      <c r="I26" s="268">
        <f>SUM(I19,I20)</f>
        <v>0</v>
      </c>
      <c r="J26" s="266"/>
      <c r="K26" s="267"/>
      <c r="L26" s="268">
        <f>SUM(L19,L20)</f>
        <v>0</v>
      </c>
      <c r="M26" s="111"/>
    </row>
    <row r="27" spans="1:13" ht="15" thickTop="1" x14ac:dyDescent="0.35">
      <c r="A27" s="186"/>
      <c r="B27" s="3"/>
      <c r="C27" s="3"/>
      <c r="D27" s="3"/>
      <c r="E27" s="246"/>
      <c r="F27" s="246"/>
      <c r="G27" s="246"/>
      <c r="H27" s="27"/>
      <c r="I27" s="288"/>
      <c r="J27" s="246"/>
      <c r="K27" s="246"/>
      <c r="L27" s="288"/>
      <c r="M27" s="111"/>
    </row>
    <row r="28" spans="1:13" x14ac:dyDescent="0.35">
      <c r="A28" s="183"/>
      <c r="B28" s="128" t="s">
        <v>59</v>
      </c>
      <c r="C28" s="28"/>
      <c r="D28" s="28"/>
      <c r="E28" s="247"/>
      <c r="F28" s="247"/>
      <c r="G28" s="247"/>
      <c r="H28" s="29"/>
      <c r="I28" s="289"/>
      <c r="J28" s="247"/>
      <c r="K28" s="247"/>
      <c r="L28" s="289"/>
      <c r="M28" s="111"/>
    </row>
    <row r="29" spans="1:13" x14ac:dyDescent="0.35">
      <c r="A29" s="186" t="s">
        <v>60</v>
      </c>
      <c r="B29" s="33" t="s">
        <v>69</v>
      </c>
      <c r="C29" s="33"/>
      <c r="D29" s="64"/>
      <c r="E29" s="284">
        <f>SUM($F29:$G29)</f>
        <v>0</v>
      </c>
      <c r="F29" s="284">
        <f>SUM(H29:J29)</f>
        <v>0</v>
      </c>
      <c r="G29" s="285">
        <f>SUM(K29:M29)</f>
        <v>0</v>
      </c>
      <c r="H29" s="22"/>
      <c r="I29" s="290"/>
      <c r="J29" s="259"/>
      <c r="K29" s="260"/>
      <c r="L29" s="290"/>
      <c r="M29" s="111"/>
    </row>
    <row r="30" spans="1:13" x14ac:dyDescent="0.35">
      <c r="A30" s="186" t="s">
        <v>62</v>
      </c>
      <c r="B30" s="33" t="s">
        <v>63</v>
      </c>
      <c r="C30" s="33"/>
      <c r="D30" s="65"/>
      <c r="E30" s="286">
        <f>SUM($F30:$G30)</f>
        <v>0</v>
      </c>
      <c r="F30" s="286">
        <f>SUM(H30:J30)</f>
        <v>0</v>
      </c>
      <c r="G30" s="287">
        <f>SUM(K30:M30)</f>
        <v>0</v>
      </c>
      <c r="H30" s="22"/>
      <c r="I30" s="291"/>
      <c r="J30" s="259"/>
      <c r="K30" s="260"/>
      <c r="L30" s="291"/>
      <c r="M30" s="111"/>
    </row>
    <row r="31" spans="1:13" s="1" customFormat="1" ht="15" thickBot="1" x14ac:dyDescent="0.4">
      <c r="A31" s="187"/>
      <c r="B31" s="58" t="s">
        <v>64</v>
      </c>
      <c r="C31" s="62"/>
      <c r="D31" s="63"/>
      <c r="E31" s="268">
        <f>SUM(E29:E30)</f>
        <v>0</v>
      </c>
      <c r="F31" s="268">
        <f>SUM(F29:F30)</f>
        <v>0</v>
      </c>
      <c r="G31" s="268">
        <f>SUM(G29:G30)</f>
        <v>0</v>
      </c>
      <c r="H31" s="61"/>
      <c r="I31" s="292">
        <f>SUM(I29:I30)</f>
        <v>0</v>
      </c>
      <c r="J31" s="266"/>
      <c r="K31" s="268"/>
      <c r="L31" s="292">
        <f>SUM(L29:L30)</f>
        <v>0</v>
      </c>
      <c r="M31" s="145"/>
    </row>
    <row r="32" spans="1:13" ht="15" thickTop="1" x14ac:dyDescent="0.35">
      <c r="A32" s="183"/>
      <c r="B32" s="3"/>
      <c r="C32" s="3"/>
      <c r="D32" s="3"/>
      <c r="E32" s="3"/>
      <c r="F32" s="3"/>
      <c r="G32" s="127"/>
      <c r="H32" s="127"/>
      <c r="I32" s="212"/>
      <c r="J32" s="127"/>
      <c r="K32" s="3"/>
      <c r="L32" s="212"/>
      <c r="M32" s="111"/>
    </row>
    <row r="33" spans="1:13" x14ac:dyDescent="0.35">
      <c r="A33" s="183"/>
      <c r="B33" s="3"/>
      <c r="C33" s="3"/>
      <c r="D33" s="3"/>
      <c r="E33" s="3"/>
      <c r="F33" s="3"/>
      <c r="G33" s="127"/>
      <c r="H33" s="127"/>
      <c r="I33" s="211"/>
      <c r="J33" s="127"/>
      <c r="K33" s="3"/>
      <c r="L33" s="211"/>
      <c r="M33" s="111"/>
    </row>
    <row r="34" spans="1:13" x14ac:dyDescent="0.35">
      <c r="A34" s="183"/>
      <c r="B34" s="3"/>
      <c r="C34" s="3"/>
      <c r="D34" s="3"/>
      <c r="E34" s="3"/>
      <c r="F34" s="3"/>
      <c r="G34" s="127"/>
      <c r="H34" s="127"/>
      <c r="I34" s="211"/>
      <c r="J34" s="127"/>
      <c r="K34" s="3"/>
      <c r="L34" s="211"/>
      <c r="M34" s="111"/>
    </row>
    <row r="35" spans="1:13" x14ac:dyDescent="0.35">
      <c r="A35" s="183"/>
      <c r="B35" s="3"/>
      <c r="C35" s="3"/>
      <c r="D35" s="3"/>
      <c r="E35" s="3"/>
      <c r="F35" s="3"/>
      <c r="G35" s="127"/>
      <c r="H35" s="127"/>
      <c r="I35" s="211"/>
      <c r="J35" s="127"/>
      <c r="K35" s="3"/>
      <c r="L35" s="211"/>
      <c r="M35" s="111"/>
    </row>
    <row r="36" spans="1:13" x14ac:dyDescent="0.35">
      <c r="A36" s="184"/>
      <c r="B36" s="28"/>
      <c r="C36" s="28"/>
      <c r="D36" s="28"/>
      <c r="E36" s="28"/>
      <c r="F36" s="28"/>
      <c r="G36" s="29"/>
      <c r="H36" s="29"/>
      <c r="I36" s="29"/>
      <c r="J36" s="29"/>
      <c r="K36" s="28"/>
      <c r="L36" s="213"/>
      <c r="M36" s="115"/>
    </row>
  </sheetData>
  <sheetProtection selectLockedCells="1" autoFilter="0"/>
  <mergeCells count="18">
    <mergeCell ref="B13:D13"/>
    <mergeCell ref="B14:D14"/>
    <mergeCell ref="B15:D15"/>
    <mergeCell ref="B12:D12"/>
    <mergeCell ref="B25:D25"/>
    <mergeCell ref="B16:D16"/>
    <mergeCell ref="B21:D21"/>
    <mergeCell ref="B22:D22"/>
    <mergeCell ref="B23:D23"/>
    <mergeCell ref="B24:D24"/>
    <mergeCell ref="B8:D8"/>
    <mergeCell ref="K1:K6"/>
    <mergeCell ref="C3:D3"/>
    <mergeCell ref="I4:I6"/>
    <mergeCell ref="L4:L6"/>
    <mergeCell ref="H1:H6"/>
    <mergeCell ref="G1:G4"/>
    <mergeCell ref="C2:D2"/>
  </mergeCells>
  <conditionalFormatting sqref="B21:D25 B12:D16">
    <cfRule type="expression" dxfId="2" priority="1">
      <formula>AND($E12&gt;0,ISBLANK($B12))</formula>
    </cfRule>
  </conditionalFormatting>
  <dataValidations count="3">
    <dataValidation type="list" allowBlank="1" showInputMessage="1" showErrorMessage="1" sqref="B21:D25" xr:uid="{00000000-0002-0000-0500-000000000000}">
      <formula1>Step4_PostFC</formula1>
    </dataValidation>
    <dataValidation type="list" allowBlank="1" showInputMessage="1" showErrorMessage="1" sqref="B12:D16" xr:uid="{00000000-0002-0000-0500-000001000000}">
      <formula1>Step4_PreFC</formula1>
    </dataValidation>
    <dataValidation type="decimal" operator="notEqual" allowBlank="1" showInputMessage="1" showErrorMessage="1" errorTitle="Data Validation" error="Value must be a number" sqref="L8:L30 I8:I30" xr:uid="{00000000-0002-0000-0500-000002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paperSize="8" scale="65" orientation="landscape" r:id="rId1"/>
  <headerFooter>
    <oddFooter>&amp;C&amp;1#&amp;"Calibri"&amp;10&amp;K000000OFFICIAL-SENSITIVE</oddFooter>
  </headerFooter>
  <ignoredErrors>
    <ignoredError sqref="E11:G11 F9:G9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wsStep04">
    <tabColor theme="3" tint="0.59999389629810485"/>
    <outlinePr summaryBelow="0" summaryRight="0"/>
    <pageSetUpPr fitToPage="1"/>
  </sheetPr>
  <dimension ref="A1:O38"/>
  <sheetViews>
    <sheetView showGridLines="0" zoomScaleNormal="100" workbookViewId="0">
      <pane xSplit="7" ySplit="6" topLeftCell="H7" activePane="bottomRight" state="frozenSplit"/>
      <selection pane="topRight" activeCell="H1" sqref="H1"/>
      <selection pane="bottomLeft" activeCell="A7" sqref="A7"/>
      <selection pane="bottomRight" activeCell="B16" sqref="B16:D16"/>
    </sheetView>
  </sheetViews>
  <sheetFormatPr defaultRowHeight="14.5" outlineLevelRow="1" outlineLevelCol="1" x14ac:dyDescent="0.35"/>
  <cols>
    <col min="1" max="1" width="1.7265625" style="180" customWidth="1"/>
    <col min="2" max="2" width="30.7265625" customWidth="1"/>
    <col min="3" max="3" width="20.7265625" customWidth="1"/>
    <col min="4" max="4" width="55.7265625" customWidth="1"/>
    <col min="5" max="7" width="20.7265625" customWidth="1" outlineLevel="1"/>
    <col min="8" max="8" width="3.7265625" customWidth="1" collapsed="1"/>
    <col min="9" max="9" width="20.7265625" hidden="1" customWidth="1" outlineLevel="1"/>
    <col min="10" max="10" width="20.7265625" hidden="1" customWidth="1"/>
    <col min="11" max="11" width="3.7265625" customWidth="1" collapsed="1"/>
    <col min="12" max="12" width="20.7265625" hidden="1" customWidth="1" outlineLevel="1"/>
    <col min="13" max="13" width="5.1796875" hidden="1" customWidth="1"/>
    <col min="14" max="14" width="10.7265625" customWidth="1"/>
  </cols>
  <sheetData>
    <row r="1" spans="1:15" s="80" customFormat="1" ht="30" customHeight="1" x14ac:dyDescent="0.35">
      <c r="A1" s="182"/>
      <c r="B1" s="97" t="s">
        <v>70</v>
      </c>
      <c r="C1" s="97"/>
      <c r="D1" s="98"/>
      <c r="E1" s="98"/>
      <c r="F1" s="98"/>
      <c r="G1" s="409" t="s">
        <v>37</v>
      </c>
      <c r="H1" s="412" t="s">
        <v>38</v>
      </c>
      <c r="I1" s="200"/>
      <c r="J1" s="204" t="s">
        <v>39</v>
      </c>
      <c r="K1" s="404" t="s">
        <v>40</v>
      </c>
      <c r="L1" s="201"/>
      <c r="M1" s="144" t="s">
        <v>41</v>
      </c>
      <c r="N1" s="365" t="s">
        <v>9</v>
      </c>
    </row>
    <row r="2" spans="1:15" ht="15.5" x14ac:dyDescent="0.35">
      <c r="A2" s="183"/>
      <c r="B2" s="102" t="s">
        <v>12</v>
      </c>
      <c r="C2" s="420" t="str">
        <f>Residual!C2</f>
        <v/>
      </c>
      <c r="D2" s="413"/>
      <c r="E2" s="103"/>
      <c r="F2" s="103"/>
      <c r="G2" s="410"/>
      <c r="H2" s="412"/>
      <c r="I2" s="363"/>
      <c r="J2" s="90"/>
      <c r="K2" s="404"/>
      <c r="L2" s="359"/>
      <c r="M2" s="111"/>
    </row>
    <row r="3" spans="1:15" x14ac:dyDescent="0.35">
      <c r="A3" s="183"/>
      <c r="B3" s="104" t="s">
        <v>42</v>
      </c>
      <c r="C3" s="420" t="str">
        <f>Residual!C3</f>
        <v/>
      </c>
      <c r="D3" s="413"/>
      <c r="E3" s="105"/>
      <c r="F3" s="105"/>
      <c r="G3" s="410"/>
      <c r="H3" s="412"/>
      <c r="I3" s="364"/>
      <c r="J3" s="119"/>
      <c r="K3" s="404"/>
      <c r="L3" s="79"/>
      <c r="M3" s="111"/>
    </row>
    <row r="4" spans="1:15" ht="15" customHeight="1" x14ac:dyDescent="0.35">
      <c r="A4" s="183"/>
      <c r="B4" s="104"/>
      <c r="C4" s="106"/>
      <c r="D4" s="3"/>
      <c r="E4" s="3"/>
      <c r="F4" s="3"/>
      <c r="G4" s="411"/>
      <c r="H4" s="412"/>
      <c r="I4" s="407"/>
      <c r="J4" s="119"/>
      <c r="K4" s="404"/>
      <c r="L4" s="402"/>
      <c r="M4" s="141"/>
    </row>
    <row r="5" spans="1:15" x14ac:dyDescent="0.35">
      <c r="A5" s="183"/>
      <c r="B5" s="104"/>
      <c r="C5" s="106"/>
      <c r="D5" s="3"/>
      <c r="E5" s="18" t="s">
        <v>43</v>
      </c>
      <c r="F5" s="16" t="s">
        <v>38</v>
      </c>
      <c r="G5" s="20" t="s">
        <v>40</v>
      </c>
      <c r="H5" s="412"/>
      <c r="I5" s="407"/>
      <c r="J5" s="205"/>
      <c r="K5" s="404"/>
      <c r="L5" s="402"/>
      <c r="M5" s="141"/>
    </row>
    <row r="6" spans="1:15" s="6" customFormat="1" x14ac:dyDescent="0.35">
      <c r="A6" s="184"/>
      <c r="B6" s="94"/>
      <c r="C6" s="28"/>
      <c r="D6" s="28"/>
      <c r="E6" s="19" t="s">
        <v>44</v>
      </c>
      <c r="F6" s="17" t="s">
        <v>44</v>
      </c>
      <c r="G6" s="21" t="s">
        <v>44</v>
      </c>
      <c r="H6" s="412"/>
      <c r="I6" s="428"/>
      <c r="J6" s="86"/>
      <c r="K6" s="404"/>
      <c r="L6" s="427"/>
      <c r="M6" s="141"/>
      <c r="N6" s="386"/>
    </row>
    <row r="7" spans="1:15" x14ac:dyDescent="0.35">
      <c r="A7" s="189"/>
      <c r="B7" s="424" t="s">
        <v>71</v>
      </c>
      <c r="C7" s="425"/>
      <c r="D7" s="426"/>
      <c r="E7" s="293">
        <f>SUM(F7:G7)</f>
        <v>0</v>
      </c>
      <c r="F7" s="293">
        <f>SUM(H7:J7)</f>
        <v>0</v>
      </c>
      <c r="G7" s="294">
        <f>SUM(K7:M7)</f>
        <v>0</v>
      </c>
      <c r="H7" s="47"/>
      <c r="I7" s="254"/>
      <c r="J7" s="312"/>
      <c r="K7" s="313"/>
      <c r="L7" s="254"/>
      <c r="M7" s="141"/>
    </row>
    <row r="8" spans="1:15" x14ac:dyDescent="0.35">
      <c r="A8" s="186"/>
      <c r="B8" s="50" t="s">
        <v>72</v>
      </c>
      <c r="C8" s="45"/>
      <c r="D8" s="40"/>
      <c r="E8" s="295">
        <f>SUM(E9:E11)</f>
        <v>0</v>
      </c>
      <c r="F8" s="296">
        <f>SUM(F9:F11)</f>
        <v>0</v>
      </c>
      <c r="G8" s="296">
        <f>SUM(G9:G11)</f>
        <v>0</v>
      </c>
      <c r="H8" s="48"/>
      <c r="I8" s="299">
        <f>SUM(I9:I11)</f>
        <v>0</v>
      </c>
      <c r="J8" s="262"/>
      <c r="K8" s="314"/>
      <c r="L8" s="299">
        <f>SUM(L9:L11)</f>
        <v>0</v>
      </c>
      <c r="M8" s="141"/>
    </row>
    <row r="9" spans="1:15" x14ac:dyDescent="0.35">
      <c r="A9" s="186"/>
      <c r="B9" s="51" t="s">
        <v>73</v>
      </c>
      <c r="C9" s="51"/>
      <c r="D9" s="40"/>
      <c r="E9" s="297">
        <f>SUM($F9:$G9)</f>
        <v>0</v>
      </c>
      <c r="F9" s="297">
        <f>SUM(H9:J9)</f>
        <v>0</v>
      </c>
      <c r="G9" s="298">
        <f>SUM(K9:M9)</f>
        <v>0</v>
      </c>
      <c r="H9" s="22"/>
      <c r="I9" s="254"/>
      <c r="J9" s="259"/>
      <c r="K9" s="260"/>
      <c r="L9" s="254"/>
      <c r="M9" s="141"/>
    </row>
    <row r="10" spans="1:15" x14ac:dyDescent="0.35">
      <c r="A10" s="186"/>
      <c r="B10" s="51" t="s">
        <v>74</v>
      </c>
      <c r="C10" s="51"/>
      <c r="D10" s="40"/>
      <c r="E10" s="297">
        <f>SUM($F10:$G10)</f>
        <v>0</v>
      </c>
      <c r="F10" s="297">
        <f>SUM(H10:J10)</f>
        <v>0</v>
      </c>
      <c r="G10" s="298">
        <f>SUM(K10:M10)</f>
        <v>0</v>
      </c>
      <c r="H10" s="22"/>
      <c r="I10" s="254"/>
      <c r="J10" s="259"/>
      <c r="K10" s="260"/>
      <c r="L10" s="254"/>
      <c r="M10" s="141"/>
    </row>
    <row r="11" spans="1:15" x14ac:dyDescent="0.35">
      <c r="A11" s="186"/>
      <c r="B11" s="52" t="s">
        <v>75</v>
      </c>
      <c r="C11" s="53"/>
      <c r="D11" s="41"/>
      <c r="E11" s="297">
        <f>SUM($F11:$G11)</f>
        <v>0</v>
      </c>
      <c r="F11" s="297">
        <f>SUM(H11:J11)</f>
        <v>0</v>
      </c>
      <c r="G11" s="298">
        <f>SUM(K11:M11)</f>
        <v>0</v>
      </c>
      <c r="H11" s="22"/>
      <c r="I11" s="254"/>
      <c r="J11" s="259"/>
      <c r="K11" s="260"/>
      <c r="L11" s="254"/>
      <c r="M11" s="141"/>
    </row>
    <row r="12" spans="1:15" s="1" customFormat="1" x14ac:dyDescent="0.35">
      <c r="A12" s="187"/>
      <c r="B12" s="54" t="s">
        <v>76</v>
      </c>
      <c r="C12" s="69"/>
      <c r="D12" s="70"/>
      <c r="E12" s="299">
        <f>SUM(E13:E14)</f>
        <v>0</v>
      </c>
      <c r="F12" s="299">
        <f>SUM(F13:F14)</f>
        <v>0</v>
      </c>
      <c r="G12" s="299">
        <f>SUM(G13:G14)</f>
        <v>0</v>
      </c>
      <c r="H12" s="48"/>
      <c r="I12" s="299">
        <f>SUM(I13:I14)</f>
        <v>0</v>
      </c>
      <c r="J12" s="315"/>
      <c r="K12" s="314"/>
      <c r="L12" s="299">
        <f>SUM(L13:L14)</f>
        <v>0</v>
      </c>
      <c r="M12" s="142"/>
    </row>
    <row r="13" spans="1:15" x14ac:dyDescent="0.35">
      <c r="A13" s="186"/>
      <c r="B13" s="51" t="s">
        <v>77</v>
      </c>
      <c r="C13" s="51"/>
      <c r="D13" s="40"/>
      <c r="E13" s="297">
        <f>SUM($F13:$G13)</f>
        <v>0</v>
      </c>
      <c r="F13" s="297">
        <f>SUM(H13:J13)</f>
        <v>0</v>
      </c>
      <c r="G13" s="298">
        <f>SUM(K13:M13)</f>
        <v>0</v>
      </c>
      <c r="H13" s="22"/>
      <c r="I13" s="254"/>
      <c r="J13" s="259"/>
      <c r="K13" s="260"/>
      <c r="L13" s="254"/>
      <c r="M13" s="141"/>
    </row>
    <row r="14" spans="1:15" x14ac:dyDescent="0.35">
      <c r="A14" s="186"/>
      <c r="B14" s="52" t="s">
        <v>78</v>
      </c>
      <c r="C14" s="53"/>
      <c r="D14" s="41"/>
      <c r="E14" s="297">
        <f>SUM($F14:$G14)</f>
        <v>0</v>
      </c>
      <c r="F14" s="297">
        <f>SUM(H14:J14)</f>
        <v>0</v>
      </c>
      <c r="G14" s="298">
        <f>SUM(K14:M14)</f>
        <v>0</v>
      </c>
      <c r="H14" s="22"/>
      <c r="I14" s="254"/>
      <c r="J14" s="259"/>
      <c r="K14" s="260"/>
      <c r="L14" s="254"/>
      <c r="M14" s="141"/>
    </row>
    <row r="15" spans="1:15" s="1" customFormat="1" x14ac:dyDescent="0.35">
      <c r="A15" s="187" t="s">
        <v>49</v>
      </c>
      <c r="B15" s="44" t="s">
        <v>79</v>
      </c>
      <c r="C15" s="71"/>
      <c r="D15" s="72"/>
      <c r="E15" s="299">
        <f>SUM(E16:E20)</f>
        <v>0</v>
      </c>
      <c r="F15" s="299">
        <f>SUM(F16:F20)</f>
        <v>0</v>
      </c>
      <c r="G15" s="299">
        <f>SUM(G16:G20)</f>
        <v>0</v>
      </c>
      <c r="H15" s="48"/>
      <c r="I15" s="299">
        <f>SUM(I16:I20)</f>
        <v>0</v>
      </c>
      <c r="J15" s="316"/>
      <c r="K15" s="314"/>
      <c r="L15" s="299">
        <f>SUM(L16:L20)</f>
        <v>0</v>
      </c>
      <c r="M15" s="142"/>
    </row>
    <row r="16" spans="1:15" outlineLevel="1" x14ac:dyDescent="0.35">
      <c r="A16" s="186"/>
      <c r="B16" s="421"/>
      <c r="C16" s="422"/>
      <c r="D16" s="423"/>
      <c r="E16" s="237">
        <f>SUM($F16:$G16)</f>
        <v>0</v>
      </c>
      <c r="F16" s="238">
        <f>SUM(H16:J16)</f>
        <v>0</v>
      </c>
      <c r="G16" s="239">
        <f>SUM(K16:M16)</f>
        <v>0</v>
      </c>
      <c r="H16" s="22"/>
      <c r="I16" s="254"/>
      <c r="J16" s="259"/>
      <c r="K16" s="260"/>
      <c r="L16" s="254"/>
      <c r="M16" s="141"/>
      <c r="O16" t="s">
        <v>80</v>
      </c>
    </row>
    <row r="17" spans="1:13" outlineLevel="1" x14ac:dyDescent="0.35">
      <c r="A17" s="186"/>
      <c r="B17" s="421"/>
      <c r="C17" s="422"/>
      <c r="D17" s="423"/>
      <c r="E17" s="237">
        <f>SUM($F17:$G17)</f>
        <v>0</v>
      </c>
      <c r="F17" s="238">
        <f>SUM(H17:J17)</f>
        <v>0</v>
      </c>
      <c r="G17" s="239">
        <f>SUM(K17:M17)</f>
        <v>0</v>
      </c>
      <c r="H17" s="22"/>
      <c r="I17" s="254"/>
      <c r="J17" s="259"/>
      <c r="K17" s="260"/>
      <c r="L17" s="254"/>
      <c r="M17" s="141"/>
    </row>
    <row r="18" spans="1:13" outlineLevel="1" x14ac:dyDescent="0.35">
      <c r="A18" s="186"/>
      <c r="B18" s="421"/>
      <c r="C18" s="422"/>
      <c r="D18" s="423"/>
      <c r="E18" s="237">
        <f>SUM($F18:$G18)</f>
        <v>0</v>
      </c>
      <c r="F18" s="238">
        <f>SUM(H18:J18)</f>
        <v>0</v>
      </c>
      <c r="G18" s="239">
        <f>SUM(K18:M18)</f>
        <v>0</v>
      </c>
      <c r="H18" s="22"/>
      <c r="I18" s="254"/>
      <c r="J18" s="259"/>
      <c r="K18" s="260"/>
      <c r="L18" s="254"/>
      <c r="M18" s="141"/>
    </row>
    <row r="19" spans="1:13" outlineLevel="1" x14ac:dyDescent="0.35">
      <c r="A19" s="186"/>
      <c r="B19" s="421"/>
      <c r="C19" s="422"/>
      <c r="D19" s="423"/>
      <c r="E19" s="237">
        <f>SUM($F19:$G19)</f>
        <v>0</v>
      </c>
      <c r="F19" s="238">
        <f>SUM(H19:J19)</f>
        <v>0</v>
      </c>
      <c r="G19" s="239">
        <f>SUM(K19:M19)</f>
        <v>0</v>
      </c>
      <c r="H19" s="22"/>
      <c r="I19" s="254"/>
      <c r="J19" s="259"/>
      <c r="K19" s="260"/>
      <c r="L19" s="254"/>
      <c r="M19" s="141"/>
    </row>
    <row r="20" spans="1:13" outlineLevel="1" x14ac:dyDescent="0.35">
      <c r="A20" s="186"/>
      <c r="B20" s="421"/>
      <c r="C20" s="422"/>
      <c r="D20" s="423"/>
      <c r="E20" s="237">
        <f>SUM($F20:$G20)</f>
        <v>0</v>
      </c>
      <c r="F20" s="238">
        <f>SUM(H20:J20)</f>
        <v>0</v>
      </c>
      <c r="G20" s="239">
        <f>SUM(K20:M20)</f>
        <v>0</v>
      </c>
      <c r="H20" s="22"/>
      <c r="I20" s="254"/>
      <c r="J20" s="259"/>
      <c r="K20" s="260"/>
      <c r="L20" s="254"/>
      <c r="M20" s="141"/>
    </row>
    <row r="21" spans="1:13" ht="15" thickBot="1" x14ac:dyDescent="0.4">
      <c r="A21" s="186" t="s">
        <v>51</v>
      </c>
      <c r="B21" s="73" t="s">
        <v>81</v>
      </c>
      <c r="C21" s="74"/>
      <c r="D21" s="75"/>
      <c r="E21" s="300">
        <f>SUM(E7,E8,E12,E15)</f>
        <v>0</v>
      </c>
      <c r="F21" s="300">
        <f>SUM(F7,F8,F12,F15)</f>
        <v>0</v>
      </c>
      <c r="G21" s="300">
        <f>SUM(G7,G8,G12,G15)</f>
        <v>0</v>
      </c>
      <c r="H21" s="48"/>
      <c r="I21" s="300">
        <f>SUM(I7,I8,I12,I15)</f>
        <v>0</v>
      </c>
      <c r="J21" s="316"/>
      <c r="K21" s="260"/>
      <c r="L21" s="300">
        <f>SUM(L7,L8,L12,L15)</f>
        <v>0</v>
      </c>
      <c r="M21" s="141"/>
    </row>
    <row r="22" spans="1:13" ht="15" thickTop="1" x14ac:dyDescent="0.35">
      <c r="A22" s="186"/>
      <c r="B22" s="50" t="s">
        <v>82</v>
      </c>
      <c r="C22" s="45"/>
      <c r="D22" s="40"/>
      <c r="E22" s="299">
        <f>SUM(E23:E25)</f>
        <v>0</v>
      </c>
      <c r="F22" s="301">
        <f>SUM(F23:F25)</f>
        <v>0</v>
      </c>
      <c r="G22" s="301">
        <f>SUM(G23:G25)</f>
        <v>0</v>
      </c>
      <c r="H22" s="48"/>
      <c r="I22" s="317">
        <f>SUM(I23:I25)</f>
        <v>0</v>
      </c>
      <c r="J22" s="262"/>
      <c r="K22" s="314"/>
      <c r="L22" s="317">
        <f>SUM(L23:L25)</f>
        <v>0</v>
      </c>
      <c r="M22" s="141"/>
    </row>
    <row r="23" spans="1:13" x14ac:dyDescent="0.35">
      <c r="A23" s="186" t="s">
        <v>53</v>
      </c>
      <c r="B23" s="51" t="s">
        <v>83</v>
      </c>
      <c r="C23" s="51"/>
      <c r="D23" s="40"/>
      <c r="E23" s="297">
        <f>SUM($F23:$G23)</f>
        <v>0</v>
      </c>
      <c r="F23" s="297">
        <f>SUM(H23:J23)</f>
        <v>0</v>
      </c>
      <c r="G23" s="298">
        <f>SUM(K23:M23)</f>
        <v>0</v>
      </c>
      <c r="H23" s="22"/>
      <c r="I23" s="254"/>
      <c r="J23" s="259"/>
      <c r="K23" s="260"/>
      <c r="L23" s="254"/>
      <c r="M23" s="141"/>
    </row>
    <row r="24" spans="1:13" x14ac:dyDescent="0.35">
      <c r="A24" s="186" t="s">
        <v>60</v>
      </c>
      <c r="B24" s="51" t="s">
        <v>84</v>
      </c>
      <c r="C24" s="51"/>
      <c r="D24" s="40"/>
      <c r="E24" s="297">
        <f>SUM($F24:$G24)</f>
        <v>0</v>
      </c>
      <c r="F24" s="297">
        <f>SUM(H24:J24)</f>
        <v>0</v>
      </c>
      <c r="G24" s="298">
        <f>SUM(K24:M24)</f>
        <v>0</v>
      </c>
      <c r="H24" s="22"/>
      <c r="I24" s="254"/>
      <c r="J24" s="259"/>
      <c r="K24" s="260"/>
      <c r="L24" s="254"/>
      <c r="M24" s="141"/>
    </row>
    <row r="25" spans="1:13" x14ac:dyDescent="0.35">
      <c r="A25" s="186" t="s">
        <v>62</v>
      </c>
      <c r="B25" s="52" t="s">
        <v>75</v>
      </c>
      <c r="C25" s="53"/>
      <c r="D25" s="41"/>
      <c r="E25" s="297">
        <f>SUM($F25:$G25)</f>
        <v>0</v>
      </c>
      <c r="F25" s="302">
        <f>SUM(H25:J25)</f>
        <v>0</v>
      </c>
      <c r="G25" s="303">
        <f>SUM(K25:M25)</f>
        <v>0</v>
      </c>
      <c r="H25" s="22"/>
      <c r="I25" s="254"/>
      <c r="J25" s="259"/>
      <c r="K25" s="260"/>
      <c r="L25" s="254"/>
      <c r="M25" s="141"/>
    </row>
    <row r="26" spans="1:13" x14ac:dyDescent="0.35">
      <c r="A26" s="186"/>
      <c r="B26" s="54" t="s">
        <v>85</v>
      </c>
      <c r="C26" s="51"/>
      <c r="D26" s="40"/>
      <c r="E26" s="299">
        <f>SUM(E27:E28)</f>
        <v>0</v>
      </c>
      <c r="F26" s="299">
        <f>SUM(F27:F28)</f>
        <v>0</v>
      </c>
      <c r="G26" s="299">
        <f>SUM(G27:G28)</f>
        <v>0</v>
      </c>
      <c r="H26" s="22"/>
      <c r="I26" s="299">
        <f>SUM(I27:I28)</f>
        <v>0</v>
      </c>
      <c r="J26" s="315"/>
      <c r="K26" s="260"/>
      <c r="L26" s="299">
        <f>SUM(L27:L28)</f>
        <v>0</v>
      </c>
      <c r="M26" s="141"/>
    </row>
    <row r="27" spans="1:13" x14ac:dyDescent="0.35">
      <c r="A27" s="186" t="s">
        <v>86</v>
      </c>
      <c r="B27" s="51" t="s">
        <v>87</v>
      </c>
      <c r="C27" s="51"/>
      <c r="D27" s="40"/>
      <c r="E27" s="304">
        <f>SUM($F27:$G27)</f>
        <v>0</v>
      </c>
      <c r="F27" s="304">
        <f>SUM(H27:J27)</f>
        <v>0</v>
      </c>
      <c r="G27" s="304">
        <f>SUM(K27:M27)</f>
        <v>0</v>
      </c>
      <c r="H27" s="22"/>
      <c r="I27" s="254"/>
      <c r="J27" s="259"/>
      <c r="K27" s="260"/>
      <c r="L27" s="254"/>
      <c r="M27" s="141"/>
    </row>
    <row r="28" spans="1:13" x14ac:dyDescent="0.35">
      <c r="A28" s="186" t="s">
        <v>55</v>
      </c>
      <c r="B28" s="53" t="s">
        <v>88</v>
      </c>
      <c r="C28" s="53"/>
      <c r="D28" s="41"/>
      <c r="E28" s="295">
        <f>SUM(E29:E33)</f>
        <v>0</v>
      </c>
      <c r="F28" s="295">
        <f>SUM(F29:F33)</f>
        <v>0</v>
      </c>
      <c r="G28" s="295">
        <f>SUM(G29:G33)</f>
        <v>0</v>
      </c>
      <c r="H28" s="48"/>
      <c r="I28" s="299">
        <f>SUM(I29:I33)</f>
        <v>0</v>
      </c>
      <c r="J28" s="316"/>
      <c r="K28" s="314"/>
      <c r="L28" s="299">
        <f>SUM(L29:L33)</f>
        <v>0</v>
      </c>
      <c r="M28" s="141"/>
    </row>
    <row r="29" spans="1:13" outlineLevel="1" x14ac:dyDescent="0.35">
      <c r="A29" s="186"/>
      <c r="B29" s="414"/>
      <c r="C29" s="415"/>
      <c r="D29" s="416"/>
      <c r="E29" s="237">
        <f>SUM($F29:$G29)</f>
        <v>0</v>
      </c>
      <c r="F29" s="238">
        <f t="shared" ref="F29:F34" si="0">SUM(H29:J29)</f>
        <v>0</v>
      </c>
      <c r="G29" s="239">
        <f t="shared" ref="G29:G34" si="1">SUM(K29:M29)</f>
        <v>0</v>
      </c>
      <c r="H29" s="22"/>
      <c r="I29" s="254"/>
      <c r="J29" s="259"/>
      <c r="K29" s="260"/>
      <c r="L29" s="254"/>
      <c r="M29" s="141"/>
    </row>
    <row r="30" spans="1:13" outlineLevel="1" x14ac:dyDescent="0.35">
      <c r="A30" s="186"/>
      <c r="B30" s="414"/>
      <c r="C30" s="415"/>
      <c r="D30" s="416"/>
      <c r="E30" s="237">
        <f>SUM($F30:$G30)</f>
        <v>0</v>
      </c>
      <c r="F30" s="238">
        <f t="shared" si="0"/>
        <v>0</v>
      </c>
      <c r="G30" s="239">
        <f t="shared" si="1"/>
        <v>0</v>
      </c>
      <c r="H30" s="22"/>
      <c r="I30" s="254"/>
      <c r="J30" s="259"/>
      <c r="K30" s="260"/>
      <c r="L30" s="254"/>
      <c r="M30" s="141"/>
    </row>
    <row r="31" spans="1:13" outlineLevel="1" x14ac:dyDescent="0.35">
      <c r="A31" s="186"/>
      <c r="B31" s="414"/>
      <c r="C31" s="415"/>
      <c r="D31" s="416"/>
      <c r="E31" s="237">
        <f>SUM($F31:$G31)</f>
        <v>0</v>
      </c>
      <c r="F31" s="238">
        <f t="shared" si="0"/>
        <v>0</v>
      </c>
      <c r="G31" s="239">
        <f t="shared" si="1"/>
        <v>0</v>
      </c>
      <c r="H31" s="22"/>
      <c r="I31" s="254"/>
      <c r="J31" s="259"/>
      <c r="K31" s="260"/>
      <c r="L31" s="254"/>
      <c r="M31" s="141"/>
    </row>
    <row r="32" spans="1:13" outlineLevel="1" x14ac:dyDescent="0.35">
      <c r="A32" s="186"/>
      <c r="B32" s="414"/>
      <c r="C32" s="415"/>
      <c r="D32" s="416"/>
      <c r="E32" s="237">
        <f>SUM($F32:$G32)</f>
        <v>0</v>
      </c>
      <c r="F32" s="238">
        <f t="shared" si="0"/>
        <v>0</v>
      </c>
      <c r="G32" s="239">
        <f t="shared" si="1"/>
        <v>0</v>
      </c>
      <c r="H32" s="22"/>
      <c r="I32" s="254"/>
      <c r="J32" s="259"/>
      <c r="K32" s="260"/>
      <c r="L32" s="254"/>
      <c r="M32" s="141"/>
    </row>
    <row r="33" spans="1:13" outlineLevel="1" x14ac:dyDescent="0.35">
      <c r="A33" s="186"/>
      <c r="B33" s="414"/>
      <c r="C33" s="415"/>
      <c r="D33" s="416"/>
      <c r="E33" s="237">
        <f>SUM($F33:$G33)</f>
        <v>0</v>
      </c>
      <c r="F33" s="238">
        <f t="shared" si="0"/>
        <v>0</v>
      </c>
      <c r="G33" s="239">
        <f t="shared" si="1"/>
        <v>0</v>
      </c>
      <c r="H33" s="22"/>
      <c r="I33" s="318"/>
      <c r="J33" s="259"/>
      <c r="K33" s="260"/>
      <c r="L33" s="318"/>
      <c r="M33" s="141"/>
    </row>
    <row r="34" spans="1:13" x14ac:dyDescent="0.35">
      <c r="A34" s="186" t="s">
        <v>57</v>
      </c>
      <c r="B34" s="150" t="s">
        <v>89</v>
      </c>
      <c r="C34" s="51"/>
      <c r="D34" s="151"/>
      <c r="E34" s="299">
        <f>SUM(F34,G34)</f>
        <v>0</v>
      </c>
      <c r="F34" s="305">
        <f t="shared" si="0"/>
        <v>0</v>
      </c>
      <c r="G34" s="306">
        <f t="shared" si="1"/>
        <v>0</v>
      </c>
      <c r="H34" s="22"/>
      <c r="I34" s="319"/>
      <c r="J34" s="259"/>
      <c r="K34" s="260"/>
      <c r="L34" s="319"/>
      <c r="M34" s="141"/>
    </row>
    <row r="35" spans="1:13" ht="15" thickBot="1" x14ac:dyDescent="0.4">
      <c r="A35" s="186"/>
      <c r="B35" s="73" t="s">
        <v>90</v>
      </c>
      <c r="C35" s="74"/>
      <c r="D35" s="75"/>
      <c r="E35" s="300">
        <f>SUM(E21,E22,E26,E34)</f>
        <v>0</v>
      </c>
      <c r="F35" s="300">
        <f>SUM(F21,F22,F26,F34)</f>
        <v>0</v>
      </c>
      <c r="G35" s="300">
        <f>SUM(G21,G22,G26,G34)</f>
        <v>0</v>
      </c>
      <c r="H35" s="48"/>
      <c r="I35" s="300">
        <f>SUM(I21,I22,I26,I34)</f>
        <v>0</v>
      </c>
      <c r="J35" s="262"/>
      <c r="K35" s="314"/>
      <c r="L35" s="300">
        <f>SUM(L21,L22,L26,L34)</f>
        <v>0</v>
      </c>
      <c r="M35" s="141"/>
    </row>
    <row r="36" spans="1:13" ht="15" thickTop="1" x14ac:dyDescent="0.35">
      <c r="A36" s="186"/>
      <c r="B36" s="130"/>
      <c r="C36" s="39"/>
      <c r="D36" s="131"/>
      <c r="E36" s="307"/>
      <c r="F36" s="308"/>
      <c r="G36" s="309"/>
      <c r="H36" s="48"/>
      <c r="I36" s="321"/>
      <c r="J36" s="320"/>
      <c r="K36" s="314"/>
      <c r="L36" s="321"/>
      <c r="M36" s="141"/>
    </row>
    <row r="37" spans="1:13" x14ac:dyDescent="0.35">
      <c r="A37" s="186"/>
      <c r="B37" s="152" t="s">
        <v>91</v>
      </c>
      <c r="C37" s="53"/>
      <c r="D37" s="153"/>
      <c r="E37" s="310">
        <f>Property!E10</f>
        <v>0</v>
      </c>
      <c r="F37" s="310">
        <f>Property!F10</f>
        <v>0</v>
      </c>
      <c r="G37" s="310">
        <f>Property!G10</f>
        <v>0</v>
      </c>
      <c r="H37" s="46"/>
      <c r="I37" s="310"/>
      <c r="J37" s="322"/>
      <c r="K37" s="265"/>
      <c r="L37" s="310"/>
      <c r="M37" s="141"/>
    </row>
    <row r="38" spans="1:13" x14ac:dyDescent="0.35">
      <c r="A38" s="184"/>
      <c r="B38" s="132"/>
      <c r="C38" s="132"/>
      <c r="D38" s="132"/>
      <c r="E38" s="311"/>
      <c r="F38" s="247"/>
      <c r="G38" s="247"/>
      <c r="H38" s="29"/>
      <c r="I38" s="258"/>
      <c r="J38" s="247"/>
      <c r="K38" s="247"/>
      <c r="L38" s="258"/>
      <c r="M38" s="143"/>
    </row>
  </sheetData>
  <sheetProtection selectLockedCells="1" autoFilter="0"/>
  <mergeCells count="18">
    <mergeCell ref="L4:L6"/>
    <mergeCell ref="K1:K6"/>
    <mergeCell ref="I4:I6"/>
    <mergeCell ref="B33:D33"/>
    <mergeCell ref="B29:D29"/>
    <mergeCell ref="B31:D31"/>
    <mergeCell ref="B32:D32"/>
    <mergeCell ref="B30:D30"/>
    <mergeCell ref="B20:D20"/>
    <mergeCell ref="B19:D19"/>
    <mergeCell ref="B18:D18"/>
    <mergeCell ref="H1:H6"/>
    <mergeCell ref="C2:D2"/>
    <mergeCell ref="B7:D7"/>
    <mergeCell ref="B16:D16"/>
    <mergeCell ref="G1:G4"/>
    <mergeCell ref="C3:D3"/>
    <mergeCell ref="B17:D17"/>
  </mergeCells>
  <conditionalFormatting sqref="B29:D33 B16:D20">
    <cfRule type="expression" dxfId="1" priority="1">
      <formula>AND($E16&gt;0,ISBLANK($B16))</formula>
    </cfRule>
  </conditionalFormatting>
  <dataValidations count="3">
    <dataValidation type="list" allowBlank="1" showInputMessage="1" showErrorMessage="1" sqref="B29:D33" xr:uid="{00000000-0002-0000-0600-000000000000}">
      <formula1>Step5_Adjustments</formula1>
    </dataValidation>
    <dataValidation type="list" allowBlank="1" showInputMessage="1" showErrorMessage="1" sqref="B16:D20" xr:uid="{00000000-0002-0000-0600-000001000000}">
      <formula1>Step5_Disallowable</formula1>
    </dataValidation>
    <dataValidation type="decimal" operator="notEqual" allowBlank="1" showInputMessage="1" showErrorMessage="1" errorTitle="Data Validation" error="Value must be a number" sqref="L7:L34 I7:I34" xr:uid="{00000000-0002-0000-0600-000002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paperSize="8" scale="63" orientation="landscape" r:id="rId1"/>
  <headerFooter>
    <oddFooter>&amp;C&amp;1#&amp;"Calibri"&amp;10&amp;K000000OFFICIAL-SENSITIVE</oddFooter>
  </headerFooter>
  <ignoredErrors>
    <ignoredError sqref="F8 E12:G12 F15:G15 E27:G28 F26:G26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wsStep05">
    <outlinePr summaryBelow="0" summaryRight="0"/>
    <pageSetUpPr fitToPage="1"/>
  </sheetPr>
  <dimension ref="A1:H36"/>
  <sheetViews>
    <sheetView showGridLines="0" zoomScaleNormal="100" workbookViewId="0">
      <pane ySplit="5" topLeftCell="A6" activePane="bottomLeft" state="frozenSplit"/>
      <selection pane="bottomLeft"/>
    </sheetView>
  </sheetViews>
  <sheetFormatPr defaultRowHeight="15.5" x14ac:dyDescent="0.35"/>
  <cols>
    <col min="1" max="1" width="1.7265625" customWidth="1"/>
    <col min="2" max="2" width="29.54296875" customWidth="1"/>
    <col min="3" max="3" width="17.7265625" customWidth="1"/>
    <col min="4" max="4" width="66.1796875" customWidth="1"/>
    <col min="5" max="5" width="20.7265625" customWidth="1"/>
    <col min="6" max="6" width="4.7265625" style="49" customWidth="1"/>
    <col min="7" max="7" width="8" customWidth="1"/>
  </cols>
  <sheetData>
    <row r="1" spans="1:8" s="80" customFormat="1" ht="30" customHeight="1" x14ac:dyDescent="0.35">
      <c r="A1" s="96"/>
      <c r="B1" s="97" t="s">
        <v>92</v>
      </c>
      <c r="C1" s="179"/>
      <c r="D1" s="98"/>
      <c r="E1" s="98"/>
      <c r="F1" s="99"/>
      <c r="G1" s="229"/>
      <c r="H1" s="365" t="s">
        <v>9</v>
      </c>
    </row>
    <row r="2" spans="1:8" x14ac:dyDescent="0.35">
      <c r="A2" s="83"/>
      <c r="B2" s="102" t="s">
        <v>12</v>
      </c>
      <c r="C2" s="420" t="str">
        <f>TaxExempt!C2</f>
        <v/>
      </c>
      <c r="D2" s="413"/>
      <c r="E2" s="103"/>
      <c r="F2" s="110"/>
      <c r="G2" s="111"/>
    </row>
    <row r="3" spans="1:8" x14ac:dyDescent="0.35">
      <c r="A3" s="83"/>
      <c r="B3" s="104" t="s">
        <v>42</v>
      </c>
      <c r="C3" s="420" t="str">
        <f>TaxExempt!C3</f>
        <v/>
      </c>
      <c r="D3" s="413"/>
      <c r="E3" s="105"/>
      <c r="F3" s="110"/>
      <c r="G3" s="111"/>
    </row>
    <row r="4" spans="1:8" x14ac:dyDescent="0.35">
      <c r="A4" s="83"/>
      <c r="B4" s="104"/>
      <c r="C4" s="106"/>
      <c r="D4" s="3"/>
      <c r="E4" s="3"/>
      <c r="F4" s="110"/>
      <c r="G4" s="111"/>
    </row>
    <row r="5" spans="1:8" x14ac:dyDescent="0.35">
      <c r="A5" s="84"/>
      <c r="B5" s="94"/>
      <c r="C5" s="28"/>
      <c r="D5" s="28"/>
      <c r="E5" s="133" t="s">
        <v>44</v>
      </c>
      <c r="F5" s="112"/>
      <c r="G5" s="111"/>
    </row>
    <row r="6" spans="1:8" x14ac:dyDescent="0.35">
      <c r="A6" s="85"/>
      <c r="B6" s="429" t="s">
        <v>71</v>
      </c>
      <c r="C6" s="430"/>
      <c r="D6" s="431"/>
      <c r="E6" s="295">
        <f>TaxExempt!E7</f>
        <v>0</v>
      </c>
      <c r="F6" s="110"/>
      <c r="G6" s="111"/>
    </row>
    <row r="7" spans="1:8" x14ac:dyDescent="0.35">
      <c r="A7" s="85"/>
      <c r="B7" s="50" t="s">
        <v>72</v>
      </c>
      <c r="C7" s="45"/>
      <c r="D7" s="40"/>
      <c r="E7" s="299">
        <f>TaxExempt!E8</f>
        <v>0</v>
      </c>
      <c r="F7" s="110"/>
      <c r="G7" s="111"/>
    </row>
    <row r="8" spans="1:8" x14ac:dyDescent="0.35">
      <c r="A8" s="85"/>
      <c r="B8" s="51" t="s">
        <v>73</v>
      </c>
      <c r="C8" s="51"/>
      <c r="D8" s="40"/>
      <c r="E8" s="310">
        <f>TaxExempt!E9</f>
        <v>0</v>
      </c>
      <c r="F8" s="110"/>
      <c r="G8" s="111"/>
    </row>
    <row r="9" spans="1:8" x14ac:dyDescent="0.35">
      <c r="A9" s="85"/>
      <c r="B9" s="51" t="s">
        <v>74</v>
      </c>
      <c r="C9" s="51"/>
      <c r="D9" s="40"/>
      <c r="E9" s="310">
        <f>TaxExempt!E10</f>
        <v>0</v>
      </c>
      <c r="F9" s="110"/>
      <c r="G9" s="111"/>
    </row>
    <row r="10" spans="1:8" x14ac:dyDescent="0.35">
      <c r="A10" s="85"/>
      <c r="B10" s="52" t="s">
        <v>75</v>
      </c>
      <c r="C10" s="53"/>
      <c r="D10" s="41"/>
      <c r="E10" s="310">
        <f>TaxExempt!E11</f>
        <v>0</v>
      </c>
      <c r="F10" s="110"/>
      <c r="G10" s="111"/>
    </row>
    <row r="11" spans="1:8" x14ac:dyDescent="0.35">
      <c r="A11" s="85"/>
      <c r="B11" s="54" t="s">
        <v>76</v>
      </c>
      <c r="C11" s="51"/>
      <c r="D11" s="40"/>
      <c r="E11" s="299">
        <f>TaxExempt!E12</f>
        <v>0</v>
      </c>
      <c r="F11" s="110"/>
      <c r="G11" s="111"/>
    </row>
    <row r="12" spans="1:8" x14ac:dyDescent="0.35">
      <c r="A12" s="85"/>
      <c r="B12" s="51" t="s">
        <v>77</v>
      </c>
      <c r="C12" s="51"/>
      <c r="D12" s="40"/>
      <c r="E12" s="310">
        <f>TaxExempt!E13</f>
        <v>0</v>
      </c>
      <c r="F12" s="110"/>
      <c r="G12" s="111"/>
    </row>
    <row r="13" spans="1:8" x14ac:dyDescent="0.35">
      <c r="A13" s="85"/>
      <c r="B13" s="52" t="s">
        <v>78</v>
      </c>
      <c r="C13" s="53"/>
      <c r="D13" s="41"/>
      <c r="E13" s="310">
        <f>TaxExempt!E14</f>
        <v>0</v>
      </c>
      <c r="F13" s="110"/>
      <c r="G13" s="111"/>
    </row>
    <row r="14" spans="1:8" x14ac:dyDescent="0.35">
      <c r="A14" s="85"/>
      <c r="B14" s="44" t="s">
        <v>93</v>
      </c>
      <c r="C14" s="53"/>
      <c r="D14" s="41"/>
      <c r="E14" s="305">
        <f>TaxExempt!E15</f>
        <v>0</v>
      </c>
      <c r="F14" s="110"/>
      <c r="G14" s="111"/>
    </row>
    <row r="15" spans="1:8" ht="16" thickBot="1" x14ac:dyDescent="0.4">
      <c r="A15" s="85"/>
      <c r="B15" s="73" t="s">
        <v>81</v>
      </c>
      <c r="C15" s="74"/>
      <c r="D15" s="75"/>
      <c r="E15" s="323">
        <f>SUM(E6,E7,E11,E14)</f>
        <v>0</v>
      </c>
      <c r="F15" s="110" t="s">
        <v>94</v>
      </c>
      <c r="G15" s="111"/>
    </row>
    <row r="16" spans="1:8" ht="16" thickTop="1" x14ac:dyDescent="0.35">
      <c r="A16" s="85"/>
      <c r="B16" s="50" t="s">
        <v>82</v>
      </c>
      <c r="C16" s="45"/>
      <c r="D16" s="40"/>
      <c r="E16" s="299">
        <f>TaxExempt!E22</f>
        <v>0</v>
      </c>
      <c r="F16" s="110"/>
      <c r="G16" s="111"/>
    </row>
    <row r="17" spans="1:7" x14ac:dyDescent="0.35">
      <c r="A17" s="85"/>
      <c r="B17" s="51" t="s">
        <v>83</v>
      </c>
      <c r="C17" s="51"/>
      <c r="D17" s="40"/>
      <c r="E17" s="310">
        <f>TaxExempt!E23</f>
        <v>0</v>
      </c>
      <c r="F17" s="110"/>
      <c r="G17" s="111"/>
    </row>
    <row r="18" spans="1:7" x14ac:dyDescent="0.35">
      <c r="A18" s="85"/>
      <c r="B18" s="51" t="s">
        <v>84</v>
      </c>
      <c r="C18" s="51"/>
      <c r="D18" s="40"/>
      <c r="E18" s="310">
        <f>TaxExempt!E24</f>
        <v>0</v>
      </c>
      <c r="F18" s="110"/>
      <c r="G18" s="111"/>
    </row>
    <row r="19" spans="1:7" x14ac:dyDescent="0.35">
      <c r="A19" s="85"/>
      <c r="B19" s="52" t="s">
        <v>75</v>
      </c>
      <c r="C19" s="53"/>
      <c r="D19" s="41"/>
      <c r="E19" s="310">
        <f>TaxExempt!E25</f>
        <v>0</v>
      </c>
      <c r="F19" s="110"/>
      <c r="G19" s="111"/>
    </row>
    <row r="20" spans="1:7" x14ac:dyDescent="0.35">
      <c r="A20" s="85"/>
      <c r="B20" s="54" t="s">
        <v>85</v>
      </c>
      <c r="C20" s="51"/>
      <c r="D20" s="40"/>
      <c r="E20" s="299">
        <f>TaxExempt!E26</f>
        <v>0</v>
      </c>
      <c r="F20" s="110"/>
      <c r="G20" s="111"/>
    </row>
    <row r="21" spans="1:7" x14ac:dyDescent="0.35">
      <c r="A21" s="85"/>
      <c r="B21" s="51" t="s">
        <v>87</v>
      </c>
      <c r="C21" s="51"/>
      <c r="D21" s="40"/>
      <c r="E21" s="310">
        <f>TaxExempt!E27</f>
        <v>0</v>
      </c>
      <c r="F21" s="110"/>
      <c r="G21" s="111"/>
    </row>
    <row r="22" spans="1:7" x14ac:dyDescent="0.35">
      <c r="A22" s="85"/>
      <c r="B22" s="53" t="s">
        <v>95</v>
      </c>
      <c r="C22" s="53"/>
      <c r="D22" s="41"/>
      <c r="E22" s="310">
        <f>TaxExempt!E28</f>
        <v>0</v>
      </c>
      <c r="F22" s="110"/>
      <c r="G22" s="111"/>
    </row>
    <row r="23" spans="1:7" x14ac:dyDescent="0.35">
      <c r="A23" s="85"/>
      <c r="B23" s="55" t="s">
        <v>96</v>
      </c>
      <c r="C23" s="56"/>
      <c r="D23" s="57"/>
      <c r="E23" s="324">
        <f>TaxExempt!E34</f>
        <v>0</v>
      </c>
      <c r="F23" s="110"/>
      <c r="G23" s="111"/>
    </row>
    <row r="24" spans="1:7" ht="16" thickBot="1" x14ac:dyDescent="0.4">
      <c r="A24" s="85"/>
      <c r="B24" s="73" t="s">
        <v>90</v>
      </c>
      <c r="C24" s="74"/>
      <c r="D24" s="75"/>
      <c r="E24" s="300">
        <f>SUM(E15,E16,E20,E23)</f>
        <v>0</v>
      </c>
      <c r="F24" s="110" t="s">
        <v>97</v>
      </c>
      <c r="G24" s="111"/>
    </row>
    <row r="25" spans="1:7" ht="9" customHeight="1" thickTop="1" x14ac:dyDescent="0.35">
      <c r="A25" s="85"/>
      <c r="B25" s="134"/>
      <c r="C25" s="135"/>
      <c r="D25" s="136"/>
      <c r="E25" s="325"/>
      <c r="F25" s="110"/>
      <c r="G25" s="111"/>
    </row>
    <row r="26" spans="1:7" x14ac:dyDescent="0.35">
      <c r="A26" s="85"/>
      <c r="B26" s="76" t="s">
        <v>91</v>
      </c>
      <c r="C26" s="77"/>
      <c r="D26" s="78"/>
      <c r="E26" s="310">
        <f>TaxExempt!E37</f>
        <v>0</v>
      </c>
      <c r="F26" s="110" t="s">
        <v>98</v>
      </c>
      <c r="G26" s="111"/>
    </row>
    <row r="27" spans="1:7" x14ac:dyDescent="0.35">
      <c r="A27" s="83"/>
      <c r="B27" s="116"/>
      <c r="C27" s="117"/>
      <c r="D27" s="117"/>
      <c r="E27" s="259"/>
      <c r="F27" s="110"/>
      <c r="G27" s="111"/>
    </row>
    <row r="28" spans="1:7" x14ac:dyDescent="0.35">
      <c r="A28" s="83"/>
      <c r="B28" s="89" t="s">
        <v>17</v>
      </c>
      <c r="C28" s="3"/>
      <c r="D28" s="3"/>
      <c r="E28" s="259"/>
      <c r="F28" s="110"/>
      <c r="G28" s="111"/>
    </row>
    <row r="29" spans="1:7" x14ac:dyDescent="0.35">
      <c r="A29" s="83"/>
      <c r="B29" s="3" t="s">
        <v>18</v>
      </c>
      <c r="C29" s="3"/>
      <c r="D29" s="3"/>
      <c r="E29" s="326">
        <f>IF(E24&gt;0,E24*0.9,0)</f>
        <v>0</v>
      </c>
      <c r="F29" s="113" t="s">
        <v>99</v>
      </c>
      <c r="G29" s="111"/>
    </row>
    <row r="30" spans="1:7" x14ac:dyDescent="0.35">
      <c r="A30" s="83"/>
      <c r="B30" s="3" t="s">
        <v>100</v>
      </c>
      <c r="C30" s="3"/>
      <c r="D30" s="3"/>
      <c r="E30" s="326">
        <f>IF(E26&gt;0,E26,0)</f>
        <v>0</v>
      </c>
      <c r="F30" s="113" t="s">
        <v>101</v>
      </c>
      <c r="G30" s="111"/>
    </row>
    <row r="31" spans="1:7" x14ac:dyDescent="0.35">
      <c r="A31" s="83"/>
      <c r="B31" s="3"/>
      <c r="C31" s="3"/>
      <c r="D31" s="3"/>
      <c r="E31" s="3"/>
      <c r="F31" s="110"/>
      <c r="G31" s="111"/>
    </row>
    <row r="32" spans="1:7" x14ac:dyDescent="0.35">
      <c r="A32" s="83"/>
      <c r="B32" s="89" t="s">
        <v>102</v>
      </c>
      <c r="C32" s="3"/>
      <c r="D32" s="3"/>
      <c r="E32" s="168" t="str">
        <f>IF(AND(E15&gt;0,BOBTest!F13&lt;0),E15/-BOBTest!F13,"N/A")</f>
        <v>N/A</v>
      </c>
      <c r="F32" s="110" t="s">
        <v>103</v>
      </c>
      <c r="G32" s="111"/>
    </row>
    <row r="33" spans="1:7" x14ac:dyDescent="0.35">
      <c r="A33" s="83"/>
      <c r="B33" s="3"/>
      <c r="C33" s="3"/>
      <c r="D33" s="3" t="s">
        <v>104</v>
      </c>
      <c r="E33" s="3"/>
      <c r="F33" s="110"/>
      <c r="G33" s="111"/>
    </row>
    <row r="34" spans="1:7" x14ac:dyDescent="0.35">
      <c r="A34" s="83"/>
      <c r="B34" s="3"/>
      <c r="C34" s="3"/>
      <c r="D34" s="3"/>
      <c r="E34" s="166" t="str">
        <f>IF(E32&gt;=1.25,"PASS",IF(BOBTest!F12=0,"PASS","FAIL"))</f>
        <v>PASS</v>
      </c>
      <c r="F34" s="110"/>
      <c r="G34" s="111"/>
    </row>
    <row r="35" spans="1:7" x14ac:dyDescent="0.35">
      <c r="A35" s="84"/>
      <c r="B35" s="28"/>
      <c r="C35" s="28"/>
      <c r="D35" s="28"/>
      <c r="E35" s="28"/>
      <c r="F35" s="114"/>
      <c r="G35" s="115"/>
    </row>
    <row r="36" spans="1:7" x14ac:dyDescent="0.35">
      <c r="B36" s="228" t="s">
        <v>9</v>
      </c>
    </row>
  </sheetData>
  <sheetProtection selectLockedCells="1" selectUnlockedCells="1"/>
  <mergeCells count="3">
    <mergeCell ref="C2:D2"/>
    <mergeCell ref="B6:D6"/>
    <mergeCell ref="C3:D3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87" orientation="landscape" r:id="rId1"/>
  <headerFooter>
    <oddFooter>&amp;C&amp;1#&amp;"Calibri"&amp;10&amp;K000000OFFICIAL-SENSITIVE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wsStep06">
    <outlinePr summaryBelow="0" summaryRight="0"/>
    <pageSetUpPr fitToPage="1"/>
  </sheetPr>
  <dimension ref="A1:L41"/>
  <sheetViews>
    <sheetView showGridLines="0" zoomScaleNormal="100" workbookViewId="0">
      <pane ySplit="5" topLeftCell="A6" activePane="bottomLeft" state="frozenSplit"/>
      <selection pane="bottomLeft" activeCell="B19" sqref="B19:D19"/>
    </sheetView>
  </sheetViews>
  <sheetFormatPr defaultRowHeight="14.5" outlineLevelRow="1" x14ac:dyDescent="0.35"/>
  <cols>
    <col min="1" max="1" width="1.7265625" style="180" customWidth="1"/>
    <col min="2" max="2" width="29.54296875" customWidth="1"/>
    <col min="3" max="3" width="17.7265625" customWidth="1"/>
    <col min="4" max="4" width="66.1796875" customWidth="1"/>
    <col min="5" max="5" width="4.7265625" customWidth="1"/>
    <col min="6" max="6" width="20.7265625" customWidth="1"/>
    <col min="7" max="7" width="4.7265625" style="82" customWidth="1"/>
    <col min="8" max="8" width="20.7265625" customWidth="1"/>
    <col min="9" max="9" width="4.7265625" customWidth="1"/>
    <col min="10" max="10" width="20.7265625" style="1" customWidth="1"/>
    <col min="11" max="11" width="4.7265625" style="82" customWidth="1"/>
  </cols>
  <sheetData>
    <row r="1" spans="1:12" s="80" customFormat="1" ht="30" customHeight="1" x14ac:dyDescent="0.35">
      <c r="A1" s="182"/>
      <c r="B1" s="97" t="s">
        <v>105</v>
      </c>
      <c r="C1" s="97"/>
      <c r="D1" s="98"/>
      <c r="E1" s="98"/>
      <c r="F1" s="99"/>
      <c r="G1" s="100"/>
      <c r="H1" s="98"/>
      <c r="I1" s="98"/>
      <c r="J1" s="101"/>
      <c r="K1" s="227"/>
      <c r="L1" s="365" t="s">
        <v>9</v>
      </c>
    </row>
    <row r="2" spans="1:12" ht="15.5" x14ac:dyDescent="0.35">
      <c r="A2" s="183"/>
      <c r="B2" s="102" t="s">
        <v>12</v>
      </c>
      <c r="C2" s="420" t="str">
        <f>RatioTest!C2</f>
        <v/>
      </c>
      <c r="D2" s="413"/>
      <c r="E2" s="103"/>
      <c r="F2" s="435" t="s">
        <v>106</v>
      </c>
      <c r="G2" s="90"/>
      <c r="H2" s="438" t="s">
        <v>107</v>
      </c>
      <c r="I2" s="3"/>
      <c r="J2" s="439" t="s">
        <v>108</v>
      </c>
      <c r="K2" s="92"/>
    </row>
    <row r="3" spans="1:12" ht="15.75" customHeight="1" x14ac:dyDescent="0.35">
      <c r="A3" s="183"/>
      <c r="B3" s="104" t="s">
        <v>42</v>
      </c>
      <c r="C3" s="420" t="str">
        <f>RatioTest!C3</f>
        <v/>
      </c>
      <c r="D3" s="413"/>
      <c r="E3" s="105"/>
      <c r="F3" s="436"/>
      <c r="G3" s="90"/>
      <c r="H3" s="438"/>
      <c r="I3" s="3"/>
      <c r="J3" s="439"/>
      <c r="K3" s="92"/>
    </row>
    <row r="4" spans="1:12" ht="15.75" customHeight="1" x14ac:dyDescent="0.35">
      <c r="A4" s="183"/>
      <c r="B4" s="104"/>
      <c r="C4" s="106"/>
      <c r="D4" s="3"/>
      <c r="E4" s="3"/>
      <c r="F4" s="436"/>
      <c r="G4" s="90"/>
      <c r="H4" s="438"/>
      <c r="I4" s="3"/>
      <c r="J4" s="439"/>
      <c r="K4" s="92"/>
    </row>
    <row r="5" spans="1:12" ht="15.75" customHeight="1" x14ac:dyDescent="0.35">
      <c r="A5" s="183"/>
      <c r="B5" s="89"/>
      <c r="C5" s="3"/>
      <c r="D5" s="3"/>
      <c r="E5" s="90"/>
      <c r="F5" s="437"/>
      <c r="G5" s="90"/>
      <c r="H5" s="438"/>
      <c r="I5" s="3"/>
      <c r="J5" s="439"/>
      <c r="K5" s="92"/>
    </row>
    <row r="6" spans="1:12" x14ac:dyDescent="0.35">
      <c r="A6" s="185"/>
      <c r="B6" s="95" t="s">
        <v>45</v>
      </c>
      <c r="C6" s="86"/>
      <c r="D6" s="86"/>
      <c r="E6" s="87"/>
      <c r="F6" s="90"/>
      <c r="G6" s="107"/>
      <c r="H6" s="108"/>
      <c r="I6" s="86"/>
      <c r="J6" s="89"/>
      <c r="K6" s="109"/>
    </row>
    <row r="7" spans="1:12" x14ac:dyDescent="0.35">
      <c r="A7" s="189"/>
      <c r="B7" s="81" t="s">
        <v>109</v>
      </c>
      <c r="C7" s="81"/>
      <c r="D7" s="81"/>
      <c r="E7" s="81"/>
      <c r="F7" s="327">
        <f>Property!E8</f>
        <v>0</v>
      </c>
      <c r="G7" s="328"/>
      <c r="H7" s="329">
        <f>Residual!E8</f>
        <v>0</v>
      </c>
      <c r="I7" s="330"/>
      <c r="J7" s="331">
        <f>SUM(F7,H7)</f>
        <v>0</v>
      </c>
      <c r="K7" s="91"/>
    </row>
    <row r="8" spans="1:12" x14ac:dyDescent="0.35">
      <c r="A8" s="186"/>
      <c r="B8" s="39" t="s">
        <v>67</v>
      </c>
      <c r="C8" s="39"/>
      <c r="D8" s="39"/>
      <c r="E8" s="39"/>
      <c r="F8" s="332"/>
      <c r="G8" s="333"/>
      <c r="H8" s="263">
        <f>Residual!E10</f>
        <v>0</v>
      </c>
      <c r="I8" s="259"/>
      <c r="J8" s="334">
        <f t="shared" ref="J8:J18" si="0">SUM(F8,H8)</f>
        <v>0</v>
      </c>
      <c r="K8" s="92"/>
    </row>
    <row r="9" spans="1:12" x14ac:dyDescent="0.35">
      <c r="A9" s="186"/>
      <c r="B9" s="39" t="s">
        <v>48</v>
      </c>
      <c r="C9" s="39"/>
      <c r="D9" s="39"/>
      <c r="E9" s="39"/>
      <c r="F9" s="335">
        <f>Property!E10</f>
        <v>0</v>
      </c>
      <c r="G9" s="333" t="s">
        <v>98</v>
      </c>
      <c r="H9" s="336"/>
      <c r="I9" s="259"/>
      <c r="J9" s="334">
        <f t="shared" si="0"/>
        <v>0</v>
      </c>
      <c r="K9" s="92"/>
    </row>
    <row r="10" spans="1:12" x14ac:dyDescent="0.35">
      <c r="A10" s="186"/>
      <c r="B10" s="39" t="s">
        <v>110</v>
      </c>
      <c r="C10" s="39"/>
      <c r="D10" s="39"/>
      <c r="E10" s="39"/>
      <c r="F10" s="337">
        <f>Property!E11</f>
        <v>0</v>
      </c>
      <c r="G10" s="333"/>
      <c r="H10" s="338">
        <f>Residual!E11</f>
        <v>0</v>
      </c>
      <c r="I10" s="259"/>
      <c r="J10" s="339">
        <f t="shared" si="0"/>
        <v>0</v>
      </c>
      <c r="K10" s="92"/>
    </row>
    <row r="11" spans="1:12" ht="15" thickBot="1" x14ac:dyDescent="0.4">
      <c r="A11" s="186"/>
      <c r="B11" s="137" t="s">
        <v>52</v>
      </c>
      <c r="C11" s="138"/>
      <c r="D11" s="138"/>
      <c r="E11" s="139"/>
      <c r="F11" s="240">
        <f>Property!E17</f>
        <v>0</v>
      </c>
      <c r="G11" s="333"/>
      <c r="H11" s="340">
        <f>Residual!E17</f>
        <v>0</v>
      </c>
      <c r="I11" s="259"/>
      <c r="J11" s="341">
        <f t="shared" si="0"/>
        <v>0</v>
      </c>
      <c r="K11" s="92"/>
    </row>
    <row r="12" spans="1:12" ht="15" thickTop="1" x14ac:dyDescent="0.35">
      <c r="A12" s="186"/>
      <c r="B12" s="39" t="s">
        <v>497</v>
      </c>
      <c r="C12" s="39"/>
      <c r="D12" s="39"/>
      <c r="E12" s="39"/>
      <c r="F12" s="236">
        <f>Property!E18</f>
        <v>0</v>
      </c>
      <c r="G12" s="333"/>
      <c r="H12" s="342"/>
      <c r="I12" s="259"/>
      <c r="J12" s="343">
        <f t="shared" si="0"/>
        <v>0</v>
      </c>
      <c r="K12" s="92"/>
    </row>
    <row r="13" spans="1:12" x14ac:dyDescent="0.35">
      <c r="A13" s="186"/>
      <c r="B13" s="39" t="s">
        <v>499</v>
      </c>
      <c r="C13" s="39"/>
      <c r="D13" s="39"/>
      <c r="E13" s="39"/>
      <c r="F13" s="236">
        <f>Property!E19</f>
        <v>0</v>
      </c>
      <c r="G13" s="333" t="s">
        <v>111</v>
      </c>
      <c r="H13" s="342"/>
      <c r="I13" s="259"/>
      <c r="J13" s="343">
        <f t="shared" ref="J13:J14" si="1">SUM(F13,H13)</f>
        <v>0</v>
      </c>
      <c r="K13" s="92"/>
    </row>
    <row r="14" spans="1:12" x14ac:dyDescent="0.35">
      <c r="A14" s="186"/>
      <c r="B14" s="39" t="s">
        <v>501</v>
      </c>
      <c r="C14" s="39"/>
      <c r="D14" s="39"/>
      <c r="E14" s="39"/>
      <c r="F14" s="236">
        <f>Property!E20</f>
        <v>0</v>
      </c>
      <c r="G14" s="333"/>
      <c r="H14" s="342"/>
      <c r="I14" s="259"/>
      <c r="J14" s="343">
        <f t="shared" si="1"/>
        <v>0</v>
      </c>
      <c r="K14" s="92"/>
    </row>
    <row r="15" spans="1:12" x14ac:dyDescent="0.35">
      <c r="A15" s="186"/>
      <c r="B15" s="39" t="s">
        <v>112</v>
      </c>
      <c r="C15" s="39"/>
      <c r="D15" s="39"/>
      <c r="E15" s="39"/>
      <c r="F15" s="344"/>
      <c r="G15" s="333"/>
      <c r="H15" s="338">
        <f>Residual!E18</f>
        <v>0</v>
      </c>
      <c r="I15" s="259"/>
      <c r="J15" s="339">
        <f t="shared" si="0"/>
        <v>0</v>
      </c>
      <c r="K15" s="92"/>
    </row>
    <row r="16" spans="1:12" ht="15" thickBot="1" x14ac:dyDescent="0.4">
      <c r="A16" s="186"/>
      <c r="B16" s="137" t="s">
        <v>54</v>
      </c>
      <c r="C16" s="138"/>
      <c r="D16" s="138"/>
      <c r="E16" s="139"/>
      <c r="F16" s="240">
        <f>Property!E21</f>
        <v>0</v>
      </c>
      <c r="G16" s="333"/>
      <c r="H16" s="340">
        <f>Residual!E19</f>
        <v>0</v>
      </c>
      <c r="I16" s="259"/>
      <c r="J16" s="341">
        <f t="shared" si="0"/>
        <v>0</v>
      </c>
      <c r="K16" s="92"/>
    </row>
    <row r="17" spans="1:11" ht="15" thickTop="1" x14ac:dyDescent="0.35">
      <c r="A17" s="186"/>
      <c r="B17" s="39" t="s">
        <v>113</v>
      </c>
      <c r="C17" s="39"/>
      <c r="D17" s="39"/>
      <c r="E17" s="39"/>
      <c r="F17" s="242">
        <f>Property!E22</f>
        <v>0</v>
      </c>
      <c r="G17" s="333"/>
      <c r="H17" s="282">
        <f>Residual!E20</f>
        <v>0</v>
      </c>
      <c r="I17" s="259"/>
      <c r="J17" s="345">
        <f t="shared" si="0"/>
        <v>0</v>
      </c>
      <c r="K17" s="92"/>
    </row>
    <row r="18" spans="1:11" ht="15" thickBot="1" x14ac:dyDescent="0.4">
      <c r="A18" s="186" t="s">
        <v>49</v>
      </c>
      <c r="B18" s="137" t="s">
        <v>58</v>
      </c>
      <c r="C18" s="138"/>
      <c r="D18" s="138"/>
      <c r="E18" s="139"/>
      <c r="F18" s="240">
        <f>Property!E28</f>
        <v>0</v>
      </c>
      <c r="G18" s="333" t="s">
        <v>114</v>
      </c>
      <c r="H18" s="340">
        <f>Residual!E26</f>
        <v>0</v>
      </c>
      <c r="I18" s="259"/>
      <c r="J18" s="341">
        <f t="shared" si="0"/>
        <v>0</v>
      </c>
      <c r="K18" s="92" t="s">
        <v>115</v>
      </c>
    </row>
    <row r="19" spans="1:11" ht="15" outlineLevel="1" thickTop="1" x14ac:dyDescent="0.35">
      <c r="A19" s="186"/>
      <c r="B19" s="432"/>
      <c r="C19" s="433"/>
      <c r="D19" s="434"/>
      <c r="E19" s="3"/>
      <c r="F19" s="347"/>
      <c r="G19" s="333"/>
      <c r="H19" s="348"/>
      <c r="I19" s="259"/>
      <c r="J19" s="254"/>
      <c r="K19" s="92"/>
    </row>
    <row r="20" spans="1:11" outlineLevel="1" x14ac:dyDescent="0.35">
      <c r="A20" s="186"/>
      <c r="B20" s="432"/>
      <c r="C20" s="433"/>
      <c r="D20" s="434"/>
      <c r="E20" s="3"/>
      <c r="F20" s="347"/>
      <c r="G20" s="333"/>
      <c r="H20" s="348"/>
      <c r="I20" s="259"/>
      <c r="J20" s="254"/>
      <c r="K20" s="92"/>
    </row>
    <row r="21" spans="1:11" outlineLevel="1" x14ac:dyDescent="0.35">
      <c r="A21" s="186"/>
      <c r="B21" s="432"/>
      <c r="C21" s="433"/>
      <c r="D21" s="434"/>
      <c r="E21" s="3"/>
      <c r="F21" s="347"/>
      <c r="G21" s="333"/>
      <c r="H21" s="348"/>
      <c r="I21" s="259"/>
      <c r="J21" s="254"/>
      <c r="K21" s="92"/>
    </row>
    <row r="22" spans="1:11" outlineLevel="1" x14ac:dyDescent="0.35">
      <c r="A22" s="186"/>
      <c r="B22" s="432"/>
      <c r="C22" s="433"/>
      <c r="D22" s="434"/>
      <c r="E22" s="158"/>
      <c r="F22" s="349"/>
      <c r="G22" s="333"/>
      <c r="H22" s="342"/>
      <c r="I22" s="350"/>
      <c r="J22" s="351"/>
      <c r="K22" s="92"/>
    </row>
    <row r="23" spans="1:11" ht="15" thickBot="1" x14ac:dyDescent="0.4">
      <c r="A23" s="190" t="s">
        <v>51</v>
      </c>
      <c r="B23" s="159" t="s">
        <v>117</v>
      </c>
      <c r="C23" s="159"/>
      <c r="D23" s="159"/>
      <c r="E23" s="159"/>
      <c r="F23" s="352"/>
      <c r="G23" s="353"/>
      <c r="H23" s="352"/>
      <c r="I23" s="247"/>
      <c r="J23" s="354">
        <f>SUM(J18,J19:J22)</f>
        <v>0</v>
      </c>
      <c r="K23" s="93"/>
    </row>
    <row r="24" spans="1:11" ht="15" thickTop="1" x14ac:dyDescent="0.35">
      <c r="A24" s="183"/>
      <c r="B24" s="3"/>
      <c r="C24" s="3"/>
      <c r="D24" s="3"/>
      <c r="E24" s="3"/>
      <c r="F24" s="127"/>
      <c r="G24" s="163"/>
      <c r="H24" s="127"/>
      <c r="I24" s="127"/>
      <c r="J24" s="167"/>
      <c r="K24" s="92"/>
    </row>
    <row r="25" spans="1:11" x14ac:dyDescent="0.35">
      <c r="A25" s="183"/>
      <c r="B25" s="89" t="s">
        <v>118</v>
      </c>
      <c r="C25" s="3"/>
      <c r="D25" s="3"/>
      <c r="E25" s="89" t="s">
        <v>119</v>
      </c>
      <c r="F25" s="164">
        <f>IF(H18&gt;0,IF(F18&gt;0,F18/J18,0),1)</f>
        <v>1</v>
      </c>
      <c r="G25" s="163"/>
      <c r="H25" s="165" t="str">
        <f>IF(F25&gt;=0.8,"PASS",IF(F25&gt;=0.75,"GATEWAY","FAIL"))</f>
        <v>PASS</v>
      </c>
      <c r="I25" s="127"/>
      <c r="J25" s="167"/>
      <c r="K25" s="92"/>
    </row>
    <row r="26" spans="1:11" x14ac:dyDescent="0.35">
      <c r="A26" s="183"/>
      <c r="B26" s="3"/>
      <c r="C26" s="3"/>
      <c r="D26" s="3"/>
      <c r="E26" s="3"/>
      <c r="F26" s="127"/>
      <c r="G26" s="163"/>
      <c r="H26" s="127"/>
      <c r="I26" s="127"/>
      <c r="J26" s="167"/>
      <c r="K26" s="92"/>
    </row>
    <row r="27" spans="1:11" x14ac:dyDescent="0.35">
      <c r="A27" s="183"/>
      <c r="B27" s="95" t="s">
        <v>59</v>
      </c>
      <c r="C27" s="3"/>
      <c r="D27" s="3"/>
      <c r="E27" s="3"/>
      <c r="F27" s="127"/>
      <c r="G27" s="163"/>
      <c r="H27" s="127"/>
      <c r="I27" s="127"/>
      <c r="J27" s="167"/>
      <c r="K27" s="92"/>
    </row>
    <row r="28" spans="1:11" x14ac:dyDescent="0.35">
      <c r="A28" s="189"/>
      <c r="B28" s="81" t="s">
        <v>61</v>
      </c>
      <c r="C28" s="81"/>
      <c r="D28" s="81"/>
      <c r="E28" s="81"/>
      <c r="F28" s="327">
        <f>Property!E31</f>
        <v>0</v>
      </c>
      <c r="G28" s="328"/>
      <c r="H28" s="329">
        <f>Residual!E29</f>
        <v>0</v>
      </c>
      <c r="I28" s="330"/>
      <c r="J28" s="331">
        <f>SUM(F28,H28)</f>
        <v>0</v>
      </c>
      <c r="K28" s="91"/>
    </row>
    <row r="29" spans="1:11" x14ac:dyDescent="0.35">
      <c r="A29" s="186"/>
      <c r="B29" s="39" t="s">
        <v>63</v>
      </c>
      <c r="C29" s="39"/>
      <c r="D29" s="39"/>
      <c r="E29" s="39"/>
      <c r="F29" s="337">
        <f>Property!E32</f>
        <v>0</v>
      </c>
      <c r="G29" s="333"/>
      <c r="H29" s="338">
        <f>Residual!E30</f>
        <v>0</v>
      </c>
      <c r="I29" s="259"/>
      <c r="J29" s="339">
        <f>SUM(F29,H29)</f>
        <v>0</v>
      </c>
      <c r="K29" s="92"/>
    </row>
    <row r="30" spans="1:11" ht="15" thickBot="1" x14ac:dyDescent="0.4">
      <c r="A30" s="186"/>
      <c r="B30" s="137" t="s">
        <v>64</v>
      </c>
      <c r="C30" s="138"/>
      <c r="D30" s="138"/>
      <c r="E30" s="139"/>
      <c r="F30" s="355">
        <f>Property!E33</f>
        <v>0</v>
      </c>
      <c r="G30" s="333" t="s">
        <v>120</v>
      </c>
      <c r="H30" s="340">
        <f>Residual!E31</f>
        <v>0</v>
      </c>
      <c r="I30" s="259"/>
      <c r="J30" s="341">
        <f>SUM(F30,H30)</f>
        <v>0</v>
      </c>
      <c r="K30" s="92" t="s">
        <v>121</v>
      </c>
    </row>
    <row r="31" spans="1:11" ht="15" thickTop="1" x14ac:dyDescent="0.35">
      <c r="A31" s="186" t="s">
        <v>55</v>
      </c>
      <c r="B31" s="3" t="s">
        <v>116</v>
      </c>
      <c r="C31" s="3"/>
      <c r="D31" s="3"/>
      <c r="E31" s="3"/>
      <c r="F31" s="346"/>
      <c r="G31" s="333"/>
      <c r="H31" s="346"/>
      <c r="I31" s="259"/>
      <c r="J31" s="356"/>
      <c r="K31" s="92"/>
    </row>
    <row r="32" spans="1:11" outlineLevel="1" x14ac:dyDescent="0.35">
      <c r="A32" s="186"/>
      <c r="B32" s="432"/>
      <c r="C32" s="433"/>
      <c r="D32" s="434"/>
      <c r="E32" s="3"/>
      <c r="F32" s="347"/>
      <c r="G32" s="333"/>
      <c r="H32" s="348"/>
      <c r="I32" s="259"/>
      <c r="J32" s="254"/>
      <c r="K32" s="92"/>
    </row>
    <row r="33" spans="1:11" outlineLevel="1" x14ac:dyDescent="0.35">
      <c r="A33" s="186"/>
      <c r="B33" s="432"/>
      <c r="C33" s="433"/>
      <c r="D33" s="434"/>
      <c r="E33" s="3"/>
      <c r="F33" s="347"/>
      <c r="G33" s="333"/>
      <c r="H33" s="348"/>
      <c r="I33" s="259"/>
      <c r="J33" s="254"/>
      <c r="K33" s="92"/>
    </row>
    <row r="34" spans="1:11" outlineLevel="1" x14ac:dyDescent="0.35">
      <c r="A34" s="186"/>
      <c r="B34" s="432"/>
      <c r="C34" s="433"/>
      <c r="D34" s="434"/>
      <c r="E34" s="3"/>
      <c r="F34" s="347"/>
      <c r="G34" s="333"/>
      <c r="H34" s="348"/>
      <c r="I34" s="259"/>
      <c r="J34" s="254"/>
      <c r="K34" s="92"/>
    </row>
    <row r="35" spans="1:11" outlineLevel="1" x14ac:dyDescent="0.35">
      <c r="A35" s="186"/>
      <c r="B35" s="432"/>
      <c r="C35" s="433"/>
      <c r="D35" s="434"/>
      <c r="E35" s="3"/>
      <c r="F35" s="347"/>
      <c r="G35" s="333"/>
      <c r="H35" s="348"/>
      <c r="I35" s="259"/>
      <c r="J35" s="254"/>
      <c r="K35" s="92"/>
    </row>
    <row r="36" spans="1:11" outlineLevel="1" x14ac:dyDescent="0.35">
      <c r="A36" s="186"/>
      <c r="B36" s="432"/>
      <c r="C36" s="433"/>
      <c r="D36" s="434"/>
      <c r="E36" s="158"/>
      <c r="F36" s="349"/>
      <c r="G36" s="333"/>
      <c r="H36" s="342"/>
      <c r="I36" s="259"/>
      <c r="J36" s="351"/>
      <c r="K36" s="92"/>
    </row>
    <row r="37" spans="1:11" ht="15" thickBot="1" x14ac:dyDescent="0.4">
      <c r="A37" s="190" t="s">
        <v>57</v>
      </c>
      <c r="B37" s="159" t="s">
        <v>122</v>
      </c>
      <c r="C37" s="28"/>
      <c r="D37" s="28"/>
      <c r="E37" s="28"/>
      <c r="F37" s="352"/>
      <c r="G37" s="353"/>
      <c r="H37" s="352"/>
      <c r="I37" s="247"/>
      <c r="J37" s="354">
        <f>SUM(J30,J32:J36)</f>
        <v>0</v>
      </c>
      <c r="K37" s="93"/>
    </row>
    <row r="38" spans="1:11" ht="15" thickTop="1" x14ac:dyDescent="0.35">
      <c r="A38" s="183"/>
      <c r="B38" s="3"/>
      <c r="C38" s="3"/>
      <c r="D38" s="3"/>
      <c r="E38" s="3"/>
      <c r="F38" s="127"/>
      <c r="G38" s="163"/>
      <c r="H38" s="127"/>
      <c r="I38" s="127"/>
      <c r="J38" s="140"/>
      <c r="K38" s="92"/>
    </row>
    <row r="39" spans="1:11" x14ac:dyDescent="0.35">
      <c r="A39" s="183"/>
      <c r="B39" s="88" t="s">
        <v>123</v>
      </c>
      <c r="C39" s="3"/>
      <c r="D39" s="3"/>
      <c r="E39" s="89" t="s">
        <v>124</v>
      </c>
      <c r="F39" s="164">
        <f>IF(H30&gt;0,IF(F30&gt;0,F30/J30,0),1)</f>
        <v>1</v>
      </c>
      <c r="G39" s="163"/>
      <c r="H39" s="165" t="str">
        <f>IF(F39&gt;=0.8,"PASS",IF(F39&gt;=0.75,"GATEWAY","FAIL"))</f>
        <v>PASS</v>
      </c>
      <c r="I39" s="127"/>
      <c r="J39" s="140"/>
      <c r="K39" s="92"/>
    </row>
    <row r="40" spans="1:11" x14ac:dyDescent="0.35">
      <c r="A40" s="184"/>
      <c r="B40" s="4"/>
      <c r="C40" s="28"/>
      <c r="D40" s="28"/>
      <c r="E40" s="28"/>
      <c r="F40" s="160"/>
      <c r="G40" s="161"/>
      <c r="H40" s="160"/>
      <c r="I40" s="160"/>
      <c r="J40" s="162"/>
      <c r="K40" s="93"/>
    </row>
    <row r="41" spans="1:11" x14ac:dyDescent="0.35">
      <c r="B41" s="228" t="s">
        <v>9</v>
      </c>
    </row>
  </sheetData>
  <sheetProtection selectLockedCells="1" autoFilter="0"/>
  <mergeCells count="14">
    <mergeCell ref="C2:D2"/>
    <mergeCell ref="F2:F5"/>
    <mergeCell ref="H2:H5"/>
    <mergeCell ref="J2:J5"/>
    <mergeCell ref="C3:D3"/>
    <mergeCell ref="B33:D33"/>
    <mergeCell ref="B34:D34"/>
    <mergeCell ref="B35:D35"/>
    <mergeCell ref="B36:D36"/>
    <mergeCell ref="B19:D19"/>
    <mergeCell ref="B20:D20"/>
    <mergeCell ref="B21:D21"/>
    <mergeCell ref="B22:D22"/>
    <mergeCell ref="B32:D32"/>
  </mergeCells>
  <conditionalFormatting sqref="B32:D36 B19:D22">
    <cfRule type="expression" dxfId="0" priority="1">
      <formula>AND($J19&gt;0,ISBLANK($B19))</formula>
    </cfRule>
  </conditionalFormatting>
  <dataValidations count="3">
    <dataValidation type="list" allowBlank="1" showInputMessage="1" showErrorMessage="1" sqref="B32:D36" xr:uid="{00000000-0002-0000-0800-000000000000}">
      <formula1>Step7_Reconciliations</formula1>
    </dataValidation>
    <dataValidation type="decimal" operator="notEqual" allowBlank="1" showInputMessage="1" showErrorMessage="1" errorTitle="Data Validation" error="Value must be a number" sqref="J32:J36 J19:J22" xr:uid="{00000000-0002-0000-0800-000001000000}">
      <formula1>0</formula1>
    </dataValidation>
    <dataValidation type="list" allowBlank="1" showInputMessage="1" showErrorMessage="1" sqref="B19:D22" xr:uid="{BFB5A6B5-D55B-47F7-B931-CA83C31BECD9}">
      <formula1>Step7_Reconcilation_PBT</formula1>
    </dataValidation>
  </dataValidations>
  <pageMargins left="0.70866141732283472" right="0.70866141732283472" top="0.74803149606299213" bottom="0.74803149606299213" header="0.31496062992125984" footer="0.31496062992125984"/>
  <pageSetup paperSize="9" scale="66" orientation="landscape" r:id="rId1"/>
  <headerFooter>
    <oddFooter>&amp;C&amp;1#&amp;"Calibri"&amp;10&amp;K000000OFFICIAL-SENSITIVE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wsGuidance"/>
  <dimension ref="B1:P54"/>
  <sheetViews>
    <sheetView showGridLines="0" zoomScale="106" zoomScaleNormal="106" workbookViewId="0"/>
  </sheetViews>
  <sheetFormatPr defaultRowHeight="14.5" x14ac:dyDescent="0.35"/>
  <sheetData>
    <row r="1" spans="2:16" ht="26" x14ac:dyDescent="0.6">
      <c r="B1" s="378" t="s">
        <v>125</v>
      </c>
      <c r="P1" s="228" t="s">
        <v>9</v>
      </c>
    </row>
    <row r="2" spans="2:16" ht="3" customHeight="1" x14ac:dyDescent="0.35"/>
    <row r="3" spans="2:16" x14ac:dyDescent="0.35">
      <c r="B3" s="1" t="s">
        <v>126</v>
      </c>
    </row>
    <row r="4" spans="2:16" x14ac:dyDescent="0.35">
      <c r="C4" t="s">
        <v>127</v>
      </c>
    </row>
    <row r="5" spans="2:16" x14ac:dyDescent="0.35">
      <c r="C5" t="s">
        <v>128</v>
      </c>
    </row>
    <row r="6" spans="2:16" x14ac:dyDescent="0.35">
      <c r="C6" s="379" t="s">
        <v>129</v>
      </c>
    </row>
    <row r="7" spans="2:16" x14ac:dyDescent="0.35">
      <c r="C7" s="379" t="s">
        <v>130</v>
      </c>
    </row>
    <row r="8" spans="2:16" x14ac:dyDescent="0.35">
      <c r="C8" s="379" t="s">
        <v>131</v>
      </c>
    </row>
    <row r="9" spans="2:16" x14ac:dyDescent="0.35">
      <c r="C9" s="389" t="s">
        <v>132</v>
      </c>
    </row>
    <row r="10" spans="2:16" x14ac:dyDescent="0.35">
      <c r="C10" s="389" t="s">
        <v>133</v>
      </c>
    </row>
    <row r="12" spans="2:16" x14ac:dyDescent="0.35">
      <c r="B12" s="1" t="s">
        <v>134</v>
      </c>
    </row>
    <row r="13" spans="2:16" x14ac:dyDescent="0.35">
      <c r="C13" s="172" t="s">
        <v>135</v>
      </c>
    </row>
    <row r="14" spans="2:16" x14ac:dyDescent="0.35">
      <c r="C14" t="s">
        <v>136</v>
      </c>
    </row>
    <row r="15" spans="2:16" x14ac:dyDescent="0.35">
      <c r="C15" t="s">
        <v>137</v>
      </c>
    </row>
    <row r="16" spans="2:16" x14ac:dyDescent="0.35">
      <c r="C16" t="s">
        <v>138</v>
      </c>
    </row>
    <row r="17" spans="2:3" x14ac:dyDescent="0.35">
      <c r="C17" t="s">
        <v>139</v>
      </c>
    </row>
    <row r="18" spans="2:3" x14ac:dyDescent="0.35">
      <c r="C18" t="s">
        <v>140</v>
      </c>
    </row>
    <row r="19" spans="2:3" x14ac:dyDescent="0.35">
      <c r="C19" t="s">
        <v>141</v>
      </c>
    </row>
    <row r="20" spans="2:3" x14ac:dyDescent="0.35">
      <c r="C20" t="s">
        <v>142</v>
      </c>
    </row>
    <row r="21" spans="2:3" x14ac:dyDescent="0.35">
      <c r="C21" s="192" t="s">
        <v>143</v>
      </c>
    </row>
    <row r="22" spans="2:3" x14ac:dyDescent="0.35">
      <c r="C22" s="192" t="s">
        <v>144</v>
      </c>
    </row>
    <row r="24" spans="2:3" x14ac:dyDescent="0.35">
      <c r="B24" s="1" t="s">
        <v>145</v>
      </c>
    </row>
    <row r="25" spans="2:3" x14ac:dyDescent="0.35">
      <c r="C25" t="s">
        <v>146</v>
      </c>
    </row>
    <row r="26" spans="2:3" x14ac:dyDescent="0.35">
      <c r="C26" t="s">
        <v>147</v>
      </c>
    </row>
    <row r="27" spans="2:3" x14ac:dyDescent="0.35">
      <c r="C27" t="s">
        <v>148</v>
      </c>
    </row>
    <row r="28" spans="2:3" x14ac:dyDescent="0.35">
      <c r="C28" t="s">
        <v>149</v>
      </c>
    </row>
    <row r="30" spans="2:3" x14ac:dyDescent="0.35">
      <c r="B30" s="1" t="s">
        <v>150</v>
      </c>
    </row>
    <row r="31" spans="2:3" x14ac:dyDescent="0.35">
      <c r="C31" t="s">
        <v>151</v>
      </c>
    </row>
    <row r="32" spans="2:3" x14ac:dyDescent="0.35">
      <c r="C32" t="s">
        <v>152</v>
      </c>
    </row>
    <row r="33" spans="2:3" x14ac:dyDescent="0.35">
      <c r="C33" t="s">
        <v>153</v>
      </c>
    </row>
    <row r="34" spans="2:3" x14ac:dyDescent="0.35">
      <c r="C34" t="s">
        <v>154</v>
      </c>
    </row>
    <row r="35" spans="2:3" x14ac:dyDescent="0.35">
      <c r="C35" t="s">
        <v>155</v>
      </c>
    </row>
    <row r="36" spans="2:3" x14ac:dyDescent="0.35">
      <c r="C36" t="s">
        <v>156</v>
      </c>
    </row>
    <row r="38" spans="2:3" x14ac:dyDescent="0.35">
      <c r="B38" s="1" t="s">
        <v>157</v>
      </c>
    </row>
    <row r="39" spans="2:3" x14ac:dyDescent="0.35">
      <c r="C39" t="s">
        <v>158</v>
      </c>
    </row>
    <row r="41" spans="2:3" x14ac:dyDescent="0.35">
      <c r="B41" s="1" t="s">
        <v>159</v>
      </c>
    </row>
    <row r="42" spans="2:3" x14ac:dyDescent="0.35">
      <c r="C42" t="s">
        <v>160</v>
      </c>
    </row>
    <row r="43" spans="2:3" x14ac:dyDescent="0.35">
      <c r="C43" t="s">
        <v>161</v>
      </c>
    </row>
    <row r="44" spans="2:3" x14ac:dyDescent="0.35">
      <c r="C44" t="s">
        <v>162</v>
      </c>
    </row>
    <row r="46" spans="2:3" x14ac:dyDescent="0.35">
      <c r="B46" s="1" t="s">
        <v>163</v>
      </c>
    </row>
    <row r="47" spans="2:3" x14ac:dyDescent="0.35">
      <c r="C47" t="s">
        <v>164</v>
      </c>
    </row>
    <row r="48" spans="2:3" x14ac:dyDescent="0.35">
      <c r="C48" t="s">
        <v>165</v>
      </c>
    </row>
    <row r="49" spans="2:3" x14ac:dyDescent="0.35">
      <c r="C49" s="172" t="s">
        <v>166</v>
      </c>
    </row>
    <row r="50" spans="2:3" x14ac:dyDescent="0.35">
      <c r="C50" s="172" t="s">
        <v>167</v>
      </c>
    </row>
    <row r="51" spans="2:3" x14ac:dyDescent="0.35">
      <c r="C51" s="172" t="s">
        <v>168</v>
      </c>
    </row>
    <row r="54" spans="2:3" ht="15" customHeight="1" x14ac:dyDescent="0.55000000000000004">
      <c r="B54" s="387"/>
    </row>
  </sheetData>
  <sheetProtection selectLockedCells="1" selectUnlockedCells="1"/>
  <pageMargins left="0.7" right="0.7" top="0.75" bottom="0.75" header="0.3" footer="0.3"/>
  <pageSetup paperSize="9" orientation="portrait" r:id="rId1"/>
  <headerFooter>
    <oddFooter>&amp;C&amp;1#&amp;"Calibri"&amp;10&amp;K000000OFFICIAL-SENSITIVE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wsLists">
    <tabColor rgb="FFFF0000"/>
  </sheetPr>
  <dimension ref="A1:L244"/>
  <sheetViews>
    <sheetView workbookViewId="0">
      <pane ySplit="1" topLeftCell="A2" activePane="bottomLeft" state="frozenSplit"/>
      <selection pane="bottomLeft" activeCell="H4" sqref="H4"/>
    </sheetView>
  </sheetViews>
  <sheetFormatPr defaultRowHeight="14.5" x14ac:dyDescent="0.35"/>
  <cols>
    <col min="1" max="1" width="7.7265625" bestFit="1" customWidth="1"/>
    <col min="2" max="2" width="55.54296875" customWidth="1"/>
    <col min="3" max="3" width="33.54296875" bestFit="1" customWidth="1"/>
    <col min="5" max="5" width="29.81640625" bestFit="1" customWidth="1"/>
    <col min="6" max="6" width="42.453125" bestFit="1" customWidth="1"/>
    <col min="7" max="7" width="32.26953125" bestFit="1" customWidth="1"/>
    <col min="8" max="8" width="82.1796875" customWidth="1"/>
    <col min="9" max="9" width="30.81640625" bestFit="1" customWidth="1"/>
    <col min="10" max="10" width="33.453125" bestFit="1" customWidth="1"/>
    <col min="11" max="11" width="76.54296875" bestFit="1" customWidth="1"/>
    <col min="12" max="12" width="64.26953125" bestFit="1" customWidth="1"/>
  </cols>
  <sheetData>
    <row r="1" spans="1:12" s="1" customFormat="1" x14ac:dyDescent="0.35">
      <c r="A1" s="380" t="s">
        <v>169</v>
      </c>
      <c r="B1" s="380" t="s">
        <v>170</v>
      </c>
      <c r="C1" s="380" t="s">
        <v>171</v>
      </c>
      <c r="D1" s="380"/>
      <c r="E1" s="368" t="s">
        <v>172</v>
      </c>
      <c r="F1" s="368" t="s">
        <v>173</v>
      </c>
      <c r="G1" s="381" t="s">
        <v>174</v>
      </c>
      <c r="H1" s="381" t="s">
        <v>175</v>
      </c>
      <c r="I1" s="382" t="s">
        <v>176</v>
      </c>
      <c r="J1" s="382" t="s">
        <v>177</v>
      </c>
      <c r="K1" s="383" t="s">
        <v>178</v>
      </c>
      <c r="L1" s="388" t="s">
        <v>179</v>
      </c>
    </row>
    <row r="2" spans="1:12" x14ac:dyDescent="0.35">
      <c r="A2" t="s">
        <v>180</v>
      </c>
      <c r="B2" t="s">
        <v>181</v>
      </c>
      <c r="C2" t="s">
        <v>182</v>
      </c>
      <c r="E2" s="367" t="s">
        <v>183</v>
      </c>
      <c r="F2" s="367" t="s">
        <v>183</v>
      </c>
      <c r="G2" s="367" t="s">
        <v>183</v>
      </c>
      <c r="H2" s="367" t="s">
        <v>184</v>
      </c>
      <c r="I2" s="367" t="s">
        <v>185</v>
      </c>
      <c r="J2" s="367" t="s">
        <v>186</v>
      </c>
      <c r="K2" s="367" t="s">
        <v>187</v>
      </c>
      <c r="L2" t="s">
        <v>187</v>
      </c>
    </row>
    <row r="3" spans="1:12" x14ac:dyDescent="0.35">
      <c r="A3" t="s">
        <v>188</v>
      </c>
      <c r="B3" t="s">
        <v>189</v>
      </c>
      <c r="C3" t="s">
        <v>190</v>
      </c>
      <c r="E3" s="367" t="s">
        <v>191</v>
      </c>
      <c r="F3" s="367" t="s">
        <v>192</v>
      </c>
      <c r="G3" s="367" t="s">
        <v>193</v>
      </c>
      <c r="H3" s="384" t="s">
        <v>194</v>
      </c>
      <c r="I3" s="367" t="s">
        <v>183</v>
      </c>
      <c r="J3" s="367" t="s">
        <v>195</v>
      </c>
      <c r="K3" s="367" t="s">
        <v>196</v>
      </c>
      <c r="L3" t="s">
        <v>196</v>
      </c>
    </row>
    <row r="4" spans="1:12" x14ac:dyDescent="0.35">
      <c r="B4" t="s">
        <v>197</v>
      </c>
      <c r="C4" t="s">
        <v>198</v>
      </c>
      <c r="E4" s="367" t="s">
        <v>193</v>
      </c>
      <c r="F4" s="367" t="s">
        <v>199</v>
      </c>
      <c r="G4" s="367" t="s">
        <v>200</v>
      </c>
      <c r="H4" s="384" t="s">
        <v>201</v>
      </c>
      <c r="I4" s="367" t="s">
        <v>202</v>
      </c>
      <c r="J4" s="367" t="s">
        <v>203</v>
      </c>
      <c r="K4" s="367" t="s">
        <v>204</v>
      </c>
      <c r="L4" t="s">
        <v>204</v>
      </c>
    </row>
    <row r="5" spans="1:12" x14ac:dyDescent="0.35">
      <c r="B5" t="s">
        <v>205</v>
      </c>
      <c r="C5" t="s">
        <v>206</v>
      </c>
      <c r="E5" s="367" t="s">
        <v>200</v>
      </c>
      <c r="F5" s="367" t="s">
        <v>207</v>
      </c>
      <c r="G5" s="367" t="s">
        <v>208</v>
      </c>
      <c r="H5" s="384" t="s">
        <v>209</v>
      </c>
      <c r="I5" s="367" t="s">
        <v>191</v>
      </c>
      <c r="J5" s="367" t="s">
        <v>210</v>
      </c>
      <c r="K5" s="367" t="s">
        <v>211</v>
      </c>
      <c r="L5" t="s">
        <v>211</v>
      </c>
    </row>
    <row r="6" spans="1:12" x14ac:dyDescent="0.35">
      <c r="B6" t="s">
        <v>212</v>
      </c>
      <c r="C6" t="s">
        <v>213</v>
      </c>
      <c r="E6" s="367" t="s">
        <v>214</v>
      </c>
      <c r="F6" s="367" t="s">
        <v>215</v>
      </c>
      <c r="G6" s="367" t="s">
        <v>216</v>
      </c>
      <c r="H6" s="367" t="s">
        <v>199</v>
      </c>
      <c r="I6" s="367" t="s">
        <v>217</v>
      </c>
      <c r="J6" s="367" t="s">
        <v>218</v>
      </c>
      <c r="K6" s="367" t="s">
        <v>219</v>
      </c>
      <c r="L6" t="s">
        <v>219</v>
      </c>
    </row>
    <row r="7" spans="1:12" x14ac:dyDescent="0.35">
      <c r="B7" t="s">
        <v>220</v>
      </c>
      <c r="C7" t="s">
        <v>221</v>
      </c>
      <c r="E7" s="367" t="s">
        <v>208</v>
      </c>
      <c r="F7" s="385" t="s">
        <v>222</v>
      </c>
      <c r="G7" s="367" t="s">
        <v>223</v>
      </c>
      <c r="H7" s="367" t="s">
        <v>224</v>
      </c>
      <c r="I7" s="367" t="s">
        <v>225</v>
      </c>
      <c r="J7" s="367" t="s">
        <v>226</v>
      </c>
      <c r="K7" s="367" t="s">
        <v>227</v>
      </c>
      <c r="L7" t="s">
        <v>227</v>
      </c>
    </row>
    <row r="8" spans="1:12" x14ac:dyDescent="0.35">
      <c r="B8" t="s">
        <v>228</v>
      </c>
      <c r="C8" t="s">
        <v>229</v>
      </c>
      <c r="E8" s="367" t="s">
        <v>216</v>
      </c>
      <c r="F8" s="367" t="s">
        <v>230</v>
      </c>
      <c r="G8" s="367" t="s">
        <v>204</v>
      </c>
      <c r="H8" s="385" t="s">
        <v>222</v>
      </c>
      <c r="I8" s="367" t="s">
        <v>231</v>
      </c>
      <c r="J8" s="384" t="s">
        <v>232</v>
      </c>
      <c r="K8" s="367" t="s">
        <v>233</v>
      </c>
      <c r="L8" t="s">
        <v>233</v>
      </c>
    </row>
    <row r="9" spans="1:12" x14ac:dyDescent="0.35">
      <c r="B9" t="s">
        <v>234</v>
      </c>
      <c r="C9" t="s">
        <v>235</v>
      </c>
      <c r="E9" s="367" t="s">
        <v>223</v>
      </c>
      <c r="F9" s="367" t="s">
        <v>236</v>
      </c>
      <c r="G9" s="384" t="s">
        <v>237</v>
      </c>
      <c r="H9" s="367" t="s">
        <v>230</v>
      </c>
      <c r="I9" s="367" t="s">
        <v>238</v>
      </c>
      <c r="J9" s="367" t="s">
        <v>239</v>
      </c>
      <c r="K9" s="367" t="s">
        <v>240</v>
      </c>
      <c r="L9" t="s">
        <v>240</v>
      </c>
    </row>
    <row r="10" spans="1:12" x14ac:dyDescent="0.35">
      <c r="C10" t="s">
        <v>241</v>
      </c>
      <c r="E10" s="367" t="s">
        <v>204</v>
      </c>
      <c r="F10" s="367" t="s">
        <v>227</v>
      </c>
      <c r="G10" s="384" t="s">
        <v>242</v>
      </c>
      <c r="H10" s="367" t="s">
        <v>227</v>
      </c>
      <c r="I10" s="385" t="s">
        <v>243</v>
      </c>
      <c r="J10" s="367" t="s">
        <v>244</v>
      </c>
      <c r="K10" t="s">
        <v>245</v>
      </c>
    </row>
    <row r="11" spans="1:12" x14ac:dyDescent="0.35">
      <c r="C11" t="s">
        <v>246</v>
      </c>
      <c r="E11" s="384" t="s">
        <v>237</v>
      </c>
      <c r="F11" s="367" t="s">
        <v>247</v>
      </c>
      <c r="G11" s="367" t="s">
        <v>248</v>
      </c>
      <c r="H11" s="367" t="s">
        <v>249</v>
      </c>
      <c r="I11" s="367" t="s">
        <v>250</v>
      </c>
      <c r="J11" s="367"/>
      <c r="K11" t="s">
        <v>251</v>
      </c>
    </row>
    <row r="12" spans="1:12" x14ac:dyDescent="0.35">
      <c r="C12" t="s">
        <v>252</v>
      </c>
      <c r="E12" s="384" t="s">
        <v>242</v>
      </c>
      <c r="F12" s="367" t="s">
        <v>253</v>
      </c>
      <c r="G12" s="367" t="s">
        <v>254</v>
      </c>
      <c r="H12" s="367" t="s">
        <v>240</v>
      </c>
      <c r="I12" s="385" t="s">
        <v>255</v>
      </c>
      <c r="J12" s="367"/>
      <c r="K12" t="s">
        <v>256</v>
      </c>
    </row>
    <row r="13" spans="1:12" x14ac:dyDescent="0.35">
      <c r="C13" t="s">
        <v>257</v>
      </c>
      <c r="E13" s="367" t="s">
        <v>248</v>
      </c>
      <c r="F13" s="367" t="s">
        <v>240</v>
      </c>
      <c r="G13" s="367" t="s">
        <v>258</v>
      </c>
      <c r="H13" t="s">
        <v>259</v>
      </c>
      <c r="I13" s="367" t="s">
        <v>260</v>
      </c>
      <c r="J13" s="367"/>
      <c r="K13" s="367"/>
    </row>
    <row r="14" spans="1:12" x14ac:dyDescent="0.35">
      <c r="C14" t="s">
        <v>261</v>
      </c>
      <c r="E14" s="367" t="s">
        <v>254</v>
      </c>
      <c r="F14" s="367"/>
      <c r="G14" s="367" t="s">
        <v>222</v>
      </c>
      <c r="H14" s="367"/>
      <c r="I14" s="367"/>
      <c r="J14" s="367"/>
      <c r="K14" s="367"/>
    </row>
    <row r="15" spans="1:12" x14ac:dyDescent="0.35">
      <c r="C15" t="s">
        <v>262</v>
      </c>
      <c r="E15" s="367" t="s">
        <v>258</v>
      </c>
      <c r="F15" s="367"/>
      <c r="G15" s="367" t="s">
        <v>263</v>
      </c>
      <c r="H15" s="367"/>
      <c r="I15" s="367"/>
      <c r="J15" s="367"/>
      <c r="K15" s="367"/>
    </row>
    <row r="16" spans="1:12" x14ac:dyDescent="0.35">
      <c r="C16" t="s">
        <v>264</v>
      </c>
      <c r="E16" s="367" t="s">
        <v>263</v>
      </c>
      <c r="F16" s="367"/>
      <c r="G16" s="367" t="s">
        <v>265</v>
      </c>
      <c r="H16" s="367"/>
      <c r="I16" s="367"/>
      <c r="J16" s="367"/>
      <c r="K16" s="367"/>
    </row>
    <row r="17" spans="3:11" x14ac:dyDescent="0.35">
      <c r="C17" t="s">
        <v>266</v>
      </c>
      <c r="E17" s="367" t="s">
        <v>265</v>
      </c>
      <c r="F17" s="367"/>
      <c r="G17" s="367" t="s">
        <v>267</v>
      </c>
      <c r="H17" s="367"/>
      <c r="I17" s="367"/>
      <c r="J17" s="367"/>
      <c r="K17" s="367"/>
    </row>
    <row r="18" spans="3:11" x14ac:dyDescent="0.35">
      <c r="C18" t="s">
        <v>268</v>
      </c>
      <c r="E18" s="367" t="s">
        <v>267</v>
      </c>
      <c r="F18" s="367"/>
      <c r="G18" s="367" t="s">
        <v>269</v>
      </c>
      <c r="H18" s="367"/>
      <c r="I18" s="367"/>
      <c r="J18" s="367"/>
      <c r="K18" s="367"/>
    </row>
    <row r="19" spans="3:11" x14ac:dyDescent="0.35">
      <c r="C19" t="s">
        <v>270</v>
      </c>
      <c r="E19" s="367" t="s">
        <v>271</v>
      </c>
      <c r="F19" s="367"/>
      <c r="G19" s="367" t="s">
        <v>271</v>
      </c>
      <c r="H19" s="367"/>
      <c r="I19" s="367"/>
      <c r="J19" s="367"/>
      <c r="K19" s="367"/>
    </row>
    <row r="20" spans="3:11" x14ac:dyDescent="0.35">
      <c r="C20" t="s">
        <v>272</v>
      </c>
    </row>
    <row r="21" spans="3:11" x14ac:dyDescent="0.35">
      <c r="C21" t="s">
        <v>273</v>
      </c>
    </row>
    <row r="22" spans="3:11" x14ac:dyDescent="0.35">
      <c r="C22" t="s">
        <v>274</v>
      </c>
    </row>
    <row r="23" spans="3:11" x14ac:dyDescent="0.35">
      <c r="C23" t="s">
        <v>275</v>
      </c>
    </row>
    <row r="24" spans="3:11" x14ac:dyDescent="0.35">
      <c r="C24" t="s">
        <v>276</v>
      </c>
    </row>
    <row r="25" spans="3:11" x14ac:dyDescent="0.35">
      <c r="C25" t="s">
        <v>277</v>
      </c>
    </row>
    <row r="26" spans="3:11" x14ac:dyDescent="0.35">
      <c r="C26" t="s">
        <v>278</v>
      </c>
    </row>
    <row r="27" spans="3:11" x14ac:dyDescent="0.35">
      <c r="C27" t="s">
        <v>279</v>
      </c>
    </row>
    <row r="28" spans="3:11" x14ac:dyDescent="0.35">
      <c r="C28" t="s">
        <v>280</v>
      </c>
    </row>
    <row r="29" spans="3:11" x14ac:dyDescent="0.35">
      <c r="C29" t="s">
        <v>281</v>
      </c>
    </row>
    <row r="30" spans="3:11" x14ac:dyDescent="0.35">
      <c r="C30" t="s">
        <v>282</v>
      </c>
    </row>
    <row r="31" spans="3:11" x14ac:dyDescent="0.35">
      <c r="C31" t="s">
        <v>283</v>
      </c>
    </row>
    <row r="32" spans="3:11" x14ac:dyDescent="0.35">
      <c r="C32" t="s">
        <v>284</v>
      </c>
    </row>
    <row r="33" spans="3:3" x14ac:dyDescent="0.35">
      <c r="C33" t="s">
        <v>285</v>
      </c>
    </row>
    <row r="34" spans="3:3" x14ac:dyDescent="0.35">
      <c r="C34" t="s">
        <v>286</v>
      </c>
    </row>
    <row r="35" spans="3:3" x14ac:dyDescent="0.35">
      <c r="C35" t="s">
        <v>287</v>
      </c>
    </row>
    <row r="36" spans="3:3" x14ac:dyDescent="0.35">
      <c r="C36" t="s">
        <v>288</v>
      </c>
    </row>
    <row r="37" spans="3:3" x14ac:dyDescent="0.35">
      <c r="C37" t="s">
        <v>289</v>
      </c>
    </row>
    <row r="38" spans="3:3" x14ac:dyDescent="0.35">
      <c r="C38" t="s">
        <v>290</v>
      </c>
    </row>
    <row r="39" spans="3:3" x14ac:dyDescent="0.35">
      <c r="C39" t="s">
        <v>291</v>
      </c>
    </row>
    <row r="40" spans="3:3" x14ac:dyDescent="0.35">
      <c r="C40" t="s">
        <v>292</v>
      </c>
    </row>
    <row r="41" spans="3:3" x14ac:dyDescent="0.35">
      <c r="C41" t="s">
        <v>293</v>
      </c>
    </row>
    <row r="42" spans="3:3" x14ac:dyDescent="0.35">
      <c r="C42" t="s">
        <v>294</v>
      </c>
    </row>
    <row r="43" spans="3:3" x14ac:dyDescent="0.35">
      <c r="C43" t="s">
        <v>295</v>
      </c>
    </row>
    <row r="44" spans="3:3" x14ac:dyDescent="0.35">
      <c r="C44" t="s">
        <v>296</v>
      </c>
    </row>
    <row r="45" spans="3:3" x14ac:dyDescent="0.35">
      <c r="C45" t="s">
        <v>297</v>
      </c>
    </row>
    <row r="46" spans="3:3" x14ac:dyDescent="0.35">
      <c r="C46" t="s">
        <v>298</v>
      </c>
    </row>
    <row r="47" spans="3:3" x14ac:dyDescent="0.35">
      <c r="C47" t="s">
        <v>299</v>
      </c>
    </row>
    <row r="48" spans="3:3" x14ac:dyDescent="0.35">
      <c r="C48" t="s">
        <v>300</v>
      </c>
    </row>
    <row r="49" spans="3:3" x14ac:dyDescent="0.35">
      <c r="C49" t="s">
        <v>301</v>
      </c>
    </row>
    <row r="50" spans="3:3" x14ac:dyDescent="0.35">
      <c r="C50" t="s">
        <v>302</v>
      </c>
    </row>
    <row r="51" spans="3:3" x14ac:dyDescent="0.35">
      <c r="C51" t="s">
        <v>303</v>
      </c>
    </row>
    <row r="52" spans="3:3" x14ac:dyDescent="0.35">
      <c r="C52" t="s">
        <v>304</v>
      </c>
    </row>
    <row r="53" spans="3:3" x14ac:dyDescent="0.35">
      <c r="C53" t="s">
        <v>305</v>
      </c>
    </row>
    <row r="54" spans="3:3" x14ac:dyDescent="0.35">
      <c r="C54" t="s">
        <v>306</v>
      </c>
    </row>
    <row r="55" spans="3:3" x14ac:dyDescent="0.35">
      <c r="C55" t="s">
        <v>307</v>
      </c>
    </row>
    <row r="56" spans="3:3" x14ac:dyDescent="0.35">
      <c r="C56" t="s">
        <v>308</v>
      </c>
    </row>
    <row r="57" spans="3:3" x14ac:dyDescent="0.35">
      <c r="C57" t="s">
        <v>309</v>
      </c>
    </row>
    <row r="58" spans="3:3" x14ac:dyDescent="0.35">
      <c r="C58" t="s">
        <v>310</v>
      </c>
    </row>
    <row r="59" spans="3:3" x14ac:dyDescent="0.35">
      <c r="C59" t="s">
        <v>311</v>
      </c>
    </row>
    <row r="60" spans="3:3" x14ac:dyDescent="0.35">
      <c r="C60" t="s">
        <v>312</v>
      </c>
    </row>
    <row r="61" spans="3:3" x14ac:dyDescent="0.35">
      <c r="C61" t="s">
        <v>313</v>
      </c>
    </row>
    <row r="62" spans="3:3" x14ac:dyDescent="0.35">
      <c r="C62" t="s">
        <v>314</v>
      </c>
    </row>
    <row r="63" spans="3:3" x14ac:dyDescent="0.35">
      <c r="C63" t="s">
        <v>315</v>
      </c>
    </row>
    <row r="64" spans="3:3" x14ac:dyDescent="0.35">
      <c r="C64" t="s">
        <v>316</v>
      </c>
    </row>
    <row r="65" spans="3:3" x14ac:dyDescent="0.35">
      <c r="C65" t="s">
        <v>317</v>
      </c>
    </row>
    <row r="66" spans="3:3" x14ac:dyDescent="0.35">
      <c r="C66" t="s">
        <v>318</v>
      </c>
    </row>
    <row r="67" spans="3:3" x14ac:dyDescent="0.35">
      <c r="C67" t="s">
        <v>319</v>
      </c>
    </row>
    <row r="68" spans="3:3" x14ac:dyDescent="0.35">
      <c r="C68" t="s">
        <v>320</v>
      </c>
    </row>
    <row r="69" spans="3:3" x14ac:dyDescent="0.35">
      <c r="C69" t="s">
        <v>321</v>
      </c>
    </row>
    <row r="70" spans="3:3" x14ac:dyDescent="0.35">
      <c r="C70" t="s">
        <v>322</v>
      </c>
    </row>
    <row r="71" spans="3:3" x14ac:dyDescent="0.35">
      <c r="C71" t="s">
        <v>323</v>
      </c>
    </row>
    <row r="72" spans="3:3" x14ac:dyDescent="0.35">
      <c r="C72" t="s">
        <v>324</v>
      </c>
    </row>
    <row r="73" spans="3:3" x14ac:dyDescent="0.35">
      <c r="C73" t="s">
        <v>325</v>
      </c>
    </row>
    <row r="74" spans="3:3" x14ac:dyDescent="0.35">
      <c r="C74" t="s">
        <v>326</v>
      </c>
    </row>
    <row r="75" spans="3:3" x14ac:dyDescent="0.35">
      <c r="C75" t="s">
        <v>327</v>
      </c>
    </row>
    <row r="76" spans="3:3" x14ac:dyDescent="0.35">
      <c r="C76" t="s">
        <v>328</v>
      </c>
    </row>
    <row r="77" spans="3:3" x14ac:dyDescent="0.35">
      <c r="C77" t="s">
        <v>329</v>
      </c>
    </row>
    <row r="78" spans="3:3" x14ac:dyDescent="0.35">
      <c r="C78" t="s">
        <v>330</v>
      </c>
    </row>
    <row r="79" spans="3:3" x14ac:dyDescent="0.35">
      <c r="C79" t="s">
        <v>331</v>
      </c>
    </row>
    <row r="80" spans="3:3" x14ac:dyDescent="0.35">
      <c r="C80" t="s">
        <v>332</v>
      </c>
    </row>
    <row r="81" spans="3:3" x14ac:dyDescent="0.35">
      <c r="C81" t="s">
        <v>333</v>
      </c>
    </row>
    <row r="82" spans="3:3" x14ac:dyDescent="0.35">
      <c r="C82" t="s">
        <v>334</v>
      </c>
    </row>
    <row r="83" spans="3:3" x14ac:dyDescent="0.35">
      <c r="C83" t="s">
        <v>335</v>
      </c>
    </row>
    <row r="84" spans="3:3" x14ac:dyDescent="0.35">
      <c r="C84" t="s">
        <v>336</v>
      </c>
    </row>
    <row r="85" spans="3:3" x14ac:dyDescent="0.35">
      <c r="C85" t="s">
        <v>337</v>
      </c>
    </row>
    <row r="86" spans="3:3" x14ac:dyDescent="0.35">
      <c r="C86" t="s">
        <v>338</v>
      </c>
    </row>
    <row r="87" spans="3:3" x14ac:dyDescent="0.35">
      <c r="C87" t="s">
        <v>339</v>
      </c>
    </row>
    <row r="88" spans="3:3" x14ac:dyDescent="0.35">
      <c r="C88" t="s">
        <v>340</v>
      </c>
    </row>
    <row r="89" spans="3:3" x14ac:dyDescent="0.35">
      <c r="C89" t="s">
        <v>341</v>
      </c>
    </row>
    <row r="90" spans="3:3" x14ac:dyDescent="0.35">
      <c r="C90" t="s">
        <v>342</v>
      </c>
    </row>
    <row r="91" spans="3:3" x14ac:dyDescent="0.35">
      <c r="C91" t="s">
        <v>343</v>
      </c>
    </row>
    <row r="92" spans="3:3" x14ac:dyDescent="0.35">
      <c r="C92" t="s">
        <v>344</v>
      </c>
    </row>
    <row r="93" spans="3:3" x14ac:dyDescent="0.35">
      <c r="C93" t="s">
        <v>345</v>
      </c>
    </row>
    <row r="94" spans="3:3" x14ac:dyDescent="0.35">
      <c r="C94" t="s">
        <v>346</v>
      </c>
    </row>
    <row r="95" spans="3:3" x14ac:dyDescent="0.35">
      <c r="C95" t="s">
        <v>347</v>
      </c>
    </row>
    <row r="96" spans="3:3" x14ac:dyDescent="0.35">
      <c r="C96" t="s">
        <v>348</v>
      </c>
    </row>
    <row r="97" spans="3:3" x14ac:dyDescent="0.35">
      <c r="C97" t="s">
        <v>349</v>
      </c>
    </row>
    <row r="98" spans="3:3" x14ac:dyDescent="0.35">
      <c r="C98" t="s">
        <v>350</v>
      </c>
    </row>
    <row r="99" spans="3:3" x14ac:dyDescent="0.35">
      <c r="C99" t="s">
        <v>351</v>
      </c>
    </row>
    <row r="100" spans="3:3" x14ac:dyDescent="0.35">
      <c r="C100" t="s">
        <v>352</v>
      </c>
    </row>
    <row r="101" spans="3:3" x14ac:dyDescent="0.35">
      <c r="C101" t="s">
        <v>353</v>
      </c>
    </row>
    <row r="102" spans="3:3" x14ac:dyDescent="0.35">
      <c r="C102" t="s">
        <v>354</v>
      </c>
    </row>
    <row r="103" spans="3:3" x14ac:dyDescent="0.35">
      <c r="C103" t="s">
        <v>355</v>
      </c>
    </row>
    <row r="104" spans="3:3" x14ac:dyDescent="0.35">
      <c r="C104" t="s">
        <v>356</v>
      </c>
    </row>
    <row r="105" spans="3:3" x14ac:dyDescent="0.35">
      <c r="C105" t="s">
        <v>357</v>
      </c>
    </row>
    <row r="106" spans="3:3" x14ac:dyDescent="0.35">
      <c r="C106" t="s">
        <v>358</v>
      </c>
    </row>
    <row r="107" spans="3:3" x14ac:dyDescent="0.35">
      <c r="C107" t="s">
        <v>359</v>
      </c>
    </row>
    <row r="108" spans="3:3" x14ac:dyDescent="0.35">
      <c r="C108" t="s">
        <v>360</v>
      </c>
    </row>
    <row r="109" spans="3:3" x14ac:dyDescent="0.35">
      <c r="C109" t="s">
        <v>361</v>
      </c>
    </row>
    <row r="110" spans="3:3" x14ac:dyDescent="0.35">
      <c r="C110" t="s">
        <v>362</v>
      </c>
    </row>
    <row r="111" spans="3:3" x14ac:dyDescent="0.35">
      <c r="C111" t="s">
        <v>363</v>
      </c>
    </row>
    <row r="112" spans="3:3" x14ac:dyDescent="0.35">
      <c r="C112" t="s">
        <v>364</v>
      </c>
    </row>
    <row r="113" spans="3:3" x14ac:dyDescent="0.35">
      <c r="C113" t="s">
        <v>365</v>
      </c>
    </row>
    <row r="114" spans="3:3" x14ac:dyDescent="0.35">
      <c r="C114" t="s">
        <v>366</v>
      </c>
    </row>
    <row r="115" spans="3:3" x14ac:dyDescent="0.35">
      <c r="C115" t="s">
        <v>367</v>
      </c>
    </row>
    <row r="116" spans="3:3" x14ac:dyDescent="0.35">
      <c r="C116" t="s">
        <v>368</v>
      </c>
    </row>
    <row r="117" spans="3:3" x14ac:dyDescent="0.35">
      <c r="C117" t="s">
        <v>369</v>
      </c>
    </row>
    <row r="118" spans="3:3" x14ac:dyDescent="0.35">
      <c r="C118" t="s">
        <v>370</v>
      </c>
    </row>
    <row r="119" spans="3:3" x14ac:dyDescent="0.35">
      <c r="C119" t="s">
        <v>371</v>
      </c>
    </row>
    <row r="120" spans="3:3" x14ac:dyDescent="0.35">
      <c r="C120" t="s">
        <v>372</v>
      </c>
    </row>
    <row r="121" spans="3:3" x14ac:dyDescent="0.35">
      <c r="C121" t="s">
        <v>373</v>
      </c>
    </row>
    <row r="122" spans="3:3" x14ac:dyDescent="0.35">
      <c r="C122" t="s">
        <v>374</v>
      </c>
    </row>
    <row r="123" spans="3:3" x14ac:dyDescent="0.35">
      <c r="C123" t="s">
        <v>375</v>
      </c>
    </row>
    <row r="124" spans="3:3" x14ac:dyDescent="0.35">
      <c r="C124" t="s">
        <v>376</v>
      </c>
    </row>
    <row r="125" spans="3:3" x14ac:dyDescent="0.35">
      <c r="C125" t="s">
        <v>377</v>
      </c>
    </row>
    <row r="126" spans="3:3" x14ac:dyDescent="0.35">
      <c r="C126" t="s">
        <v>378</v>
      </c>
    </row>
    <row r="127" spans="3:3" x14ac:dyDescent="0.35">
      <c r="C127" t="s">
        <v>379</v>
      </c>
    </row>
    <row r="128" spans="3:3" x14ac:dyDescent="0.35">
      <c r="C128" t="s">
        <v>380</v>
      </c>
    </row>
    <row r="129" spans="3:3" x14ac:dyDescent="0.35">
      <c r="C129" t="s">
        <v>381</v>
      </c>
    </row>
    <row r="130" spans="3:3" x14ac:dyDescent="0.35">
      <c r="C130" t="s">
        <v>382</v>
      </c>
    </row>
    <row r="131" spans="3:3" x14ac:dyDescent="0.35">
      <c r="C131" t="s">
        <v>383</v>
      </c>
    </row>
    <row r="132" spans="3:3" x14ac:dyDescent="0.35">
      <c r="C132" t="s">
        <v>384</v>
      </c>
    </row>
    <row r="133" spans="3:3" x14ac:dyDescent="0.35">
      <c r="C133" t="s">
        <v>385</v>
      </c>
    </row>
    <row r="134" spans="3:3" x14ac:dyDescent="0.35">
      <c r="C134" t="s">
        <v>386</v>
      </c>
    </row>
    <row r="135" spans="3:3" x14ac:dyDescent="0.35">
      <c r="C135" t="s">
        <v>387</v>
      </c>
    </row>
    <row r="136" spans="3:3" x14ac:dyDescent="0.35">
      <c r="C136" t="s">
        <v>388</v>
      </c>
    </row>
    <row r="137" spans="3:3" x14ac:dyDescent="0.35">
      <c r="C137" t="s">
        <v>389</v>
      </c>
    </row>
    <row r="138" spans="3:3" x14ac:dyDescent="0.35">
      <c r="C138" t="s">
        <v>390</v>
      </c>
    </row>
    <row r="139" spans="3:3" x14ac:dyDescent="0.35">
      <c r="C139" t="s">
        <v>391</v>
      </c>
    </row>
    <row r="140" spans="3:3" x14ac:dyDescent="0.35">
      <c r="C140" t="s">
        <v>392</v>
      </c>
    </row>
    <row r="141" spans="3:3" x14ac:dyDescent="0.35">
      <c r="C141" t="s">
        <v>393</v>
      </c>
    </row>
    <row r="142" spans="3:3" x14ac:dyDescent="0.35">
      <c r="C142" t="s">
        <v>394</v>
      </c>
    </row>
    <row r="143" spans="3:3" x14ac:dyDescent="0.35">
      <c r="C143" t="s">
        <v>395</v>
      </c>
    </row>
    <row r="144" spans="3:3" x14ac:dyDescent="0.35">
      <c r="C144" t="s">
        <v>396</v>
      </c>
    </row>
    <row r="145" spans="3:3" x14ac:dyDescent="0.35">
      <c r="C145" t="s">
        <v>397</v>
      </c>
    </row>
    <row r="146" spans="3:3" x14ac:dyDescent="0.35">
      <c r="C146" t="s">
        <v>398</v>
      </c>
    </row>
    <row r="147" spans="3:3" x14ac:dyDescent="0.35">
      <c r="C147" t="s">
        <v>399</v>
      </c>
    </row>
    <row r="148" spans="3:3" x14ac:dyDescent="0.35">
      <c r="C148" t="s">
        <v>400</v>
      </c>
    </row>
    <row r="149" spans="3:3" x14ac:dyDescent="0.35">
      <c r="C149" t="s">
        <v>401</v>
      </c>
    </row>
    <row r="150" spans="3:3" x14ac:dyDescent="0.35">
      <c r="C150" t="s">
        <v>402</v>
      </c>
    </row>
    <row r="151" spans="3:3" x14ac:dyDescent="0.35">
      <c r="C151" t="s">
        <v>403</v>
      </c>
    </row>
    <row r="152" spans="3:3" x14ac:dyDescent="0.35">
      <c r="C152" t="s">
        <v>404</v>
      </c>
    </row>
    <row r="153" spans="3:3" x14ac:dyDescent="0.35">
      <c r="C153" t="s">
        <v>405</v>
      </c>
    </row>
    <row r="154" spans="3:3" x14ac:dyDescent="0.35">
      <c r="C154" t="s">
        <v>406</v>
      </c>
    </row>
    <row r="155" spans="3:3" x14ac:dyDescent="0.35">
      <c r="C155" t="s">
        <v>407</v>
      </c>
    </row>
    <row r="156" spans="3:3" x14ac:dyDescent="0.35">
      <c r="C156" t="s">
        <v>408</v>
      </c>
    </row>
    <row r="157" spans="3:3" x14ac:dyDescent="0.35">
      <c r="C157" t="s">
        <v>409</v>
      </c>
    </row>
    <row r="158" spans="3:3" x14ac:dyDescent="0.35">
      <c r="C158" t="s">
        <v>410</v>
      </c>
    </row>
    <row r="159" spans="3:3" x14ac:dyDescent="0.35">
      <c r="C159" t="s">
        <v>411</v>
      </c>
    </row>
    <row r="160" spans="3:3" x14ac:dyDescent="0.35">
      <c r="C160" t="s">
        <v>412</v>
      </c>
    </row>
    <row r="161" spans="3:3" x14ac:dyDescent="0.35">
      <c r="C161" t="s">
        <v>413</v>
      </c>
    </row>
    <row r="162" spans="3:3" x14ac:dyDescent="0.35">
      <c r="C162" t="s">
        <v>414</v>
      </c>
    </row>
    <row r="163" spans="3:3" x14ac:dyDescent="0.35">
      <c r="C163" t="s">
        <v>415</v>
      </c>
    </row>
    <row r="164" spans="3:3" x14ac:dyDescent="0.35">
      <c r="C164" t="s">
        <v>416</v>
      </c>
    </row>
    <row r="165" spans="3:3" x14ac:dyDescent="0.35">
      <c r="C165" t="s">
        <v>417</v>
      </c>
    </row>
    <row r="166" spans="3:3" x14ac:dyDescent="0.35">
      <c r="C166" t="s">
        <v>418</v>
      </c>
    </row>
    <row r="167" spans="3:3" x14ac:dyDescent="0.35">
      <c r="C167" t="s">
        <v>419</v>
      </c>
    </row>
    <row r="168" spans="3:3" x14ac:dyDescent="0.35">
      <c r="C168" t="s">
        <v>420</v>
      </c>
    </row>
    <row r="169" spans="3:3" x14ac:dyDescent="0.35">
      <c r="C169" t="s">
        <v>421</v>
      </c>
    </row>
    <row r="170" spans="3:3" x14ac:dyDescent="0.35">
      <c r="C170" t="s">
        <v>422</v>
      </c>
    </row>
    <row r="171" spans="3:3" x14ac:dyDescent="0.35">
      <c r="C171" t="s">
        <v>423</v>
      </c>
    </row>
    <row r="172" spans="3:3" x14ac:dyDescent="0.35">
      <c r="C172" t="s">
        <v>424</v>
      </c>
    </row>
    <row r="173" spans="3:3" x14ac:dyDescent="0.35">
      <c r="C173" t="s">
        <v>425</v>
      </c>
    </row>
    <row r="174" spans="3:3" x14ac:dyDescent="0.35">
      <c r="C174" t="s">
        <v>426</v>
      </c>
    </row>
    <row r="175" spans="3:3" x14ac:dyDescent="0.35">
      <c r="C175" t="s">
        <v>427</v>
      </c>
    </row>
    <row r="176" spans="3:3" x14ac:dyDescent="0.35">
      <c r="C176" t="s">
        <v>428</v>
      </c>
    </row>
    <row r="177" spans="3:3" x14ac:dyDescent="0.35">
      <c r="C177" t="s">
        <v>429</v>
      </c>
    </row>
    <row r="178" spans="3:3" x14ac:dyDescent="0.35">
      <c r="C178" t="s">
        <v>430</v>
      </c>
    </row>
    <row r="179" spans="3:3" x14ac:dyDescent="0.35">
      <c r="C179" t="s">
        <v>431</v>
      </c>
    </row>
    <row r="180" spans="3:3" x14ac:dyDescent="0.35">
      <c r="C180" t="s">
        <v>432</v>
      </c>
    </row>
    <row r="181" spans="3:3" x14ac:dyDescent="0.35">
      <c r="C181" t="s">
        <v>433</v>
      </c>
    </row>
    <row r="182" spans="3:3" x14ac:dyDescent="0.35">
      <c r="C182" t="s">
        <v>434</v>
      </c>
    </row>
    <row r="183" spans="3:3" x14ac:dyDescent="0.35">
      <c r="C183" t="s">
        <v>435</v>
      </c>
    </row>
    <row r="184" spans="3:3" x14ac:dyDescent="0.35">
      <c r="C184" t="s">
        <v>436</v>
      </c>
    </row>
    <row r="185" spans="3:3" x14ac:dyDescent="0.35">
      <c r="C185" t="s">
        <v>437</v>
      </c>
    </row>
    <row r="186" spans="3:3" x14ac:dyDescent="0.35">
      <c r="C186" t="s">
        <v>438</v>
      </c>
    </row>
    <row r="187" spans="3:3" x14ac:dyDescent="0.35">
      <c r="C187" t="s">
        <v>439</v>
      </c>
    </row>
    <row r="188" spans="3:3" x14ac:dyDescent="0.35">
      <c r="C188" t="s">
        <v>440</v>
      </c>
    </row>
    <row r="189" spans="3:3" x14ac:dyDescent="0.35">
      <c r="C189" t="s">
        <v>441</v>
      </c>
    </row>
    <row r="190" spans="3:3" x14ac:dyDescent="0.35">
      <c r="C190" t="s">
        <v>442</v>
      </c>
    </row>
    <row r="191" spans="3:3" x14ac:dyDescent="0.35">
      <c r="C191" t="s">
        <v>443</v>
      </c>
    </row>
    <row r="192" spans="3:3" x14ac:dyDescent="0.35">
      <c r="C192" t="s">
        <v>444</v>
      </c>
    </row>
    <row r="193" spans="3:3" x14ac:dyDescent="0.35">
      <c r="C193" t="s">
        <v>445</v>
      </c>
    </row>
    <row r="194" spans="3:3" x14ac:dyDescent="0.35">
      <c r="C194" t="s">
        <v>446</v>
      </c>
    </row>
    <row r="195" spans="3:3" x14ac:dyDescent="0.35">
      <c r="C195" t="s">
        <v>447</v>
      </c>
    </row>
    <row r="196" spans="3:3" x14ac:dyDescent="0.35">
      <c r="C196" t="s">
        <v>448</v>
      </c>
    </row>
    <row r="197" spans="3:3" x14ac:dyDescent="0.35">
      <c r="C197" t="s">
        <v>449</v>
      </c>
    </row>
    <row r="198" spans="3:3" x14ac:dyDescent="0.35">
      <c r="C198" t="s">
        <v>450</v>
      </c>
    </row>
    <row r="199" spans="3:3" x14ac:dyDescent="0.35">
      <c r="C199" t="s">
        <v>451</v>
      </c>
    </row>
    <row r="200" spans="3:3" x14ac:dyDescent="0.35">
      <c r="C200" t="s">
        <v>452</v>
      </c>
    </row>
    <row r="201" spans="3:3" x14ac:dyDescent="0.35">
      <c r="C201" t="s">
        <v>453</v>
      </c>
    </row>
    <row r="202" spans="3:3" x14ac:dyDescent="0.35">
      <c r="C202" t="s">
        <v>454</v>
      </c>
    </row>
    <row r="203" spans="3:3" x14ac:dyDescent="0.35">
      <c r="C203" t="s">
        <v>455</v>
      </c>
    </row>
    <row r="204" spans="3:3" x14ac:dyDescent="0.35">
      <c r="C204" t="s">
        <v>456</v>
      </c>
    </row>
    <row r="205" spans="3:3" x14ac:dyDescent="0.35">
      <c r="C205" t="s">
        <v>457</v>
      </c>
    </row>
    <row r="206" spans="3:3" x14ac:dyDescent="0.35">
      <c r="C206" t="s">
        <v>458</v>
      </c>
    </row>
    <row r="207" spans="3:3" x14ac:dyDescent="0.35">
      <c r="C207" t="s">
        <v>459</v>
      </c>
    </row>
    <row r="208" spans="3:3" x14ac:dyDescent="0.35">
      <c r="C208" t="s">
        <v>460</v>
      </c>
    </row>
    <row r="209" spans="3:3" x14ac:dyDescent="0.35">
      <c r="C209" t="s">
        <v>461</v>
      </c>
    </row>
    <row r="210" spans="3:3" x14ac:dyDescent="0.35">
      <c r="C210" t="s">
        <v>462</v>
      </c>
    </row>
    <row r="211" spans="3:3" x14ac:dyDescent="0.35">
      <c r="C211" t="s">
        <v>463</v>
      </c>
    </row>
    <row r="212" spans="3:3" x14ac:dyDescent="0.35">
      <c r="C212" t="s">
        <v>464</v>
      </c>
    </row>
    <row r="213" spans="3:3" x14ac:dyDescent="0.35">
      <c r="C213" t="s">
        <v>465</v>
      </c>
    </row>
    <row r="214" spans="3:3" x14ac:dyDescent="0.35">
      <c r="C214" t="s">
        <v>466</v>
      </c>
    </row>
    <row r="215" spans="3:3" x14ac:dyDescent="0.35">
      <c r="C215" t="s">
        <v>467</v>
      </c>
    </row>
    <row r="216" spans="3:3" x14ac:dyDescent="0.35">
      <c r="C216" t="s">
        <v>468</v>
      </c>
    </row>
    <row r="217" spans="3:3" x14ac:dyDescent="0.35">
      <c r="C217" t="s">
        <v>469</v>
      </c>
    </row>
    <row r="218" spans="3:3" x14ac:dyDescent="0.35">
      <c r="C218" t="s">
        <v>470</v>
      </c>
    </row>
    <row r="219" spans="3:3" x14ac:dyDescent="0.35">
      <c r="C219" t="s">
        <v>471</v>
      </c>
    </row>
    <row r="220" spans="3:3" x14ac:dyDescent="0.35">
      <c r="C220" t="s">
        <v>472</v>
      </c>
    </row>
    <row r="221" spans="3:3" x14ac:dyDescent="0.35">
      <c r="C221" t="s">
        <v>473</v>
      </c>
    </row>
    <row r="222" spans="3:3" x14ac:dyDescent="0.35">
      <c r="C222" t="s">
        <v>474</v>
      </c>
    </row>
    <row r="223" spans="3:3" x14ac:dyDescent="0.35">
      <c r="C223" t="s">
        <v>475</v>
      </c>
    </row>
    <row r="224" spans="3:3" x14ac:dyDescent="0.35">
      <c r="C224" t="s">
        <v>476</v>
      </c>
    </row>
    <row r="225" spans="3:3" x14ac:dyDescent="0.35">
      <c r="C225" t="s">
        <v>477</v>
      </c>
    </row>
    <row r="226" spans="3:3" x14ac:dyDescent="0.35">
      <c r="C226" t="s">
        <v>478</v>
      </c>
    </row>
    <row r="227" spans="3:3" x14ac:dyDescent="0.35">
      <c r="C227" t="s">
        <v>479</v>
      </c>
    </row>
    <row r="228" spans="3:3" x14ac:dyDescent="0.35">
      <c r="C228" t="s">
        <v>480</v>
      </c>
    </row>
    <row r="229" spans="3:3" x14ac:dyDescent="0.35">
      <c r="C229" t="s">
        <v>481</v>
      </c>
    </row>
    <row r="230" spans="3:3" x14ac:dyDescent="0.35">
      <c r="C230" t="s">
        <v>482</v>
      </c>
    </row>
    <row r="231" spans="3:3" x14ac:dyDescent="0.35">
      <c r="C231" t="s">
        <v>483</v>
      </c>
    </row>
    <row r="232" spans="3:3" x14ac:dyDescent="0.35">
      <c r="C232" t="s">
        <v>484</v>
      </c>
    </row>
    <row r="233" spans="3:3" x14ac:dyDescent="0.35">
      <c r="C233" t="s">
        <v>485</v>
      </c>
    </row>
    <row r="234" spans="3:3" x14ac:dyDescent="0.35">
      <c r="C234" t="s">
        <v>486</v>
      </c>
    </row>
    <row r="235" spans="3:3" x14ac:dyDescent="0.35">
      <c r="C235" t="s">
        <v>487</v>
      </c>
    </row>
    <row r="236" spans="3:3" x14ac:dyDescent="0.35">
      <c r="C236" t="s">
        <v>488</v>
      </c>
    </row>
    <row r="237" spans="3:3" x14ac:dyDescent="0.35">
      <c r="C237" t="s">
        <v>489</v>
      </c>
    </row>
    <row r="238" spans="3:3" x14ac:dyDescent="0.35">
      <c r="C238" t="s">
        <v>490</v>
      </c>
    </row>
    <row r="239" spans="3:3" x14ac:dyDescent="0.35">
      <c r="C239" t="s">
        <v>491</v>
      </c>
    </row>
    <row r="240" spans="3:3" x14ac:dyDescent="0.35">
      <c r="C240" t="s">
        <v>492</v>
      </c>
    </row>
    <row r="241" spans="3:3" x14ac:dyDescent="0.35">
      <c r="C241" t="s">
        <v>493</v>
      </c>
    </row>
    <row r="242" spans="3:3" x14ac:dyDescent="0.35">
      <c r="C242" t="s">
        <v>494</v>
      </c>
    </row>
    <row r="243" spans="3:3" x14ac:dyDescent="0.35">
      <c r="C243" t="s">
        <v>495</v>
      </c>
    </row>
    <row r="244" spans="3:3" x14ac:dyDescent="0.35">
      <c r="C244" t="s">
        <v>496</v>
      </c>
    </row>
  </sheetData>
  <sheetProtection selectLockedCells="1"/>
  <sortState xmlns:xlrd2="http://schemas.microsoft.com/office/spreadsheetml/2017/richdata2" ref="J2:J10">
    <sortCondition ref="J2"/>
  </sortState>
  <pageMargins left="0.7" right="0.7" top="0.75" bottom="0.75" header="0.3" footer="0.3"/>
  <pageSetup paperSize="9" orientation="portrait" r:id="rId1"/>
  <headerFooter>
    <oddFooter>&amp;C&amp;1#&amp;"Calibri"&amp;10&amp;K000000OFFICIAL-SENSITIVE</oddFooter>
  </headerFooter>
</worksheet>
</file>

<file path=customUI/customUI14.xml><?xml version="1.0" encoding="utf-8"?>
<customUI xmlns="http://schemas.microsoft.com/office/2009/07/customui" onLoad="RibbonOnLoad">
  <ribbon startFromScratch="true">
    <tabs>
      <tab id="customTab1" label="Menu">
        <group id="customGroup2" label=" ">
          <button id="customButton2" label="User Guide" imageMso="HelpLaunch" size="large" onAction="Callback2"/>
        </group>
        <!-- spacer to separate blocks -->
        <group id="spacer2" label=" ">													
				</group>
        <group id="customGroup3" label="Step 1">
          <button id="customButton3" label="Entity Details - Input" imageMso="_1" size="large" onAction="Callback3"/>
        </group>
        <!-- spacer to separate blocks -->
        <group id="spacer3" label=" ">													
				</group>
        <group id="customGroup10" label="Step 2">
          <button id="customButton10" label="Copy Entities to Steps 3-5" imageMso="Copy" size="large" onAction="Callback10"/>
        </group>
        <!-- spacer to separate blocks -->
        <group id="spacer10" label=" ">													
				</group>
        <group id="customGroup4" label="Step 3">
          <button id="customButton4" label="Property rental business - Input" imageMso="_3" size="large" onAction="Callback4"/>
        </group>
        <!-- spacer to separate blocks -->
        <group id="spacer4" label=" ">													
				</group>
        <group id="customGroup5" label="Step 4">
          <button id="customButton5" label="Residual income - Input" imageMso="_4" size="large" onAction="Callback5"/>
        </group>
        <!-- spacer to separate blocks -->
        <group id="spacer5" label=" ">													
				</group>
        <group id="customGroup6" label="Step 5">
          <button id="customButton6" label="Tax-exempt - Input" imageMso="_5" size="large" onAction="Callback6"/>
        </group>
        <!-- spacer to separate blocks -->
        <group id="spacer6" label=" ">													
				</group>
        <group id="customGroup7" label="Step 6">
          <button id="customButton7" label="Summary of Tax-exempt and finance cost ratio test" imageMso="_6" size="large" onAction="Callback7"/>
        </group>
        <!-- spacer to separate blocks -->
        <group id="spacer7" label=" ">													
				</group>
        <group id="customGroup8" label="Step 7">
          <button id="customButton8" label="Summary and Balance of business tests (including Reconciliation - Input)" imageMso="_7" size="large" onAction="Callback8"/>
        </group>
        <!-- spacer to separate blocks -->
        <group id="spacer8" label=" ">													
				</group>
        <!-- spacer to separate blocks -->
        <group id="spacer9" label=" ">													
				</group>
        <group id="customGroup11" label="Admin">
          <button id="customButton1" label="Summary" imageMso="CreateReport" size="large" onAction="Callback1"/>
          <button id="customButton12" label="View Notes" imageMso="ReviewEditComment" size="large" onAction="Callback12"/>
          <separator id="separator1"/>
          <button id="customButton9" label="Toggle FreezePanes" imageMso="FreezePanes" size="large" onAction="Callback9"/>
          <button id="customButton13" label="Add Block Row" imageMso="TableRowsInsertAboveExcel" size="large" onAction="Callback13"/>
          <button id="customButton14" label="Delete Block Row" imageMso="CellsDelete" size="large" onAction="Callback14"/>
          <button id="customButton11" label="Clear form" imageMso="Clear" size="large" onAction="Callback11"/>
          <separator id="separator2"/>
          <button idMso="FindDialogExcel" size="large"/>
          <button idMso="FileSave" size="large"/>
          <button idMso="FileSaveAs" size="large"/>
          <button id="customButton15" label="Create XML File" imageMso="XmlExport" size="large" onAction="Callback15"/>
        </group>
      </tab>
    </tabs>
  </ribbon>
  <!-- visible = 'true' means it is available -->
  <!-- -->
  <backstage>
    <button idMso="FileSave" visible="false"/>
    <button idMso="FileSaveAs" visible="false"/>
    <button idMso="FileOpen" visible="false"/>
    <button idMso="FileClose" visible="false"/>
    <button idMso="ApplicationOptionsDialog" visible="false"/>
    <button idMso="FileExit" visible="true"/>
    <button idMso="HistoryTab" visible="false"/>
    <button idMso="OfficeFeedback" visible="false"/>
    <tab idMso="TabInfo" visible="false"/>
    <tab idMso="TabRecent" visible="false"/>
    <tab idMso="TabNew" visible="false"/>
    <tab idMso="TabPrint" visible="true"/>
    <tab idMso="TabShare" visible="false"/>
    <tab idMso="TabHelp" visible="false"/>
    <tab idMso="TabPublish" visible="false"/>
    <tab idMso="TabSave" visible="false"/>
    <tab idMso="TabOfficeStart" visible="false"/>
    <tab idMso="Publish2Tab" visible="false"/>
    <tab idMso="TabOfficeFeedback" visible="false"/>
  </backstage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item1.xml><?xml version="1.0" encoding="utf-8"?>
<Reit>
  <ReitName>My Test REIT</ReitName>
  <ReitUTR>987654321</ReitUTR>
  <ReitAPE>31/12/2016</ReitAPE>
  <ReitPAPE>12/10/2016</ReitPAPE>
  <Entities>
    <Entity REIT_Id="1111111111">
      <EntityName>Entity 1</EntityName>
      <EntityType>Company</EntityType>
      <EntityUTR>2222222222</EntityUTR>
      <EntityPercentage>50</EntityPercentage>
      <EntityJurisdiction>United Kingdom</EntityJurisdiction>
      <EntityTaxExempt>true</EntityTaxExempt>
      <EntityCustomerReference>1234567890</EntityCustomerReference>
      <Adjustments>
        <Adjustment Entity_Id="2222222222">
          <InputType>Input Type</InputType>
          <AdjustmentType>Adjustment Type 1</AdjustmentType>
          <AdjustmentDescription>Description 1</AdjustmentDescription>
          <AdjustmentAmount>99999</AdjustmentAmount>
        </Adjustment>
        <Adjustment Entity_Id="2222222222">
          <InputType>Input Type</InputType>
          <AdjustmentType>Adjustment Type 2</AdjustmentType>
          <AdjustmentDescription>Description 2</AdjustmentDescription>
          <AdjustmentAmount>88888</AdjustmentAmount>
        </Adjustment>
      </Adjustments>
    </Entity>
    <Entity REIT_Id="1111111111">
      <EntityName>Entity 2</EntityName>
      <EntityType>Company</EntityType>
      <EntityUTR>3333333333</EntityUTR>
      <EntityPercentage>50</EntityPercentage>
      <EntityJurisdiction>United Kingdom</EntityJurisdiction>
      <EntityTaxExempt>true</EntityTaxExempt>
      <EntityCustomerReference>1234567890</EntityCustomerReference>
      <Adjustments>
        <Adjustment Entity_Id="3333333333">
          <InputType>Input Type</InputType>
          <AdjustmentType>Adjustment Type 1</AdjustmentType>
          <AdjustmentDescription>Description 1</AdjustmentDescription>
          <AdjustmentAmount>99999</AdjustmentAmount>
        </Adjustment>
        <Adjustment Entity_Id="3333333333">
          <InputType>Input Type</InputType>
          <AdjustmentType>Adjustment Type 2</AdjustmentType>
          <AdjustmentDescription>Description 2</AdjustmentDescription>
          <AdjustmentAmount>88888</AdjustmentAmount>
        </Adjustment>
      </Adjustments>
    </Entity>
  </Entities>
</Reit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Reit>
  <ReitName>My Test REIT</ReitName>
  <ReitUTR>987654321</ReitUTR>
  <ReitAPE>31/12/2016</ReitAPE>
  <ReitPAPE>12/10/2016</ReitPAPE>
  <Entities>
    <Entity REIT_Id="987654321">
      <EntityName>Ians Test REIT entity</EntityName>
      <EntityType>Principal company</EntityType>
      <EntityUTR>987654321</EntityUTR>
      <EntityPercentage>1</EntityPercentage>
      <EntityJurisdiction>United Kingdom</EntityJurisdiction>
      <EntityTaxExempt>True</EntityTaxExempt>
      <EntityCustomerReference>myRef1</EntityCustomerReference>
      <Adjustments>
        <Adjustment Entity_Id="987654321">
          <InputType>Input Type</InputType>
          <AdjustmentType>Adjustment Type 1</AdjustmentType>
          <AdjustmentDescription>Description 1</AdjustmentDescription>
          <AdjustmentAmount>99999</AdjustmentAmount>
        </Adjustment>
        <Adjustment Entity_Id="987654321">
          <InputType>Input Type</InputType>
          <AdjustmentType>Adjustment Type 2</AdjustmentType>
          <AdjustmentDescription>Description 2</AdjustmentDescription>
          <AdjustmentAmount>88888</AdjustmentAmount>
        </Adjustment>
      </Adjustments>
    </Entity>
  </Entities>
</Reit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5FA4E50E47879409C16AE820AB4CB29" ma:contentTypeVersion="10" ma:contentTypeDescription="Create a new document." ma:contentTypeScope="" ma:versionID="2de17f87d864209dc98504c29238a52e">
  <xsd:schema xmlns:xsd="http://www.w3.org/2001/XMLSchema" xmlns:xs="http://www.w3.org/2001/XMLSchema" xmlns:p="http://schemas.microsoft.com/office/2006/metadata/properties" xmlns:ns2="c71a8982-1912-40df-813a-16188ae4064e" xmlns:ns3="577dc202-c780-4c68-b5a8-1b139e428910" targetNamespace="http://schemas.microsoft.com/office/2006/metadata/properties" ma:root="true" ma:fieldsID="0d50a2afe7e0aad0d1c915096a809ccf" ns2:_="" ns3:_="">
    <xsd:import namespace="c71a8982-1912-40df-813a-16188ae4064e"/>
    <xsd:import namespace="577dc202-c780-4c68-b5a8-1b139e42891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ObjectDetectorVersions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71a8982-1912-40df-813a-16188ae4064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7dc202-c780-4c68-b5a8-1b139e42891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6.xml><?xml version="1.0" encoding="utf-8"?>
<Reit>
  <ReitName>My Test REIT</ReitName>
  <ReitUTR>987654321</ReitUTR>
  <ReitAPE>31/12/2016</ReitAPE>
  <ReitPAPE>12/10/2016</ReitPAPE>
  <Entities>
    <Entity REIT_Id="987654321">
      <EntityName>Ians Test REIT entity</EntityName>
      <EntityType>Principal company</EntityType>
      <EntityUTR>987654321</EntityUTR>
      <EntityPercentage>1</EntityPercentage>
      <EntityJurisdiction>True</EntityJurisdiction>
      <EntityTaxExempt>True</EntityTaxExempt>
      <EntityCustomerReference>myRef1</EntityCustomerReference>
      <Adjustments>
        <Adjustment Entity_Id="987654321">
          <InputType>Input Type</InputType>
          <AdjustmentType>Adjustment Type 1</AdjustmentType>
          <AdjustmentDescription>Description 1</AdjustmentDescription>
          <AdjustmentAmount>99999</AdjustmentAmount>
        </Adjustment>
        <Adjustment Entity_Id="987654321">
          <InputType>Input Type</InputType>
          <AdjustmentType>Adjustment Type 2</AdjustmentType>
          <AdjustmentDescription>Description 2</AdjustmentDescription>
          <AdjustmentAmount>88888</AdjustmentAmount>
        </Adjustment>
      </Adjustments>
    </Entity>
  </Entities>
</Reit>
</file>

<file path=customXml/item7.xml><?xml version="1.0" encoding="utf-8"?>
<Reit>
  <ReitName>My Test REIT</ReitName>
  <ReitUTR>987654321</ReitUTR>
  <ReitAPE>31/12/2016</ReitAPE>
  <ReitPAPE>12/10/2016</ReitPAPE>
  <Entities>
    <Entity REIT_Id="987654321">
      <EntityName>Ians Test REIT entity</EntityName>
      <EntityType>Principal company</EntityType>
      <EntityUTR>987654321</EntityUTR>
      <EntityPercentage>1</EntityPercentage>
      <EntityJurisdiction>United Kingdom</EntityJurisdiction>
      <EntityTaxExempt>True</EntityTaxExempt>
      <EntityCustomerReference>myRef1</EntityCustomerReference>
      <Adjustments>
        <Adjustment Entity_Id="987654321">
          <InputType>Input Type</InputType>
          <AdjustmentType>Adjustment Type 1</AdjustmentType>
          <AdjustmentDescription>Description 1</AdjustmentDescription>
          <AdjustmentAmount>99999</AdjustmentAmount>
        </Adjustment>
        <Adjustment Entity_Id="987654321">
          <InputType>Input Type</InputType>
          <AdjustmentType>Adjustment Type 2</AdjustmentType>
          <AdjustmentDescription>Description 2</AdjustmentDescription>
          <AdjustmentAmount>88888</AdjustmentAmount>
        </Adjustment>
      </Adjustments>
    </Entity>
  </Entities>
</Reit>
</file>

<file path=customXml/item8.xml><?xml version="1.0" encoding="utf-8"?>
<Reit>
  <ReitName>My Test REIT</ReitName>
  <ReitUTR>987654321</ReitUTR>
  <ReitAPE>31/12/2016</ReitAPE>
  <ReitPAPE>12/10/2016</ReitPAPE>
  <Entities>
    <Entity REIT_Id="987654321">
      <EntityGUID/>
      <EntityName>Ians Test REIT entity</EntityName>
      <EntityType>Principal company</EntityType>
      <EntityUTR>987654321</EntityUTR>
      <EntityPercentage>1</EntityPercentage>
      <EntityJurisdiction>United Kingdom</EntityJurisdiction>
      <EntityTaxExempt>True</EntityTaxExempt>
      <EntityCustomerReference>myRef1</EntityCustomerReference>
      <Adjustments>
        <Adjustment Entity_Id="987654321">
          <InputType>Input Type</InputType>
          <AdjustmentType>Adjustment Type 1</AdjustmentType>
          <AdjustmentDescription>Description 1</AdjustmentDescription>
          <AdjustmentAmount>99999</AdjustmentAmount>
        </Adjustment>
        <Adjustment Entity_Id="987654321">
          <InputType>Input Type</InputType>
          <AdjustmentType>Adjustment Type 2</AdjustmentType>
          <AdjustmentDescription>Description 2</AdjustmentDescription>
          <AdjustmentAmount>88888</AdjustmentAmount>
        </Adjustment>
      </Adjustments>
    </Entity>
  </Entities>
</Reit>
</file>

<file path=customXml/itemProps1.xml><?xml version="1.0" encoding="utf-8"?>
<ds:datastoreItem xmlns:ds="http://schemas.openxmlformats.org/officeDocument/2006/customXml" ds:itemID="{7FEDA884-DCD4-4BE1-A867-DA9567C98937}">
  <ds:schemaRefs/>
</ds:datastoreItem>
</file>

<file path=customXml/itemProps2.xml><?xml version="1.0" encoding="utf-8"?>
<ds:datastoreItem xmlns:ds="http://schemas.openxmlformats.org/officeDocument/2006/customXml" ds:itemID="{D77EAA5B-9A37-4F49-A9CF-21C231E50BD8}">
  <ds:schemaRefs>
    <ds:schemaRef ds:uri="http://purl.org/dc/terms/"/>
    <ds:schemaRef ds:uri="http://schemas.microsoft.com/office/2006/documentManagement/types"/>
    <ds:schemaRef ds:uri="ce249c1a-881b-4d79-bb9f-d83b7406a849"/>
    <ds:schemaRef ds:uri="http://purl.org/dc/elements/1.1/"/>
    <ds:schemaRef ds:uri="http://schemas.microsoft.com/office/infopath/2007/PartnerControls"/>
    <ds:schemaRef ds:uri="e9935119-5fe2-4926-95bb-a89ca6790b97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114BD284-CD4D-498A-8F3B-28396236E475}">
  <ds:schemaRefs/>
</ds:datastoreItem>
</file>

<file path=customXml/itemProps4.xml><?xml version="1.0" encoding="utf-8"?>
<ds:datastoreItem xmlns:ds="http://schemas.openxmlformats.org/officeDocument/2006/customXml" ds:itemID="{FF23A955-2F9C-41D3-9ABF-4F7FB414F5C1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B8991551-A759-4A29-AD94-3E9500C9C15B}"/>
</file>

<file path=customXml/itemProps6.xml><?xml version="1.0" encoding="utf-8"?>
<ds:datastoreItem xmlns:ds="http://schemas.openxmlformats.org/officeDocument/2006/customXml" ds:itemID="{AA6A187B-1D98-435A-9AC5-F663229C8798}">
  <ds:schemaRefs/>
</ds:datastoreItem>
</file>

<file path=customXml/itemProps7.xml><?xml version="1.0" encoding="utf-8"?>
<ds:datastoreItem xmlns:ds="http://schemas.openxmlformats.org/officeDocument/2006/customXml" ds:itemID="{84AB347F-0A41-47A7-B878-1C2E7B553AD4}">
  <ds:schemaRefs/>
</ds:datastoreItem>
</file>

<file path=customXml/itemProps8.xml><?xml version="1.0" encoding="utf-8"?>
<ds:datastoreItem xmlns:ds="http://schemas.openxmlformats.org/officeDocument/2006/customXml" ds:itemID="{EFBAF60B-744E-4FCC-A7AF-9A72173CBEC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23</vt:i4>
      </vt:variant>
    </vt:vector>
  </HeadingPairs>
  <TitlesOfParts>
    <vt:vector size="34" baseType="lpstr">
      <vt:lpstr>Admin</vt:lpstr>
      <vt:lpstr>Notes</vt:lpstr>
      <vt:lpstr>Start</vt:lpstr>
      <vt:lpstr>Entity</vt:lpstr>
      <vt:lpstr>Property</vt:lpstr>
      <vt:lpstr>Residual</vt:lpstr>
      <vt:lpstr>TaxExempt</vt:lpstr>
      <vt:lpstr>RatioTest</vt:lpstr>
      <vt:lpstr>BOBTest</vt:lpstr>
      <vt:lpstr>Guidance</vt:lpstr>
      <vt:lpstr>Lists</vt:lpstr>
      <vt:lpstr>Entity_Types</vt:lpstr>
      <vt:lpstr>Form_Type</vt:lpstr>
      <vt:lpstr>Jurisdiction</vt:lpstr>
      <vt:lpstr>BOBTest!Print_Area</vt:lpstr>
      <vt:lpstr>Entity!Print_Area</vt:lpstr>
      <vt:lpstr>Guidance!Print_Area</vt:lpstr>
      <vt:lpstr>Notes!Print_Area</vt:lpstr>
      <vt:lpstr>Property!Print_Area</vt:lpstr>
      <vt:lpstr>RatioTest!Print_Area</vt:lpstr>
      <vt:lpstr>Start!Print_Area</vt:lpstr>
      <vt:lpstr>Entity!Print_Titles</vt:lpstr>
      <vt:lpstr>Property!Print_Titles</vt:lpstr>
      <vt:lpstr>Residual!Print_Titles</vt:lpstr>
      <vt:lpstr>TaxExempt!Print_Titles</vt:lpstr>
      <vt:lpstr>Step3_Adjustments</vt:lpstr>
      <vt:lpstr>Step3_Income</vt:lpstr>
      <vt:lpstr>Step4_PostFC</vt:lpstr>
      <vt:lpstr>Step4_PreFC</vt:lpstr>
      <vt:lpstr>Step5_Adjustments</vt:lpstr>
      <vt:lpstr>Step5_Disallowable</vt:lpstr>
      <vt:lpstr>Step7_Reconcilation_PBT</vt:lpstr>
      <vt:lpstr>Step7_Reconciliations</vt:lpstr>
      <vt:lpstr>Yes_No</vt:lpstr>
    </vt:vector>
  </TitlesOfParts>
  <Manager/>
  <Company>HM Revenue and Customs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3839532</dc:creator>
  <cp:keywords/>
  <dc:description/>
  <cp:lastModifiedBy>Hardy, Max (COD)</cp:lastModifiedBy>
  <cp:revision/>
  <dcterms:created xsi:type="dcterms:W3CDTF">2018-05-09T09:00:30Z</dcterms:created>
  <dcterms:modified xsi:type="dcterms:W3CDTF">2024-02-28T15:42:00Z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0x01010025FA4E50E47879409C16AE820AB4CB29</vt:lpwstr>
  </property>
  <property fmtid="{D5CDD505-2E9C-101B-9397-08002B2CF9AE}" pid="3" name="Order">
    <vt:r8>4400</vt:r8>
  </property>
  <property fmtid="{D5CDD505-2E9C-101B-9397-08002B2CF9AE}" pid="4" name="MSIP_Label_eca3f16c-393f-48b5-a5cb-cb7982a1d1a2_Enabled">
    <vt:lpwstr>true</vt:lpwstr>
  </property>
  <property fmtid="{D5CDD505-2E9C-101B-9397-08002B2CF9AE}" pid="5" name="MSIP_Label_eca3f16c-393f-48b5-a5cb-cb7982a1d1a2_SetDate">
    <vt:lpwstr>2023-12-07T08:16:08Z</vt:lpwstr>
  </property>
  <property fmtid="{D5CDD505-2E9C-101B-9397-08002B2CF9AE}" pid="6" name="MSIP_Label_eca3f16c-393f-48b5-a5cb-cb7982a1d1a2_Method">
    <vt:lpwstr>Privileged</vt:lpwstr>
  </property>
  <property fmtid="{D5CDD505-2E9C-101B-9397-08002B2CF9AE}" pid="7" name="MSIP_Label_eca3f16c-393f-48b5-a5cb-cb7982a1d1a2_Name">
    <vt:lpwstr>Internal</vt:lpwstr>
  </property>
  <property fmtid="{D5CDD505-2E9C-101B-9397-08002B2CF9AE}" pid="8" name="MSIP_Label_eca3f16c-393f-48b5-a5cb-cb7982a1d1a2_SiteId">
    <vt:lpwstr>ac52f73c-fd1a-4a9a-8e7a-4a248f3139e1</vt:lpwstr>
  </property>
  <property fmtid="{D5CDD505-2E9C-101B-9397-08002B2CF9AE}" pid="9" name="MSIP_Label_eca3f16c-393f-48b5-a5cb-cb7982a1d1a2_ActionId">
    <vt:lpwstr>9aae9326-a428-410d-8ac1-9816bda6bf1a</vt:lpwstr>
  </property>
  <property fmtid="{D5CDD505-2E9C-101B-9397-08002B2CF9AE}" pid="10" name="MSIP_Label_eca3f16c-393f-48b5-a5cb-cb7982a1d1a2_ContentBits">
    <vt:lpwstr>2</vt:lpwstr>
  </property>
</Properties>
</file>