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Prueba de Excel\"/>
    </mc:Choice>
  </mc:AlternateContent>
  <xr:revisionPtr revIDLastSave="0" documentId="13_ncr:1_{65BFA601-539E-4FEF-85B4-E2B4530A25E3}" xr6:coauthVersionLast="47" xr6:coauthVersionMax="47" xr10:uidLastSave="{00000000-0000-0000-0000-000000000000}"/>
  <bookViews>
    <workbookView xWindow="-120" yWindow="-120" windowWidth="20730" windowHeight="11040" xr2:uid="{70359D1C-566E-485E-8691-AB835FA547DD}"/>
  </bookViews>
  <sheets>
    <sheet name="Inicio" sheetId="9" r:id="rId1"/>
    <sheet name="Prueba" sheetId="1" state="veryHidden" r:id="rId2"/>
    <sheet name="Nomina" sheetId="16" state="veryHidden" r:id="rId3"/>
    <sheet name="Blanco" sheetId="14" state="veryHidden" r:id="rId4"/>
    <sheet name="Tabla" sheetId="15" state="veryHidden" r:id="rId5"/>
    <sheet name="Resultados" sheetId="8" state="veryHidden" r:id="rId6"/>
    <sheet name="Final" sheetId="10" state="veryHidden" r:id="rId7"/>
    <sheet name="R" sheetId="19" state="veryHidden" r:id="rId8"/>
  </sheets>
  <definedNames>
    <definedName name="_xlnm._FilterDatabase" localSheetId="2" hidden="1">Nomina!$B$7:$N$143</definedName>
    <definedName name="_xlnm._FilterDatabase" localSheetId="1" hidden="1">Prueba!$B$56:$N$58</definedName>
    <definedName name="_xlnm._FilterDatabase" localSheetId="7" hidden="1">'R'!$B$56:$N$58</definedName>
    <definedName name="_xlnm._FilterDatabase" localSheetId="5" hidden="1">Resultados!#REF!</definedName>
    <definedName name="CeldaCorreo">Inicio!$C$14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8" i="9" l="1"/>
  <c r="C61" i="1"/>
  <c r="C60" i="1"/>
  <c r="E24" i="1"/>
  <c r="E23" i="1"/>
  <c r="E22" i="1"/>
  <c r="D9" i="8" s="1"/>
  <c r="E21" i="1"/>
  <c r="G13" i="1"/>
  <c r="G12" i="1"/>
  <c r="G11" i="1"/>
  <c r="D15" i="8"/>
  <c r="D16" i="8"/>
  <c r="D10" i="8" l="1"/>
  <c r="N58" i="19"/>
  <c r="M58" i="19"/>
  <c r="L58" i="19"/>
  <c r="J58" i="19"/>
  <c r="N57" i="19"/>
  <c r="J57" i="19"/>
  <c r="M57" i="19" s="1"/>
  <c r="H13" i="1"/>
  <c r="H12" i="1"/>
  <c r="H11" i="1"/>
  <c r="D30" i="1"/>
  <c r="E31" i="1"/>
  <c r="E30" i="1"/>
  <c r="D31" i="1"/>
  <c r="E32" i="1"/>
  <c r="D32" i="1"/>
  <c r="F32" i="1" l="1"/>
  <c r="G32" i="1" s="1"/>
  <c r="F30" i="1"/>
  <c r="F31" i="1"/>
  <c r="G31" i="1" s="1"/>
  <c r="D7" i="8"/>
  <c r="D6" i="8"/>
  <c r="K58" i="19"/>
  <c r="O58" i="19" s="1"/>
  <c r="K57" i="19"/>
  <c r="L57" i="19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4" i="15"/>
  <c r="D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G30" i="1" l="1"/>
  <c r="D13" i="8" s="1"/>
  <c r="D12" i="8"/>
  <c r="O57" i="19"/>
  <c r="B4" i="8" l="1"/>
  <c r="A3" i="10" l="1"/>
  <c r="G27" i="9"/>
  <c r="E10" i="8" l="1"/>
  <c r="E12" i="8"/>
  <c r="D21" i="8" l="1"/>
  <c r="E6" i="8"/>
  <c r="D20" i="8"/>
  <c r="E15" i="8"/>
  <c r="E16" i="8"/>
  <c r="E9" i="8"/>
  <c r="E13" i="8"/>
  <c r="E7" i="8"/>
  <c r="E20" i="8" l="1"/>
  <c r="H3" i="8" s="1"/>
  <c r="E21" i="8"/>
</calcChain>
</file>

<file path=xl/sharedStrings.xml><?xml version="1.0" encoding="utf-8"?>
<sst xmlns="http://schemas.openxmlformats.org/spreadsheetml/2006/main" count="845" uniqueCount="148">
  <si>
    <t>Tercero</t>
  </si>
  <si>
    <t>Valor</t>
  </si>
  <si>
    <t>Prueba de Excel</t>
  </si>
  <si>
    <t>1.</t>
  </si>
  <si>
    <t>Total</t>
  </si>
  <si>
    <t>2.</t>
  </si>
  <si>
    <t>3.</t>
  </si>
  <si>
    <t>Cuenta contable</t>
  </si>
  <si>
    <t>4.</t>
  </si>
  <si>
    <t>Row Labels</t>
  </si>
  <si>
    <t>Grand Total</t>
  </si>
  <si>
    <t>Punto 1</t>
  </si>
  <si>
    <t>Aprobado</t>
  </si>
  <si>
    <t>Reprobado</t>
  </si>
  <si>
    <t>Punto 2</t>
  </si>
  <si>
    <t>Punto 3</t>
  </si>
  <si>
    <t>Punto 4</t>
  </si>
  <si>
    <t>Porcentaje</t>
  </si>
  <si>
    <t>Resultado de la prueba de Excel</t>
  </si>
  <si>
    <t>Total general</t>
  </si>
  <si>
    <t>Resultado general:</t>
  </si>
  <si>
    <t>Respuestas</t>
  </si>
  <si>
    <t>Habilidad</t>
  </si>
  <si>
    <t>0%-20%</t>
  </si>
  <si>
    <t>21%-40%</t>
  </si>
  <si>
    <t>41%-60%</t>
  </si>
  <si>
    <t>61%-80%</t>
  </si>
  <si>
    <t>&gt;80%</t>
  </si>
  <si>
    <t>Bajo dominio de Excel</t>
  </si>
  <si>
    <t>CEDULA:</t>
  </si>
  <si>
    <t>CORREO:</t>
  </si>
  <si>
    <t>APELLIDOS:</t>
  </si>
  <si>
    <t>Por favor suministre la siguiente información</t>
  </si>
  <si>
    <t>Hora de inicio</t>
  </si>
  <si>
    <t>Tiempo Transcurrido</t>
  </si>
  <si>
    <t>Muchas Gracias!</t>
  </si>
  <si>
    <t>Has finalizado la Prueba de Excel</t>
  </si>
  <si>
    <t>NOMBRES:</t>
  </si>
  <si>
    <t>Dominio básico de Excel</t>
  </si>
  <si>
    <t>Buen dominio de Excel</t>
  </si>
  <si>
    <t>Sobresaliente dominio de Excel</t>
  </si>
  <si>
    <t>Avanzado dominio de Excel</t>
  </si>
  <si>
    <t>Fecha</t>
  </si>
  <si>
    <t>Tipo de documento</t>
  </si>
  <si>
    <t>Numero de documento</t>
  </si>
  <si>
    <t>Factura</t>
  </si>
  <si>
    <t>NIT</t>
  </si>
  <si>
    <t>AA1A</t>
  </si>
  <si>
    <t>CLIENTE 1</t>
  </si>
  <si>
    <t>CLIENTE 3</t>
  </si>
  <si>
    <t>ABC S.A.</t>
  </si>
  <si>
    <t>Cuenta a 4 digitos</t>
  </si>
  <si>
    <t>Ver detalle de ingresos en la siguiente hoja</t>
  </si>
  <si>
    <t>Cliente</t>
  </si>
  <si>
    <t xml:space="preserve"> </t>
  </si>
  <si>
    <t>MES</t>
  </si>
  <si>
    <t>Mes</t>
  </si>
  <si>
    <t>No de registros</t>
  </si>
  <si>
    <t>Enero</t>
  </si>
  <si>
    <t>Diciembre</t>
  </si>
  <si>
    <r>
      <rPr>
        <b/>
        <sz val="8"/>
        <color theme="1"/>
        <rFont val="Georgia"/>
        <family val="1"/>
      </rPr>
      <t>AVISO DE CONFIDENCIALIDAD</t>
    </r>
    <r>
      <rPr>
        <sz val="8"/>
        <color theme="1"/>
        <rFont val="Georgia"/>
        <family val="1"/>
      </rPr>
      <t xml:space="preserve">
La información contenida en la Prueba Técnica, así como en los demás documentos y actividades en el marco del proceso de selección, es información confidencial y reservada, de valor comercial y objeto de protección, que configura un secreto empresarial. A título enunciativo, son de carácter confidencial y reservado: Presentaciones o documentos de la Firma; cualquier información, documento y/o materiales (escritos, orales o en medio electrónico) relacionados con la negociación, la información societaria, técnica, financiera, jurídica, comercial, estratégica, khow how, secretos empresariales, cualquier información relacionada con las operaciones de negocios presente y futuros, y todos los procesos y/o métodos de operación, estructuras operativas, administrativas y técnicas y demás detalles relacionados con los negocios y actividades, o cualquier información que resulten sensibles y relevantes para la Firma.
En consecuencia, el aspirante deberá abstenerse de revelar, suministrar, vender, arrendar, publicar, copiar, reproducir, remover, disponer, transferir y en general utilizar, directa o indirectamente, en favor propio o de otras personas, en forma total o parcial, cualquiera que sea su finalidad, la información confidencial de la Compañía, a la cual tiene acceso o haya tenido conocimiento en desarrollo del proceso de contratación o selección o con posterioridad a este proceso, sin que medie autorización previa, expresa y escrita del titular de la información para el efecto, y a ninguna persona ajena al proceso de selección sin importar el parentesco, naturaleza o calidad de la relación entre el aspirante y el tercero. Lo anterior, so pena de las acciones legales que pueda emprender la Firma en relación con la información confidencial y reservada.” </t>
    </r>
  </si>
  <si>
    <t>A 31 de diciembre de 2022</t>
  </si>
  <si>
    <t>CB0A</t>
  </si>
  <si>
    <t>RE2F</t>
  </si>
  <si>
    <t>CLIENTE 2</t>
  </si>
  <si>
    <t>DC1E</t>
  </si>
  <si>
    <t>CLIENTE 7</t>
  </si>
  <si>
    <t>WE2A</t>
  </si>
  <si>
    <t>CLIENTE 5</t>
  </si>
  <si>
    <t>CLIENTE 4</t>
  </si>
  <si>
    <t>CLIENTE 8</t>
  </si>
  <si>
    <t>CLIENTE 6</t>
  </si>
  <si>
    <t>Consolidado de nomina</t>
  </si>
  <si>
    <t>Sex</t>
  </si>
  <si>
    <t>Male</t>
  </si>
  <si>
    <t>Emp ID : Y8461</t>
  </si>
  <si>
    <t>Michael</t>
  </si>
  <si>
    <t>Emp ID : I8457</t>
  </si>
  <si>
    <t>Stephen</t>
  </si>
  <si>
    <t>Emp ID : H8457</t>
  </si>
  <si>
    <t>Kevin</t>
  </si>
  <si>
    <t>Emp ID : J8462</t>
  </si>
  <si>
    <t>Mark</t>
  </si>
  <si>
    <t>Emp ID : V8417</t>
  </si>
  <si>
    <t>Ian</t>
  </si>
  <si>
    <t>Emp ID : M8462</t>
  </si>
  <si>
    <t>Brian</t>
  </si>
  <si>
    <t>Emp ID : R8477</t>
  </si>
  <si>
    <t>Bruce</t>
  </si>
  <si>
    <t>Emp ID : C8487</t>
  </si>
  <si>
    <t>Anthony</t>
  </si>
  <si>
    <t>Emp ID : B8461</t>
  </si>
  <si>
    <t>James</t>
  </si>
  <si>
    <t>Emp ID : N8450</t>
  </si>
  <si>
    <t>Gary</t>
  </si>
  <si>
    <t>Emp ID : V8460</t>
  </si>
  <si>
    <t>Alan</t>
  </si>
  <si>
    <t>Emp ID : H8459</t>
  </si>
  <si>
    <t>Murray</t>
  </si>
  <si>
    <t>Dias trabajados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</si>
  <si>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</si>
  <si>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</si>
  <si>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</si>
  <si>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</si>
  <si>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</si>
  <si>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</si>
  <si>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</si>
  <si>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</si>
  <si>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</si>
  <si>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</si>
  <si>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Salario básico</t>
  </si>
  <si>
    <t>Salud</t>
  </si>
  <si>
    <t>Pension</t>
  </si>
  <si>
    <t>fondo de solidaridad</t>
  </si>
  <si>
    <t>retención en la fuente</t>
  </si>
  <si>
    <t>Total a pagar</t>
  </si>
  <si>
    <t>Sueldo</t>
  </si>
  <si>
    <t>La salud será el 4% del sueldo</t>
  </si>
  <si>
    <t>La pensión será el 4% del sueldo</t>
  </si>
  <si>
    <t>Identificadión Empleado</t>
  </si>
  <si>
    <t>Empleado</t>
  </si>
  <si>
    <t>Complete la siguente tabla.
Para esto usted tendra que utilizar una formula que le permita buscar el nombre del empleado según cada numero de empleado y adicionalmente tendrá que sumar el total a pagar teniendo en cuenta los dos criterio, el numero de identificación y el mes</t>
  </si>
  <si>
    <t>Complete la siguiente tabla
Usted deberá aplicar una formula que le permita contar las veces que se repiten los trabajadores Compañía ABC S.A.</t>
  </si>
  <si>
    <t>Para completar la tabla a continuación, modifique la tabla dinámica de modo que quede agrupada por tercero en las filas y en las columnas la cuenta contable y en los valores el los valores de los ingresos</t>
  </si>
  <si>
    <t>Column Labels</t>
  </si>
  <si>
    <t>Sum of Valor</t>
  </si>
  <si>
    <t>Copie el detalle de la nomina de la compañía ABC S.A. a 31 de diciembre de 2022 en la hoja "Blanco", una vez realizado inserte un filtro customizado que le permita cumplir varios criterios. La ordenará "Identificación empleado", de la A a la Z, y por "Total a pagar", de mayor a menor. Para finalizar, pegue en la celda resaltada en GRIS la primera y la ultima fila de la cartera respectivamente</t>
  </si>
  <si>
    <t>Transacción</t>
  </si>
  <si>
    <t>Esta prueba consta de 4 puntos, usted únicamente tendrá que diligenciar los campos que están de color GRIS con las formulas que usted considere</t>
  </si>
  <si>
    <t>Esta prueba consta de 4 puntos, usted únicamente tendrá que diligenciar los campos que están de color GRIS con las formulas que usted considere.</t>
  </si>
  <si>
    <t>VlookUp
SumIf</t>
  </si>
  <si>
    <t>CountIf</t>
  </si>
  <si>
    <t>Tabla Dinámica</t>
  </si>
  <si>
    <t>Filtros Customizados</t>
  </si>
  <si>
    <t>Nomina</t>
  </si>
  <si>
    <t>Complete la siguiente tabla
Usted deberá aplicar una formula que le permita contar las veces que se repiten los trabajadores Compañía ABC S.A. en el consolidado de la nomina a 31 de diciembre de 2022</t>
  </si>
  <si>
    <t>Ver detalle de nomina en la siguiente hoja</t>
  </si>
  <si>
    <t>Para completar la tabla a continuación, modifique la tabla dinámica de modo que quede agrupada por tercero en las filas y en las columnas la cuenta contable y en los valores el los valores de los ingresos (La tabla dinámica toma la dada de una tabla independiente)</t>
  </si>
  <si>
    <t>Copie el detalle de la nomina de la compañía ABC S.A. a 31 de diciembre de 2022 en la hoja "Blanco", una vez lo haya realizado inserte un filtro customizado que le permita cumplir varios criterios. La ordenará por "Identificación empleado", de la A a la Z, y por "Total a pagar", de mayor a menor. Para finalizar, pegue en la celda resaltada en GRIS la primera y la ultima fila de la nomina respectivamente</t>
  </si>
  <si>
    <t>Para iniciar la prueba debe dar Click en el botón "Iniciar", luego de que haya realizado la totalidad de los puntos deberá dar click en el botón "Finalizar" y antes de cerrar el documento deberá guardarlo. Una vez iniciada la prueba usted tendrá un máximo de una hora para finalizar la prueba.</t>
  </si>
  <si>
    <t>Identificación Empleado</t>
  </si>
  <si>
    <t>Días trabajados</t>
  </si>
  <si>
    <t>Pensión</t>
  </si>
  <si>
    <t>Complete la siguiente tabla.
Para esto usted tendrá que utilizar una formula que le permita buscar el nombre del empleado según cada numero de empleado y adicionalmente tendrá que sumar el total a pagar teniendo en cuenta los dos criterio, el numero de identificación y el mes</t>
  </si>
  <si>
    <t>Para el cálculo del sueldo, determine el salario básico diario y multiplíquelo por los días trabajados</t>
  </si>
  <si>
    <t>Si el salario básico del empleado es mas de 5 millones, aplique el 1% al sueldo para el fondo de solidaridad</t>
  </si>
  <si>
    <t>Si el salario básico del empleado es mas de 6 millones, aplique el 2% al sueldo para la retención por renta</t>
  </si>
  <si>
    <t>El total a pagar será el devengado menos las de las deducciones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</si>
</sst>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\ #,##0"/>
    <numFmt numFmtId="165" formatCode="[$-F400]h:mm:ss\ AM/PM"/>
    <numFmt numFmtId="166" formatCode="h:mm:ss;@"/>
  </numFmts>
  <fonts count="12" x14ac:knownFonts="1">
    <font>
      <sz val="10"/>
      <color theme="1"/>
      <name val="Georgia"/>
      <family val="2"/>
    </font>
    <font>
      <b/>
      <sz val="10"/>
      <color theme="1"/>
      <name val="Georgia"/>
      <family val="1"/>
    </font>
    <font>
      <u/>
      <sz val="10"/>
      <color theme="10"/>
      <name val="Georgia"/>
      <family val="2"/>
    </font>
    <font>
      <sz val="10"/>
      <color theme="1"/>
      <name val="Georgia"/>
      <family val="1"/>
    </font>
    <font>
      <b/>
      <sz val="14"/>
      <color theme="1"/>
      <name val="Georgia"/>
      <family val="1"/>
    </font>
    <font>
      <sz val="10"/>
      <color theme="1"/>
      <name val="Georgia"/>
      <family val="2"/>
    </font>
    <font>
      <b/>
      <sz val="12"/>
      <color theme="1"/>
      <name val="Georgia"/>
      <family val="1"/>
    </font>
    <font>
      <sz val="60"/>
      <color theme="1"/>
      <name val="Georgia"/>
      <family val="2"/>
    </font>
    <font>
      <sz val="14"/>
      <color theme="1"/>
      <name val="Georgia"/>
      <family val="2"/>
    </font>
    <font>
      <sz val="8"/>
      <name val="Georgia"/>
      <family val="2"/>
    </font>
    <font>
      <sz val="8"/>
      <color theme="1"/>
      <name val="Georgia"/>
      <family val="1"/>
    </font>
    <font>
      <b/>
      <sz val="8"/>
      <color theme="1"/>
      <name val="Georgia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10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>
      <protection hidden="1"/>
    </xf>
    <xf numFmtId="14" fontId="0" fillId="0" borderId="0" xfId="0" applyNumberFormat="1" applyProtection="1">
      <protection hidden="1"/>
    </xf>
    <xf numFmtId="0" fontId="1" fillId="0" borderId="0" xfId="0" applyFont="1" applyProtection="1">
      <protection hidden="1"/>
    </xf>
    <xf numFmtId="164" fontId="1" fillId="0" borderId="0" xfId="0" applyNumberFormat="1" applyFont="1" applyProtection="1">
      <protection hidden="1"/>
    </xf>
    <xf numFmtId="0" fontId="3" fillId="0" borderId="0" xfId="0" applyFont="1" applyProtection="1">
      <protection hidden="1"/>
    </xf>
    <xf numFmtId="0" fontId="0" fillId="0" borderId="0" xfId="0" applyAlignment="1" applyProtection="1">
      <alignment wrapText="1"/>
      <protection hidden="1"/>
    </xf>
    <xf numFmtId="0" fontId="1" fillId="0" borderId="1" xfId="0" applyFont="1" applyBorder="1" applyAlignment="1" applyProtection="1">
      <alignment vertical="center"/>
      <protection hidden="1"/>
    </xf>
    <xf numFmtId="0" fontId="1" fillId="0" borderId="1" xfId="0" applyFont="1" applyBorder="1" applyAlignment="1" applyProtection="1">
      <alignment vertical="center" wrapText="1"/>
      <protection hidden="1"/>
    </xf>
    <xf numFmtId="0" fontId="0" fillId="0" borderId="1" xfId="0" applyBorder="1" applyProtection="1">
      <protection hidden="1"/>
    </xf>
    <xf numFmtId="0" fontId="1" fillId="0" borderId="1" xfId="0" applyFont="1" applyBorder="1" applyProtection="1">
      <protection hidden="1"/>
    </xf>
    <xf numFmtId="0" fontId="1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0" xfId="0" applyNumberFormat="1" applyProtection="1">
      <protection hidden="1"/>
    </xf>
    <xf numFmtId="0" fontId="1" fillId="0" borderId="0" xfId="0" applyFont="1" applyFill="1" applyAlignment="1" applyProtection="1">
      <alignment wrapText="1"/>
      <protection hidden="1"/>
    </xf>
    <xf numFmtId="0" fontId="4" fillId="0" borderId="0" xfId="0" applyFont="1" applyProtection="1">
      <protection hidden="1"/>
    </xf>
    <xf numFmtId="0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hidden="1"/>
    </xf>
    <xf numFmtId="0" fontId="6" fillId="0" borderId="0" xfId="0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9" fontId="1" fillId="0" borderId="0" xfId="2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center"/>
      <protection hidden="1"/>
    </xf>
    <xf numFmtId="9" fontId="1" fillId="0" borderId="1" xfId="2" applyFont="1" applyBorder="1" applyAlignment="1" applyProtection="1">
      <alignment horizontal="center"/>
      <protection hidden="1"/>
    </xf>
    <xf numFmtId="9" fontId="0" fillId="0" borderId="0" xfId="0" applyNumberFormat="1" applyProtection="1">
      <protection hidden="1"/>
    </xf>
    <xf numFmtId="0" fontId="3" fillId="0" borderId="0" xfId="0" applyFont="1" applyAlignment="1" applyProtection="1">
      <alignment wrapText="1"/>
      <protection hidden="1"/>
    </xf>
    <xf numFmtId="22" fontId="0" fillId="0" borderId="0" xfId="0" applyNumberFormat="1" applyProtection="1">
      <protection hidden="1"/>
    </xf>
    <xf numFmtId="0" fontId="0" fillId="0" borderId="0" xfId="0" applyAlignment="1" applyProtection="1">
      <alignment vertical="center"/>
      <protection hidden="1"/>
    </xf>
    <xf numFmtId="165" fontId="0" fillId="0" borderId="0" xfId="0" applyNumberFormat="1" applyAlignment="1" applyProtection="1">
      <alignment vertical="center"/>
      <protection hidden="1"/>
    </xf>
    <xf numFmtId="0" fontId="1" fillId="0" borderId="0" xfId="0" applyFont="1" applyAlignment="1" applyProtection="1">
      <alignment vertical="center" wrapText="1"/>
      <protection hidden="1"/>
    </xf>
    <xf numFmtId="166" fontId="1" fillId="0" borderId="0" xfId="0" applyNumberFormat="1" applyFont="1" applyAlignment="1" applyProtection="1">
      <alignment vertical="center"/>
      <protection hidden="1"/>
    </xf>
    <xf numFmtId="0" fontId="1" fillId="0" borderId="0" xfId="0" applyNumberFormat="1" applyFont="1" applyAlignment="1" applyProtection="1">
      <alignment vertical="center"/>
      <protection hidden="1"/>
    </xf>
    <xf numFmtId="0" fontId="3" fillId="0" borderId="0" xfId="0" applyFont="1" applyAlignment="1" applyProtection="1">
      <alignment horizontal="left" wrapText="1"/>
      <protection hidden="1"/>
    </xf>
    <xf numFmtId="0" fontId="0" fillId="0" borderId="0" xfId="0" applyBorder="1" applyProtection="1">
      <protection hidden="1"/>
    </xf>
    <xf numFmtId="0" fontId="0" fillId="2" borderId="1" xfId="0" applyFill="1" applyBorder="1" applyProtection="1">
      <protection locked="0"/>
    </xf>
    <xf numFmtId="3" fontId="0" fillId="2" borderId="1" xfId="0" applyNumberFormat="1" applyFill="1" applyBorder="1" applyProtection="1">
      <protection locked="0"/>
    </xf>
    <xf numFmtId="14" fontId="0" fillId="0" borderId="0" xfId="0" applyNumberFormat="1"/>
    <xf numFmtId="164" fontId="0" fillId="0" borderId="0" xfId="0" applyNumberFormat="1"/>
    <xf numFmtId="164" fontId="0" fillId="0" borderId="0" xfId="0" applyNumberFormat="1" applyFill="1" applyProtection="1">
      <protection locked="0"/>
    </xf>
    <xf numFmtId="0" fontId="1" fillId="0" borderId="1" xfId="0" applyFont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1" fillId="0" borderId="0" xfId="0" applyFont="1" applyBorder="1" applyAlignment="1" applyProtection="1">
      <alignment horizontal="left" vertical="center"/>
      <protection hidden="1"/>
    </xf>
    <xf numFmtId="0" fontId="2" fillId="0" borderId="0" xfId="1" applyProtection="1">
      <protection hidden="1"/>
    </xf>
    <xf numFmtId="0" fontId="1" fillId="0" borderId="0" xfId="0" applyNumberFormat="1" applyFont="1" applyProtection="1">
      <protection locked="0"/>
    </xf>
    <xf numFmtId="0" fontId="0" fillId="0" borderId="0" xfId="0" applyFill="1" applyProtection="1">
      <protection hidden="1"/>
    </xf>
    <xf numFmtId="0" fontId="0" fillId="0" borderId="0" xfId="0" applyAlignment="1" applyProtection="1">
      <protection hidden="1"/>
    </xf>
    <xf numFmtId="1" fontId="0" fillId="0" borderId="0" xfId="0" applyNumberFormat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8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164" fontId="0" fillId="0" borderId="11" xfId="0" applyNumberFormat="1" applyBorder="1" applyProtection="1">
      <protection hidden="1"/>
    </xf>
    <xf numFmtId="0" fontId="0" fillId="0" borderId="5" xfId="0" applyBorder="1" applyProtection="1">
      <protection hidden="1"/>
    </xf>
    <xf numFmtId="0" fontId="0" fillId="0" borderId="6" xfId="0" applyBorder="1" applyProtection="1">
      <protection hidden="1"/>
    </xf>
    <xf numFmtId="164" fontId="0" fillId="0" borderId="6" xfId="0" applyNumberFormat="1" applyBorder="1" applyProtection="1">
      <protection hidden="1"/>
    </xf>
    <xf numFmtId="164" fontId="0" fillId="2" borderId="6" xfId="0" applyNumberFormat="1" applyFill="1" applyBorder="1" applyProtection="1">
      <protection hidden="1"/>
    </xf>
    <xf numFmtId="164" fontId="0" fillId="2" borderId="1" xfId="0" applyNumberFormat="1" applyFill="1" applyBorder="1" applyProtection="1">
      <protection hidden="1"/>
    </xf>
    <xf numFmtId="164" fontId="0" fillId="2" borderId="11" xfId="0" applyNumberFormat="1" applyFill="1" applyBorder="1" applyProtection="1">
      <protection hidden="1"/>
    </xf>
    <xf numFmtId="164" fontId="0" fillId="2" borderId="7" xfId="0" applyNumberFormat="1" applyFill="1" applyBorder="1" applyProtection="1">
      <protection hidden="1"/>
    </xf>
    <xf numFmtId="164" fontId="0" fillId="2" borderId="9" xfId="0" applyNumberFormat="1" applyFill="1" applyBorder="1" applyProtection="1">
      <protection hidden="1"/>
    </xf>
    <xf numFmtId="164" fontId="0" fillId="2" borderId="12" xfId="0" applyNumberFormat="1" applyFill="1" applyBorder="1" applyProtection="1">
      <protection hidden="1"/>
    </xf>
    <xf numFmtId="0" fontId="0" fillId="0" borderId="0" xfId="0" applyNumberFormat="1"/>
    <xf numFmtId="49" fontId="0" fillId="0" borderId="0" xfId="0" applyNumberFormat="1"/>
    <xf numFmtId="164" fontId="0" fillId="0" borderId="0" xfId="0" applyNumberFormat="1" applyProtection="1">
      <protection hidden="1"/>
    </xf>
    <xf numFmtId="0" fontId="1" fillId="0" borderId="0" xfId="0" applyFont="1" applyBorder="1" applyAlignment="1" applyProtection="1">
      <alignment vertical="center" wrapText="1"/>
      <protection hidden="1"/>
    </xf>
    <xf numFmtId="0" fontId="1" fillId="0" borderId="0" xfId="0" applyFont="1" applyBorder="1" applyAlignment="1" applyProtection="1">
      <alignment vertical="center"/>
      <protection hidden="1"/>
    </xf>
    <xf numFmtId="164" fontId="0" fillId="2" borderId="0" xfId="0" applyNumberFormat="1" applyFill="1" applyBorder="1" applyProtection="1">
      <protection hidden="1"/>
    </xf>
    <xf numFmtId="0" fontId="0" fillId="2" borderId="0" xfId="0" applyFill="1" applyBorder="1" applyProtection="1">
      <protection hidden="1"/>
    </xf>
    <xf numFmtId="0" fontId="1" fillId="0" borderId="16" xfId="0" applyFont="1" applyBorder="1" applyAlignment="1" applyProtection="1">
      <alignment vertical="center" wrapText="1"/>
      <protection hidden="1"/>
    </xf>
    <xf numFmtId="0" fontId="1" fillId="0" borderId="17" xfId="0" applyFont="1" applyBorder="1" applyAlignment="1" applyProtection="1">
      <alignment vertical="center" wrapText="1"/>
      <protection hidden="1"/>
    </xf>
    <xf numFmtId="0" fontId="1" fillId="0" borderId="18" xfId="0" applyFont="1" applyBorder="1" applyAlignment="1" applyProtection="1">
      <alignment vertical="center"/>
      <protection hidden="1"/>
    </xf>
    <xf numFmtId="0" fontId="1" fillId="0" borderId="18" xfId="0" applyFont="1" applyBorder="1" applyAlignment="1" applyProtection="1">
      <alignment vertical="center" wrapText="1"/>
      <protection hidden="1"/>
    </xf>
    <xf numFmtId="0" fontId="1" fillId="0" borderId="19" xfId="0" applyFont="1" applyBorder="1" applyAlignment="1" applyProtection="1">
      <alignment vertical="center" wrapText="1"/>
      <protection hidden="1"/>
    </xf>
    <xf numFmtId="164" fontId="0" fillId="2" borderId="1" xfId="0" applyNumberFormat="1" applyFill="1" applyBorder="1" applyProtection="1">
      <protection locked="0"/>
    </xf>
    <xf numFmtId="0" fontId="1" fillId="0" borderId="0" xfId="0" applyNumberFormat="1" applyFont="1" applyProtection="1">
      <protection hidden="1"/>
    </xf>
    <xf numFmtId="0" fontId="0" fillId="0" borderId="0" xfId="0" applyFill="1" applyAlignment="1" applyProtection="1">
      <alignment wrapText="1"/>
      <protection hidden="1"/>
    </xf>
    <xf numFmtId="164" fontId="0" fillId="0" borderId="0" xfId="0" applyNumberFormat="1" applyFill="1" applyProtection="1">
      <protection hidden="1"/>
    </xf>
    <xf numFmtId="0" fontId="0" fillId="2" borderId="0" xfId="0" applyFill="1" applyBorder="1" applyProtection="1">
      <protection locked="0"/>
    </xf>
    <xf numFmtId="164" fontId="0" fillId="2" borderId="0" xfId="0" applyNumberFormat="1" applyFill="1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  <xf numFmtId="164" fontId="0" fillId="0" borderId="23" xfId="0" applyNumberFormat="1" applyBorder="1" applyProtection="1">
      <protection locked="0"/>
    </xf>
    <xf numFmtId="164" fontId="0" fillId="0" borderId="24" xfId="0" applyNumberFormat="1" applyBorder="1" applyProtection="1">
      <protection locked="0"/>
    </xf>
    <xf numFmtId="164" fontId="0" fillId="0" borderId="25" xfId="0" applyNumberFormat="1" applyBorder="1" applyProtection="1">
      <protection locked="0"/>
    </xf>
    <xf numFmtId="164" fontId="0" fillId="0" borderId="26" xfId="0" applyNumberFormat="1" applyBorder="1" applyProtection="1">
      <protection locked="0"/>
    </xf>
    <xf numFmtId="164" fontId="0" fillId="0" borderId="27" xfId="0" applyNumberFormat="1" applyBorder="1" applyProtection="1">
      <protection locked="0"/>
    </xf>
    <xf numFmtId="164" fontId="0" fillId="0" borderId="28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0" fontId="3" fillId="0" borderId="0" xfId="0" applyFont="1" applyAlignment="1" applyProtection="1">
      <alignment horizontal="left" wrapText="1"/>
      <protection hidden="1"/>
    </xf>
    <xf numFmtId="0" fontId="1" fillId="0" borderId="0" xfId="0" applyFont="1" applyAlignment="1" applyProtection="1">
      <alignment horizontal="left" wrapText="1"/>
      <protection hidden="1"/>
    </xf>
    <xf numFmtId="0" fontId="10" fillId="0" borderId="0" xfId="0" applyFont="1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left" wrapText="1"/>
      <protection hidden="1"/>
    </xf>
    <xf numFmtId="0" fontId="0" fillId="0" borderId="0" xfId="0" applyFill="1" applyAlignment="1" applyProtection="1">
      <alignment horizontal="left" vertical="center" wrapText="1"/>
      <protection hidden="1"/>
    </xf>
    <xf numFmtId="0" fontId="0" fillId="3" borderId="13" xfId="0" applyFill="1" applyBorder="1" applyAlignment="1" applyProtection="1">
      <alignment horizontal="left" vertical="center" wrapText="1"/>
      <protection hidden="1"/>
    </xf>
    <xf numFmtId="0" fontId="0" fillId="3" borderId="14" xfId="0" applyFill="1" applyBorder="1" applyAlignment="1" applyProtection="1">
      <alignment horizontal="left" vertical="center" wrapText="1"/>
      <protection hidden="1"/>
    </xf>
    <xf numFmtId="0" fontId="0" fillId="3" borderId="15" xfId="0" applyFill="1" applyBorder="1" applyAlignment="1" applyProtection="1">
      <alignment horizontal="left" vertical="center" wrapText="1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6" fillId="0" borderId="4" xfId="0" applyFon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left" vertical="center" wrapText="1"/>
      <protection hidden="1"/>
    </xf>
    <xf numFmtId="0" fontId="1" fillId="0" borderId="1" xfId="0" applyFont="1" applyBorder="1" applyAlignment="1" applyProtection="1">
      <alignment horizontal="left" vertical="center"/>
      <protection hidden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ill="1" applyAlignment="1" applyProtection="1">
      <alignment horizontal="left" vertical="center" wrapText="1"/>
      <protection locked="0"/>
    </xf>
  </cellXfs>
  <cellStyles count="3">
    <cellStyle name="Hyperlink" xfId="1" builtinId="8"/>
    <cellStyle name="Normal" xfId="0" builtinId="0"/>
    <cellStyle name="Percent" xfId="2" builtinId="5"/>
  </cellStyles>
  <dxfs count="35">
    <dxf>
      <numFmt numFmtId="164" formatCode="&quot;$&quot;\ #,##0"/>
    </dxf>
    <dxf>
      <protection hidden="1"/>
    </dxf>
    <dxf>
      <protection locked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protection hidden="0"/>
    </dxf>
    <dxf>
      <protection locked="0"/>
    </dxf>
    <dxf>
      <protection locked="1" hidden="1"/>
    </dxf>
    <dxf>
      <numFmt numFmtId="164" formatCode="&quot;$&quot;\ #,##0"/>
    </dxf>
    <dxf>
      <protection hidden="1"/>
    </dxf>
    <dxf>
      <protection locked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20</xdr:row>
      <xdr:rowOff>152400</xdr:rowOff>
    </xdr:from>
    <xdr:to>
      <xdr:col>2</xdr:col>
      <xdr:colOff>295276</xdr:colOff>
      <xdr:row>23</xdr:row>
      <xdr:rowOff>35982</xdr:rowOff>
    </xdr:to>
    <xdr:sp macro="[0]!Inici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89FFF6E-7EF5-4C3F-9F67-A8491B34DE30}"/>
            </a:ext>
          </a:extLst>
        </xdr:cNvPr>
        <xdr:cNvSpPr/>
      </xdr:nvSpPr>
      <xdr:spPr>
        <a:xfrm>
          <a:off x="771525" y="2971800"/>
          <a:ext cx="1047751" cy="369357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s-CO" sz="1600">
              <a:solidFill>
                <a:sysClr val="windowText" lastClr="000000"/>
              </a:solidFill>
              <a:latin typeface="Georgia" panose="02040502050405020303" pitchFamily="18" charset="0"/>
            </a:rPr>
            <a:t>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666750</xdr:colOff>
      <xdr:row>0</xdr:row>
      <xdr:rowOff>85727</xdr:rowOff>
    </xdr:from>
    <xdr:to>
      <xdr:col>13</xdr:col>
      <xdr:colOff>190501</xdr:colOff>
      <xdr:row>1</xdr:row>
      <xdr:rowOff>116417</xdr:rowOff>
    </xdr:to>
    <xdr:sp macro="[0]!Calific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98B3875-4DA7-44E9-8173-DEE26BE6D8C3}"/>
            </a:ext>
          </a:extLst>
        </xdr:cNvPr>
        <xdr:cNvSpPr/>
      </xdr:nvSpPr>
      <xdr:spPr>
        <a:xfrm>
          <a:off x="11734800" y="85727"/>
          <a:ext cx="1047751" cy="36406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s-CO" sz="1600">
              <a:solidFill>
                <a:sysClr val="windowText" lastClr="000000"/>
              </a:solidFill>
              <a:latin typeface="Georgia" panose="02040502050405020303" pitchFamily="18" charset="0"/>
            </a:rPr>
            <a:t>Calificar</a:t>
          </a:r>
        </a:p>
      </xdr:txBody>
    </xdr:sp>
    <xdr:clientData/>
  </xdr:twoCellAnchor>
  <xdr:twoCellAnchor>
    <xdr:from>
      <xdr:col>13</xdr:col>
      <xdr:colOff>476250</xdr:colOff>
      <xdr:row>0</xdr:row>
      <xdr:rowOff>84669</xdr:rowOff>
    </xdr:from>
    <xdr:to>
      <xdr:col>15</xdr:col>
      <xdr:colOff>1</xdr:colOff>
      <xdr:row>1</xdr:row>
      <xdr:rowOff>116417</xdr:rowOff>
    </xdr:to>
    <xdr:sp macro="[0]!Limpi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8D9FE6-B8F5-4C96-B73E-B8D5FFD890C2}"/>
            </a:ext>
          </a:extLst>
        </xdr:cNvPr>
        <xdr:cNvSpPr/>
      </xdr:nvSpPr>
      <xdr:spPr>
        <a:xfrm>
          <a:off x="13068300" y="84669"/>
          <a:ext cx="1047751" cy="365123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s-CO" sz="1600">
              <a:solidFill>
                <a:sysClr val="windowText" lastClr="000000"/>
              </a:solidFill>
              <a:latin typeface="Georgia" panose="02040502050405020303" pitchFamily="18" charset="0"/>
            </a:rPr>
            <a:t>Limpiar</a:t>
          </a:r>
        </a:p>
      </xdr:txBody>
    </xdr:sp>
    <xdr:clientData/>
  </xdr:twoCellAnchor>
  <xdr:twoCellAnchor>
    <xdr:from>
      <xdr:col>10</xdr:col>
      <xdr:colOff>52917</xdr:colOff>
      <xdr:row>0</xdr:row>
      <xdr:rowOff>105833</xdr:rowOff>
    </xdr:from>
    <xdr:to>
      <xdr:col>11</xdr:col>
      <xdr:colOff>338668</xdr:colOff>
      <xdr:row>1</xdr:row>
      <xdr:rowOff>136523</xdr:rowOff>
    </xdr:to>
    <xdr:sp macro="[0]!Finaliz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C6F4FA0-5CA8-41E2-B560-D39B8F4DB856}"/>
            </a:ext>
          </a:extLst>
        </xdr:cNvPr>
        <xdr:cNvSpPr/>
      </xdr:nvSpPr>
      <xdr:spPr>
        <a:xfrm>
          <a:off x="10358967" y="105833"/>
          <a:ext cx="1047751" cy="36406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s-CO" sz="1600">
              <a:solidFill>
                <a:sysClr val="windowText" lastClr="000000"/>
              </a:solidFill>
              <a:latin typeface="Georgia" panose="02040502050405020303" pitchFamily="18" charset="0"/>
            </a:rPr>
            <a:t>Finalizar</a:t>
          </a:r>
        </a:p>
      </xdr:txBody>
    </xdr:sp>
    <xdr:clientData/>
  </xdr:twoCellAnchor>
  <xdr:twoCellAnchor>
    <xdr:from>
      <xdr:col>15</xdr:col>
      <xdr:colOff>232834</xdr:colOff>
      <xdr:row>0</xdr:row>
      <xdr:rowOff>84667</xdr:rowOff>
    </xdr:from>
    <xdr:to>
      <xdr:col>17</xdr:col>
      <xdr:colOff>690034</xdr:colOff>
      <xdr:row>1</xdr:row>
      <xdr:rowOff>115357</xdr:rowOff>
    </xdr:to>
    <xdr:sp macro="[0]!restaur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FAB4DD7-FB35-49AD-971F-0BE232DB64CB}"/>
            </a:ext>
          </a:extLst>
        </xdr:cNvPr>
        <xdr:cNvSpPr/>
      </xdr:nvSpPr>
      <xdr:spPr>
        <a:xfrm>
          <a:off x="14348884" y="84667"/>
          <a:ext cx="1981200" cy="36406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s-CO" sz="1600">
              <a:solidFill>
                <a:sysClr val="windowText" lastClr="000000"/>
              </a:solidFill>
              <a:latin typeface="Georgia" panose="02040502050405020303" pitchFamily="18" charset="0"/>
            </a:rPr>
            <a:t>Restaurar</a:t>
          </a:r>
          <a:r>
            <a:rPr lang="es-CO" sz="1600" baseline="0">
              <a:solidFill>
                <a:sysClr val="windowText" lastClr="000000"/>
              </a:solidFill>
              <a:latin typeface="Georgia" panose="02040502050405020303" pitchFamily="18" charset="0"/>
            </a:rPr>
            <a:t> Prueba</a:t>
          </a:r>
        </a:p>
        <a:p>
          <a:pPr algn="ctr"/>
          <a:endParaRPr lang="es-CO" sz="1600">
            <a:solidFill>
              <a:sysClr val="windowText" lastClr="000000"/>
            </a:solidFill>
            <a:latin typeface="Georgia" panose="02040502050405020303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13</xdr:col>
      <xdr:colOff>285751</xdr:colOff>
      <xdr:row>4</xdr:row>
      <xdr:rowOff>8465</xdr:rowOff>
    </xdr:to>
    <xdr:sp macro="[0]!Limpiar_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B7B29C4-4CC9-46FE-A365-1B2F8FAF6665}"/>
            </a:ext>
          </a:extLst>
        </xdr:cNvPr>
        <xdr:cNvSpPr/>
      </xdr:nvSpPr>
      <xdr:spPr>
        <a:xfrm>
          <a:off x="8143875" y="171450"/>
          <a:ext cx="1047751" cy="37041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s-CO" sz="1600">
              <a:solidFill>
                <a:sysClr val="windowText" lastClr="000000"/>
              </a:solidFill>
              <a:latin typeface="Georgia" panose="02040502050405020303" pitchFamily="18" charset="0"/>
            </a:rPr>
            <a:t>Limpiar</a:t>
          </a:r>
        </a:p>
      </xdr:txBody>
    </xdr:sp>
    <xdr:clientData/>
  </xdr:twoCellAnchor>
  <xdr:twoCellAnchor>
    <xdr:from>
      <xdr:col>14</xdr:col>
      <xdr:colOff>0</xdr:colOff>
      <xdr:row>2</xdr:row>
      <xdr:rowOff>0</xdr:rowOff>
    </xdr:from>
    <xdr:to>
      <xdr:col>16</xdr:col>
      <xdr:colOff>457200</xdr:colOff>
      <xdr:row>4</xdr:row>
      <xdr:rowOff>7407</xdr:rowOff>
    </xdr:to>
    <xdr:sp macro="[0]!restaur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70FD8A6-A29D-47DC-86A3-BE3512758C6C}"/>
            </a:ext>
          </a:extLst>
        </xdr:cNvPr>
        <xdr:cNvSpPr/>
      </xdr:nvSpPr>
      <xdr:spPr>
        <a:xfrm>
          <a:off x="10306050" y="171450"/>
          <a:ext cx="1981200" cy="369357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s-CO" sz="1600">
              <a:solidFill>
                <a:sysClr val="windowText" lastClr="000000"/>
              </a:solidFill>
              <a:latin typeface="Georgia" panose="02040502050405020303" pitchFamily="18" charset="0"/>
            </a:rPr>
            <a:t>Restaurar</a:t>
          </a:r>
          <a:r>
            <a:rPr lang="es-CO" sz="1600" baseline="0">
              <a:solidFill>
                <a:sysClr val="windowText" lastClr="000000"/>
              </a:solidFill>
              <a:latin typeface="Georgia" panose="02040502050405020303" pitchFamily="18" charset="0"/>
            </a:rPr>
            <a:t> Prueba</a:t>
          </a:r>
        </a:p>
        <a:p>
          <a:pPr algn="ctr"/>
          <a:endParaRPr lang="es-CO" sz="1600">
            <a:solidFill>
              <a:sysClr val="windowText" lastClr="000000"/>
            </a:solidFill>
            <a:latin typeface="Georgia" panose="02040502050405020303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666750</xdr:colOff>
      <xdr:row>0</xdr:row>
      <xdr:rowOff>85727</xdr:rowOff>
    </xdr:from>
    <xdr:to>
      <xdr:col>13</xdr:col>
      <xdr:colOff>190501</xdr:colOff>
      <xdr:row>1</xdr:row>
      <xdr:rowOff>116417</xdr:rowOff>
    </xdr:to>
    <xdr:sp macro="[0]!Calific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E7F09A-EA79-4044-B1DD-EC068B0DA8F0}"/>
            </a:ext>
          </a:extLst>
        </xdr:cNvPr>
        <xdr:cNvSpPr/>
      </xdr:nvSpPr>
      <xdr:spPr>
        <a:xfrm>
          <a:off x="10506075" y="85727"/>
          <a:ext cx="1104901" cy="36406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s-CO" sz="1600">
              <a:solidFill>
                <a:sysClr val="windowText" lastClr="000000"/>
              </a:solidFill>
              <a:latin typeface="Georgia" panose="02040502050405020303" pitchFamily="18" charset="0"/>
            </a:rPr>
            <a:t>Calificar</a:t>
          </a:r>
        </a:p>
      </xdr:txBody>
    </xdr:sp>
    <xdr:clientData/>
  </xdr:twoCellAnchor>
  <xdr:twoCellAnchor>
    <xdr:from>
      <xdr:col>13</xdr:col>
      <xdr:colOff>476250</xdr:colOff>
      <xdr:row>0</xdr:row>
      <xdr:rowOff>84669</xdr:rowOff>
    </xdr:from>
    <xdr:to>
      <xdr:col>15</xdr:col>
      <xdr:colOff>1</xdr:colOff>
      <xdr:row>1</xdr:row>
      <xdr:rowOff>116417</xdr:rowOff>
    </xdr:to>
    <xdr:sp macro="[0]!Limpi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D119177-4657-459E-9688-77D6D895134B}"/>
            </a:ext>
          </a:extLst>
        </xdr:cNvPr>
        <xdr:cNvSpPr/>
      </xdr:nvSpPr>
      <xdr:spPr>
        <a:xfrm>
          <a:off x="11896725" y="84669"/>
          <a:ext cx="1143001" cy="365123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s-CO" sz="1600">
              <a:solidFill>
                <a:sysClr val="windowText" lastClr="000000"/>
              </a:solidFill>
              <a:latin typeface="Georgia" panose="02040502050405020303" pitchFamily="18" charset="0"/>
            </a:rPr>
            <a:t>Limpiar</a:t>
          </a:r>
        </a:p>
      </xdr:txBody>
    </xdr:sp>
    <xdr:clientData/>
  </xdr:twoCellAnchor>
  <xdr:twoCellAnchor>
    <xdr:from>
      <xdr:col>10</xdr:col>
      <xdr:colOff>52917</xdr:colOff>
      <xdr:row>0</xdr:row>
      <xdr:rowOff>105833</xdr:rowOff>
    </xdr:from>
    <xdr:to>
      <xdr:col>11</xdr:col>
      <xdr:colOff>338668</xdr:colOff>
      <xdr:row>1</xdr:row>
      <xdr:rowOff>136523</xdr:rowOff>
    </xdr:to>
    <xdr:sp macro="[0]!Finaliz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F813ADC-8CFA-4703-AA80-7C758D3B5FD6}"/>
            </a:ext>
          </a:extLst>
        </xdr:cNvPr>
        <xdr:cNvSpPr/>
      </xdr:nvSpPr>
      <xdr:spPr>
        <a:xfrm>
          <a:off x="8958792" y="105833"/>
          <a:ext cx="1219201" cy="36406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s-CO" sz="1600">
              <a:solidFill>
                <a:sysClr val="windowText" lastClr="000000"/>
              </a:solidFill>
              <a:latin typeface="Georgia" panose="02040502050405020303" pitchFamily="18" charset="0"/>
            </a:rPr>
            <a:t>Finalizar</a:t>
          </a:r>
        </a:p>
      </xdr:txBody>
    </xdr:sp>
    <xdr:clientData/>
  </xdr:twoCellAnchor>
  <xdr:twoCellAnchor>
    <xdr:from>
      <xdr:col>15</xdr:col>
      <xdr:colOff>232834</xdr:colOff>
      <xdr:row>0</xdr:row>
      <xdr:rowOff>84667</xdr:rowOff>
    </xdr:from>
    <xdr:to>
      <xdr:col>17</xdr:col>
      <xdr:colOff>690034</xdr:colOff>
      <xdr:row>1</xdr:row>
      <xdr:rowOff>115357</xdr:rowOff>
    </xdr:to>
    <xdr:sp macro="[0]!restaur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68D6CDC-E967-47D0-98A0-E6BAF74CEBF0}"/>
            </a:ext>
          </a:extLst>
        </xdr:cNvPr>
        <xdr:cNvSpPr/>
      </xdr:nvSpPr>
      <xdr:spPr>
        <a:xfrm>
          <a:off x="13272559" y="84667"/>
          <a:ext cx="1981200" cy="36406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s-CO" sz="1600">
              <a:solidFill>
                <a:sysClr val="windowText" lastClr="000000"/>
              </a:solidFill>
              <a:latin typeface="Georgia" panose="02040502050405020303" pitchFamily="18" charset="0"/>
            </a:rPr>
            <a:t>Restaurar</a:t>
          </a:r>
          <a:r>
            <a:rPr lang="es-CO" sz="1600" baseline="0">
              <a:solidFill>
                <a:sysClr val="windowText" lastClr="000000"/>
              </a:solidFill>
              <a:latin typeface="Georgia" panose="02040502050405020303" pitchFamily="18" charset="0"/>
            </a:rPr>
            <a:t> Prueba</a:t>
          </a:r>
        </a:p>
        <a:p>
          <a:pPr algn="ctr"/>
          <a:endParaRPr lang="es-CO" sz="1600">
            <a:solidFill>
              <a:sysClr val="windowText" lastClr="000000"/>
            </a:solidFill>
            <a:latin typeface="Georgia" panose="02040502050405020303" pitchFamily="18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quin Elias Gomez Zuniga" refreshedDate="45058.829088773149" createdVersion="7" refreshedVersion="8" minRefreshableVersion="3" recordCount="50" xr:uid="{3E164F98-70F5-4271-B8FF-A19DCDD77993}">
  <cacheSource type="worksheet">
    <worksheetSource ref="A2:J52" sheet="Tabla"/>
  </cacheSource>
  <cacheFields count="10">
    <cacheField name="Fecha" numFmtId="14">
      <sharedItems containsSemiMixedTypes="0" containsNonDate="0" containsDate="1" containsString="0" minDate="2022-01-10T00:00:00" maxDate="2022-12-31T00:00:00"/>
    </cacheField>
    <cacheField name="MES" numFmtId="0">
      <sharedItems/>
    </cacheField>
    <cacheField name="Cuenta contable" numFmtId="0">
      <sharedItems containsSemiMixedTypes="0" containsString="0" containsNumber="1" containsInteger="1" minValue="41151010" maxValue="41353501" count="6">
        <n v="41201045"/>
        <n v="41151010"/>
        <n v="41351001"/>
        <n v="41353501"/>
        <n v="41351010"/>
        <n v="41162005"/>
      </sharedItems>
    </cacheField>
    <cacheField name="Cuenta a 4 digitos" numFmtId="14">
      <sharedItems/>
    </cacheField>
    <cacheField name="Tipo de documento" numFmtId="14">
      <sharedItems/>
    </cacheField>
    <cacheField name="Numero de documento" numFmtId="0">
      <sharedItems containsSemiMixedTypes="0" containsString="0" containsNumber="1" containsInteger="1" minValue="1034" maxValue="1083"/>
    </cacheField>
    <cacheField name="Tercero" numFmtId="164">
      <sharedItems count="8">
        <s v="CLIENTE 3"/>
        <s v="CLIENTE 2"/>
        <s v="CLIENTE 1"/>
        <s v="CLIENTE 7"/>
        <s v="CLIENTE 5"/>
        <s v="CLIENTE 4"/>
        <s v="CLIENTE 8"/>
        <s v="CLIENTE 6"/>
      </sharedItems>
    </cacheField>
    <cacheField name="NIT" numFmtId="0">
      <sharedItems containsSemiMixedTypes="0" containsString="0" containsNumber="1" containsInteger="1" minValue="813766767" maxValue="899096237"/>
    </cacheField>
    <cacheField name="Valor" numFmtId="164">
      <sharedItems containsSemiMixedTypes="0" containsString="0" containsNumber="1" containsInteger="1" minValue="1155187" maxValue="9479945"/>
    </cacheField>
    <cacheField name="Factura" numFmtId="0">
      <sharedItems containsSemiMixedTypes="0" containsString="0" containsNumber="1" containsInteger="1" minValue="91034" maxValue="910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d v="2022-06-20T00:00:00"/>
    <s v="junio"/>
    <x v="0"/>
    <s v="4120"/>
    <s v="CB0A"/>
    <n v="1052"/>
    <x v="0"/>
    <n v="819142314"/>
    <n v="6619103"/>
    <n v="91052"/>
  </r>
  <r>
    <d v="2022-08-20T00:00:00"/>
    <s v="agosto"/>
    <x v="1"/>
    <s v="4115"/>
    <s v="RE2F"/>
    <n v="1061"/>
    <x v="1"/>
    <n v="813766767"/>
    <n v="1929407"/>
    <n v="91061"/>
  </r>
  <r>
    <d v="2022-12-30T00:00:00"/>
    <s v="diciembre"/>
    <x v="0"/>
    <s v="4120"/>
    <s v="AA1A"/>
    <n v="1083"/>
    <x v="2"/>
    <n v="899096237"/>
    <n v="6685212"/>
    <n v="91083"/>
  </r>
  <r>
    <d v="2022-04-23T00:00:00"/>
    <s v="abril"/>
    <x v="2"/>
    <s v="4135"/>
    <s v="DC1E"/>
    <n v="1051"/>
    <x v="2"/>
    <n v="899096237"/>
    <n v="5019047"/>
    <n v="91051"/>
  </r>
  <r>
    <d v="2022-03-18T00:00:00"/>
    <s v="marzo"/>
    <x v="2"/>
    <s v="4135"/>
    <s v="RE2F"/>
    <n v="1047"/>
    <x v="3"/>
    <n v="842052794"/>
    <n v="8982217"/>
    <n v="91047"/>
  </r>
  <r>
    <d v="2022-04-17T00:00:00"/>
    <s v="abril"/>
    <x v="3"/>
    <s v="4135"/>
    <s v="WE2A"/>
    <n v="1050"/>
    <x v="1"/>
    <n v="813766767"/>
    <n v="1429973"/>
    <n v="91050"/>
  </r>
  <r>
    <d v="2022-09-06T00:00:00"/>
    <s v="septiembre"/>
    <x v="2"/>
    <s v="4135"/>
    <s v="DC1E"/>
    <n v="1063"/>
    <x v="2"/>
    <n v="899096237"/>
    <n v="6903849"/>
    <n v="91063"/>
  </r>
  <r>
    <d v="2022-12-30T00:00:00"/>
    <s v="diciembre"/>
    <x v="2"/>
    <s v="4135"/>
    <s v="AA1A"/>
    <n v="1082"/>
    <x v="0"/>
    <n v="819142314"/>
    <n v="7819265"/>
    <n v="91082"/>
  </r>
  <r>
    <d v="2022-09-22T00:00:00"/>
    <s v="septiembre"/>
    <x v="3"/>
    <s v="4135"/>
    <s v="RE2F"/>
    <n v="1065"/>
    <x v="4"/>
    <n v="845853444"/>
    <n v="6975871"/>
    <n v="91065"/>
  </r>
  <r>
    <d v="2022-12-13T00:00:00"/>
    <s v="diciembre"/>
    <x v="3"/>
    <s v="4135"/>
    <s v="WE2A"/>
    <n v="1080"/>
    <x v="0"/>
    <n v="819142314"/>
    <n v="8618952"/>
    <n v="91080"/>
  </r>
  <r>
    <d v="2022-10-15T00:00:00"/>
    <s v="octubre"/>
    <x v="2"/>
    <s v="4135"/>
    <s v="AA1A"/>
    <n v="1069"/>
    <x v="5"/>
    <n v="870262053"/>
    <n v="8211942"/>
    <n v="91069"/>
  </r>
  <r>
    <d v="2022-12-05T00:00:00"/>
    <s v="diciembre"/>
    <x v="2"/>
    <s v="4135"/>
    <s v="CB0A"/>
    <n v="1074"/>
    <x v="2"/>
    <n v="899096237"/>
    <n v="4511228"/>
    <n v="91074"/>
  </r>
  <r>
    <d v="2022-08-30T00:00:00"/>
    <s v="agosto"/>
    <x v="4"/>
    <s v="4135"/>
    <s v="CB0A"/>
    <n v="1062"/>
    <x v="2"/>
    <n v="899096237"/>
    <n v="8458223"/>
    <n v="91062"/>
  </r>
  <r>
    <d v="2022-02-11T00:00:00"/>
    <s v="febrero"/>
    <x v="4"/>
    <s v="4135"/>
    <s v="CB0A"/>
    <n v="1042"/>
    <x v="0"/>
    <n v="819142314"/>
    <n v="6244264"/>
    <n v="91042"/>
  </r>
  <r>
    <d v="2022-08-06T00:00:00"/>
    <s v="agosto"/>
    <x v="3"/>
    <s v="4135"/>
    <s v="DC1E"/>
    <n v="1060"/>
    <x v="0"/>
    <n v="819142314"/>
    <n v="4302318"/>
    <n v="91060"/>
  </r>
  <r>
    <d v="2022-12-12T00:00:00"/>
    <s v="diciembre"/>
    <x v="4"/>
    <s v="4135"/>
    <s v="DC1E"/>
    <n v="1079"/>
    <x v="6"/>
    <n v="831890235"/>
    <n v="7422525"/>
    <n v="91079"/>
  </r>
  <r>
    <d v="2022-01-29T00:00:00"/>
    <s v="enero"/>
    <x v="2"/>
    <s v="4135"/>
    <s v="RE2F"/>
    <n v="1038"/>
    <x v="0"/>
    <n v="819142314"/>
    <n v="5585230"/>
    <n v="91038"/>
  </r>
  <r>
    <d v="2022-03-16T00:00:00"/>
    <s v="marzo"/>
    <x v="0"/>
    <s v="4120"/>
    <s v="AA1A"/>
    <n v="1046"/>
    <x v="6"/>
    <n v="831890235"/>
    <n v="3868144"/>
    <n v="91046"/>
  </r>
  <r>
    <d v="2022-02-19T00:00:00"/>
    <s v="febrero"/>
    <x v="2"/>
    <s v="4135"/>
    <s v="CB0A"/>
    <n v="1045"/>
    <x v="5"/>
    <n v="870262053"/>
    <n v="4687074"/>
    <n v="91045"/>
  </r>
  <r>
    <d v="2022-01-18T00:00:00"/>
    <s v="enero"/>
    <x v="3"/>
    <s v="4135"/>
    <s v="DC1E"/>
    <n v="1037"/>
    <x v="0"/>
    <n v="819142314"/>
    <n v="2129063"/>
    <n v="91037"/>
  </r>
  <r>
    <d v="2022-09-21T00:00:00"/>
    <s v="septiembre"/>
    <x v="4"/>
    <s v="4135"/>
    <s v="DC1E"/>
    <n v="1064"/>
    <x v="4"/>
    <n v="845853444"/>
    <n v="3596518"/>
    <n v="91064"/>
  </r>
  <r>
    <d v="2022-04-10T00:00:00"/>
    <s v="abril"/>
    <x v="1"/>
    <s v="4115"/>
    <s v="RE2F"/>
    <n v="1049"/>
    <x v="0"/>
    <n v="819142314"/>
    <n v="5757576"/>
    <n v="91049"/>
  </r>
  <r>
    <d v="2022-02-12T00:00:00"/>
    <s v="febrero"/>
    <x v="1"/>
    <s v="4115"/>
    <s v="RE2F"/>
    <n v="1043"/>
    <x v="5"/>
    <n v="870262053"/>
    <n v="1361120"/>
    <n v="91043"/>
  </r>
  <r>
    <d v="2022-10-11T00:00:00"/>
    <s v="octubre"/>
    <x v="2"/>
    <s v="4135"/>
    <s v="AA1A"/>
    <n v="1068"/>
    <x v="4"/>
    <n v="845853444"/>
    <n v="6764799"/>
    <n v="91068"/>
  </r>
  <r>
    <d v="2022-07-31T00:00:00"/>
    <s v="julio"/>
    <x v="3"/>
    <s v="4135"/>
    <s v="WE2A"/>
    <n v="1059"/>
    <x v="5"/>
    <n v="870262053"/>
    <n v="5071350"/>
    <n v="91059"/>
  </r>
  <r>
    <d v="2022-07-02T00:00:00"/>
    <s v="julio"/>
    <x v="0"/>
    <s v="4120"/>
    <s v="CB0A"/>
    <n v="1055"/>
    <x v="1"/>
    <n v="813766767"/>
    <n v="4995340"/>
    <n v="91055"/>
  </r>
  <r>
    <d v="2022-07-03T00:00:00"/>
    <s v="julio"/>
    <x v="0"/>
    <s v="4120"/>
    <s v="DC1E"/>
    <n v="1056"/>
    <x v="0"/>
    <n v="819142314"/>
    <n v="6426764"/>
    <n v="91056"/>
  </r>
  <r>
    <d v="2022-01-15T00:00:00"/>
    <s v="enero"/>
    <x v="4"/>
    <s v="4135"/>
    <s v="CB0A"/>
    <n v="1036"/>
    <x v="1"/>
    <n v="813766767"/>
    <n v="7479537"/>
    <n v="91036"/>
  </r>
  <r>
    <d v="2022-11-30T00:00:00"/>
    <s v="noviembre"/>
    <x v="0"/>
    <s v="4120"/>
    <s v="WE2A"/>
    <n v="1073"/>
    <x v="1"/>
    <n v="813766767"/>
    <n v="5149689"/>
    <n v="91073"/>
  </r>
  <r>
    <d v="2022-06-20T00:00:00"/>
    <s v="junio"/>
    <x v="0"/>
    <s v="4120"/>
    <s v="RE2F"/>
    <n v="1053"/>
    <x v="1"/>
    <n v="813766767"/>
    <n v="7469049"/>
    <n v="91053"/>
  </r>
  <r>
    <d v="2022-11-04T00:00:00"/>
    <s v="noviembre"/>
    <x v="5"/>
    <s v="4116"/>
    <s v="AA1A"/>
    <n v="1070"/>
    <x v="7"/>
    <n v="837983767"/>
    <n v="3296973"/>
    <n v="91070"/>
  </r>
  <r>
    <d v="2022-02-15T00:00:00"/>
    <s v="febrero"/>
    <x v="4"/>
    <s v="4135"/>
    <s v="RE2F"/>
    <n v="1044"/>
    <x v="4"/>
    <n v="845853444"/>
    <n v="4437626"/>
    <n v="91044"/>
  </r>
  <r>
    <d v="2022-10-02T00:00:00"/>
    <s v="octubre"/>
    <x v="5"/>
    <s v="4116"/>
    <s v="WE2A"/>
    <n v="1066"/>
    <x v="7"/>
    <n v="837983767"/>
    <n v="7278431"/>
    <n v="91066"/>
  </r>
  <r>
    <d v="2022-02-07T00:00:00"/>
    <s v="febrero"/>
    <x v="4"/>
    <s v="4135"/>
    <s v="DC1E"/>
    <n v="1041"/>
    <x v="2"/>
    <n v="899096237"/>
    <n v="2604294"/>
    <n v="91041"/>
  </r>
  <r>
    <d v="2022-11-23T00:00:00"/>
    <s v="noviembre"/>
    <x v="5"/>
    <s v="4116"/>
    <s v="AA1A"/>
    <n v="1072"/>
    <x v="4"/>
    <n v="845853444"/>
    <n v="6219802"/>
    <n v="91072"/>
  </r>
  <r>
    <d v="2022-06-27T00:00:00"/>
    <s v="junio"/>
    <x v="3"/>
    <s v="4135"/>
    <s v="DC1E"/>
    <n v="1054"/>
    <x v="1"/>
    <n v="813766767"/>
    <n v="7789037"/>
    <n v="91054"/>
  </r>
  <r>
    <d v="2022-12-07T00:00:00"/>
    <s v="diciembre"/>
    <x v="0"/>
    <s v="4120"/>
    <s v="CB0A"/>
    <n v="1076"/>
    <x v="5"/>
    <n v="870262053"/>
    <n v="8462624"/>
    <n v="91076"/>
  </r>
  <r>
    <d v="2022-12-06T00:00:00"/>
    <s v="diciembre"/>
    <x v="4"/>
    <s v="4135"/>
    <s v="RE2F"/>
    <n v="1075"/>
    <x v="4"/>
    <n v="845853444"/>
    <n v="7924202"/>
    <n v="91075"/>
  </r>
  <r>
    <d v="2022-07-13T00:00:00"/>
    <s v="julio"/>
    <x v="1"/>
    <s v="4115"/>
    <s v="DC1E"/>
    <n v="1057"/>
    <x v="7"/>
    <n v="837983767"/>
    <n v="9479945"/>
    <n v="91057"/>
  </r>
  <r>
    <d v="2022-01-31T00:00:00"/>
    <s v="enero"/>
    <x v="3"/>
    <s v="4135"/>
    <s v="WE2A"/>
    <n v="1040"/>
    <x v="5"/>
    <n v="870262053"/>
    <n v="2701800"/>
    <n v="91040"/>
  </r>
  <r>
    <d v="2022-01-10T00:00:00"/>
    <s v="enero"/>
    <x v="1"/>
    <s v="4115"/>
    <s v="AA1A"/>
    <n v="1034"/>
    <x v="2"/>
    <n v="899096237"/>
    <n v="7723246"/>
    <n v="91034"/>
  </r>
  <r>
    <d v="2022-01-29T00:00:00"/>
    <s v="enero"/>
    <x v="3"/>
    <s v="4135"/>
    <s v="WE2A"/>
    <n v="1039"/>
    <x v="1"/>
    <n v="813766767"/>
    <n v="2906593"/>
    <n v="91039"/>
  </r>
  <r>
    <d v="2022-12-11T00:00:00"/>
    <s v="diciembre"/>
    <x v="5"/>
    <s v="4116"/>
    <s v="CB0A"/>
    <n v="1078"/>
    <x v="3"/>
    <n v="842052794"/>
    <n v="1155187"/>
    <n v="91078"/>
  </r>
  <r>
    <d v="2022-12-17T00:00:00"/>
    <s v="diciembre"/>
    <x v="3"/>
    <s v="4135"/>
    <s v="WE2A"/>
    <n v="1081"/>
    <x v="2"/>
    <n v="899096237"/>
    <n v="8730184"/>
    <n v="91081"/>
  </r>
  <r>
    <d v="2022-01-14T00:00:00"/>
    <s v="enero"/>
    <x v="0"/>
    <s v="4120"/>
    <s v="WE2A"/>
    <n v="1035"/>
    <x v="1"/>
    <n v="813766767"/>
    <n v="6214538"/>
    <n v="91035"/>
  </r>
  <r>
    <d v="2022-12-08T00:00:00"/>
    <s v="diciembre"/>
    <x v="4"/>
    <s v="4135"/>
    <s v="CB0A"/>
    <n v="1077"/>
    <x v="7"/>
    <n v="837983767"/>
    <n v="5868991"/>
    <n v="91077"/>
  </r>
  <r>
    <d v="2022-07-27T00:00:00"/>
    <s v="julio"/>
    <x v="4"/>
    <s v="4135"/>
    <s v="WE2A"/>
    <n v="1058"/>
    <x v="4"/>
    <n v="845853444"/>
    <n v="8981027"/>
    <n v="91058"/>
  </r>
  <r>
    <d v="2022-11-08T00:00:00"/>
    <s v="noviembre"/>
    <x v="0"/>
    <s v="4120"/>
    <s v="RE2F"/>
    <n v="1071"/>
    <x v="3"/>
    <n v="842052794"/>
    <n v="3656564"/>
    <n v="91071"/>
  </r>
  <r>
    <d v="2022-03-22T00:00:00"/>
    <s v="marzo"/>
    <x v="2"/>
    <s v="4135"/>
    <s v="AA1A"/>
    <n v="1048"/>
    <x v="5"/>
    <n v="870262053"/>
    <n v="7734849"/>
    <n v="91048"/>
  </r>
  <r>
    <d v="2022-10-08T00:00:00"/>
    <s v="octubre"/>
    <x v="5"/>
    <s v="4116"/>
    <s v="AA1A"/>
    <n v="1067"/>
    <x v="6"/>
    <n v="831890235"/>
    <n v="1836069"/>
    <n v="910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6639FD-CF75-4FC1-97E6-D11422883824}" name="Tabla_Dinámica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C34:E51" firstHeaderRow="1" firstDataRow="1" firstDataCol="0"/>
  <pivotFields count="10">
    <pivotField numFmtId="14" showAll="0"/>
    <pivotField showAll="0"/>
    <pivotField showAll="0">
      <items count="7">
        <item x="1"/>
        <item x="5"/>
        <item x="0"/>
        <item x="2"/>
        <item x="4"/>
        <item x="3"/>
        <item t="default"/>
      </items>
    </pivotField>
    <pivotField showAll="0"/>
    <pivotField showAll="0"/>
    <pivotField showAll="0"/>
    <pivotField showAll="0">
      <items count="9">
        <item x="2"/>
        <item x="1"/>
        <item x="0"/>
        <item x="5"/>
        <item x="4"/>
        <item x="7"/>
        <item x="3"/>
        <item x="6"/>
        <item t="default"/>
      </items>
    </pivotField>
    <pivotField showAll="0"/>
    <pivotField numFmtId="164" showAll="0"/>
    <pivotField showAll="0"/>
  </pivotFields>
  <formats count="10"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6" type="button" dataOnly="0" labelOnly="1" outline="0"/>
    </format>
    <format dxfId="23">
      <pivotArea dataOnly="0" labelOnly="1" grandRow="1" outline="0" fieldPosition="0"/>
    </format>
    <format dxfId="22">
      <pivotArea type="all" dataOnly="0" outline="0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type="all" dataOnly="0" outline="0" fieldPosition="0"/>
    </format>
    <format dxfId="18">
      <pivotArea type="all" dataOnly="0" outline="0" fieldPosition="0"/>
    </format>
    <format dxfId="17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4418F6-BE70-4659-9343-54876FA9D4E8}" name="Tabla_Dinámica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C34:J44" firstHeaderRow="1" firstDataRow="2" firstDataCol="1"/>
  <pivotFields count="10">
    <pivotField numFmtId="14" showAll="0"/>
    <pivotField showAll="0"/>
    <pivotField axis="axisCol" showAll="0">
      <items count="7">
        <item x="1"/>
        <item x="5"/>
        <item x="0"/>
        <item x="2"/>
        <item x="4"/>
        <item x="3"/>
        <item t="default"/>
      </items>
    </pivotField>
    <pivotField showAll="0"/>
    <pivotField showAll="0"/>
    <pivotField showAll="0"/>
    <pivotField axis="axisRow" showAll="0">
      <items count="9">
        <item x="2"/>
        <item x="1"/>
        <item x="0"/>
        <item x="5"/>
        <item x="4"/>
        <item x="7"/>
        <item x="3"/>
        <item x="6"/>
        <item t="default"/>
      </items>
    </pivotField>
    <pivotField showAll="0"/>
    <pivotField dataField="1" numFmtId="164" showAll="0"/>
    <pivotField showAll="0"/>
  </pivotFields>
  <rowFields count="1">
    <field x="6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or" fld="8" baseField="0" baseItem="0"/>
  </dataFields>
  <formats count="7">
    <format dxfId="6">
      <pivotArea type="all" dataOnly="0" outline="0" fieldPosition="0"/>
    </format>
    <format dxfId="5">
      <pivotArea outline="0" collapsedLevelsAreSubtotals="1" fieldPosition="0"/>
    </format>
    <format dxfId="4">
      <pivotArea field="6" type="button" dataOnly="0" labelOnly="1" outline="0" axis="axisRow" fieldPosition="0"/>
    </format>
    <format dxfId="3">
      <pivotArea dataOnly="0" labelOnly="1" grandRow="1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a:spPr>
      <a:bodyPr vertOverflow="clip" horzOverflow="clip" rtlCol="0" anchor="t"/>
      <a:lstStyle>
        <a:defPPr algn="ctr">
          <a:defRPr sz="1600">
            <a:solidFill>
              <a:sysClr val="windowText" lastClr="000000"/>
            </a:solidFill>
            <a:latin typeface="Georgia" panose="02040502050405020303" pitchFamily="18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73750-1818-40AB-BE18-6E5574D651C6}">
  <sheetPr codeName="Sheet6"/>
  <dimension ref="B2:H28"/>
  <sheetViews>
    <sheetView showGridLines="0" tabSelected="1" view="pageBreakPreview" topLeftCell="A2" zoomScaleNormal="100" zoomScaleSheetLayoutView="100" workbookViewId="0">
      <selection activeCell="C13" sqref="C13:C14"/>
    </sheetView>
  </sheetViews>
  <sheetFormatPr defaultRowHeight="12.75" x14ac:dyDescent="0.2"/>
  <cols>
    <col min="1" max="1" width="4.44140625" style="2" customWidth="1"/>
    <col min="2" max="2" width="10.109375" style="2" customWidth="1"/>
    <col min="3" max="3" width="26.33203125" style="2" customWidth="1"/>
    <col min="4" max="4" width="3.33203125" style="2" customWidth="1"/>
    <col min="5" max="5" width="11.21875" style="2" bestFit="1" customWidth="1"/>
    <col min="6" max="6" width="22.77734375" style="2" customWidth="1"/>
    <col min="7" max="7" width="14.33203125" style="2" bestFit="1" customWidth="1"/>
    <col min="8" max="16384" width="8.88671875" style="2"/>
  </cols>
  <sheetData>
    <row r="2" spans="2:8" ht="18" x14ac:dyDescent="0.25">
      <c r="B2" s="16" t="s">
        <v>2</v>
      </c>
    </row>
    <row r="4" spans="2:8" ht="12.75" customHeight="1" x14ac:dyDescent="0.2">
      <c r="B4" s="92" t="s">
        <v>129</v>
      </c>
      <c r="C4" s="92"/>
      <c r="D4" s="92"/>
      <c r="E4" s="92"/>
      <c r="F4" s="92"/>
      <c r="G4" s="26"/>
      <c r="H4" s="26"/>
    </row>
    <row r="5" spans="2:8" x14ac:dyDescent="0.2">
      <c r="B5" s="92"/>
      <c r="C5" s="92"/>
      <c r="D5" s="92"/>
      <c r="E5" s="92"/>
      <c r="F5" s="92"/>
      <c r="G5" s="26"/>
      <c r="H5" s="26"/>
    </row>
    <row r="6" spans="2:8" x14ac:dyDescent="0.2">
      <c r="B6" s="33"/>
      <c r="C6" s="33"/>
      <c r="D6" s="33"/>
      <c r="E6" s="33"/>
      <c r="F6" s="33"/>
      <c r="G6" s="26"/>
      <c r="H6" s="26"/>
    </row>
    <row r="7" spans="2:8" ht="53.25" customHeight="1" x14ac:dyDescent="0.2">
      <c r="B7" s="93" t="s">
        <v>139</v>
      </c>
      <c r="C7" s="93"/>
      <c r="D7" s="93"/>
      <c r="E7" s="93"/>
      <c r="F7" s="93"/>
      <c r="G7" s="26"/>
      <c r="H7" s="26"/>
    </row>
    <row r="9" spans="2:8" x14ac:dyDescent="0.2">
      <c r="B9" s="2" t="s">
        <v>32</v>
      </c>
    </row>
    <row r="11" spans="2:8" x14ac:dyDescent="0.2">
      <c r="B11" s="4" t="s">
        <v>37</v>
      </c>
      <c r="C11" s="35"/>
      <c r="E11" s="4" t="s">
        <v>31</v>
      </c>
      <c r="F11" s="35"/>
    </row>
    <row r="13" spans="2:8" x14ac:dyDescent="0.2">
      <c r="B13" s="4" t="s">
        <v>29</v>
      </c>
      <c r="C13" s="35"/>
    </row>
    <row r="14" spans="2:8" x14ac:dyDescent="0.2">
      <c r="B14" s="4" t="s">
        <v>30</v>
      </c>
      <c r="C14" s="35"/>
    </row>
    <row r="15" spans="2:8" x14ac:dyDescent="0.2">
      <c r="B15" s="4"/>
      <c r="C15" s="34"/>
    </row>
    <row r="17" spans="2:7" ht="113.25" customHeight="1" x14ac:dyDescent="0.2">
      <c r="B17" s="94" t="s">
        <v>60</v>
      </c>
      <c r="C17" s="94"/>
      <c r="D17" s="94"/>
      <c r="E17" s="94"/>
      <c r="F17" s="94"/>
    </row>
    <row r="18" spans="2:7" ht="113.25" customHeight="1" x14ac:dyDescent="0.2">
      <c r="B18" s="94"/>
      <c r="C18" s="94"/>
      <c r="D18" s="94"/>
      <c r="E18" s="94"/>
      <c r="F18" s="94"/>
    </row>
    <row r="27" spans="2:7" x14ac:dyDescent="0.2">
      <c r="G27" s="3">
        <f ca="1">+TODAY()</f>
        <v>45058</v>
      </c>
    </row>
    <row r="28" spans="2:7" x14ac:dyDescent="0.2">
      <c r="G28" s="91">
        <f ca="1">NOW()</f>
        <v>45058.994560300926</v>
      </c>
    </row>
  </sheetData>
  <sheetProtection algorithmName="SHA-1" hashValue="yeKxuIsdpwB9yDtrjkhdpCBI1sg=" saltValue="BOrXd9XbNoAaJ5xw0Eu8UQ==" spinCount="100000" sheet="1" objects="1" scenarios="1"/>
  <mergeCells count="3">
    <mergeCell ref="B4:F5"/>
    <mergeCell ref="B7:F7"/>
    <mergeCell ref="B17:F18"/>
  </mergeCells>
  <pageMargins left="0.7" right="0.7" top="0.75" bottom="0.75" header="0.3" footer="0.3"/>
  <pageSetup scale="8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48EA8-0653-48D9-8DF3-D6F0838D73BC}">
  <sheetPr codeName="Sheet1"/>
  <dimension ref="B1:Q62"/>
  <sheetViews>
    <sheetView showGridLines="0" topLeftCell="A49" zoomScaleNormal="100" workbookViewId="0">
      <selection activeCell="C57" sqref="C57:P58"/>
    </sheetView>
  </sheetViews>
  <sheetFormatPr defaultRowHeight="12.75" x14ac:dyDescent="0.2"/>
  <cols>
    <col min="1" max="1" width="3.33203125" style="2" customWidth="1"/>
    <col min="2" max="2" width="3" style="28" bestFit="1" customWidth="1"/>
    <col min="3" max="8" width="15" style="2" bestFit="1" customWidth="1"/>
    <col min="9" max="10" width="10.6640625" style="2" bestFit="1" customWidth="1"/>
    <col min="11" max="11" width="10.88671875" style="2" bestFit="1" customWidth="1"/>
    <col min="12" max="12" width="9.44140625" style="2" bestFit="1" customWidth="1"/>
    <col min="13" max="13" width="9" style="2" bestFit="1" customWidth="1"/>
    <col min="14" max="14" width="10" style="2" bestFit="1" customWidth="1"/>
    <col min="15" max="16384" width="8.88671875" style="2"/>
  </cols>
  <sheetData>
    <row r="1" spans="2:10" s="28" customFormat="1" ht="26.25" customHeight="1" x14ac:dyDescent="0.2">
      <c r="E1" s="32" t="s">
        <v>33</v>
      </c>
      <c r="F1" s="29"/>
      <c r="G1" s="30" t="s">
        <v>34</v>
      </c>
      <c r="H1" s="31"/>
    </row>
    <row r="2" spans="2:10" ht="18" x14ac:dyDescent="0.25">
      <c r="C2" s="16" t="s">
        <v>2</v>
      </c>
      <c r="E2" s="14"/>
      <c r="H2" s="27"/>
    </row>
    <row r="3" spans="2:10" x14ac:dyDescent="0.2">
      <c r="E3" s="14"/>
    </row>
    <row r="4" spans="2:10" x14ac:dyDescent="0.2">
      <c r="C4" s="6" t="s">
        <v>128</v>
      </c>
      <c r="E4" s="14"/>
    </row>
    <row r="6" spans="2:10" ht="44.25" customHeight="1" x14ac:dyDescent="0.2">
      <c r="B6" s="12" t="s">
        <v>3</v>
      </c>
      <c r="C6" s="92" t="s">
        <v>143</v>
      </c>
      <c r="D6" s="92"/>
      <c r="E6" s="92"/>
      <c r="F6" s="92"/>
      <c r="G6" s="92"/>
      <c r="H6" s="92"/>
      <c r="I6" s="92"/>
    </row>
    <row r="7" spans="2:10" x14ac:dyDescent="0.2">
      <c r="B7" s="12"/>
      <c r="C7" s="6"/>
    </row>
    <row r="8" spans="2:10" x14ac:dyDescent="0.2">
      <c r="B8" s="12"/>
      <c r="C8" s="4" t="s">
        <v>136</v>
      </c>
      <c r="D8" s="4"/>
      <c r="E8" s="4"/>
      <c r="F8" s="45" t="s">
        <v>134</v>
      </c>
    </row>
    <row r="10" spans="2:10" ht="25.5" x14ac:dyDescent="0.2">
      <c r="C10" s="9" t="s">
        <v>140</v>
      </c>
      <c r="D10" s="9" t="s">
        <v>56</v>
      </c>
      <c r="E10" s="8" t="s">
        <v>120</v>
      </c>
      <c r="F10" s="9" t="s">
        <v>115</v>
      </c>
    </row>
    <row r="11" spans="2:10" x14ac:dyDescent="0.2">
      <c r="C11" s="10" t="s">
        <v>81</v>
      </c>
      <c r="D11" s="10" t="s">
        <v>58</v>
      </c>
      <c r="E11" s="35"/>
      <c r="F11" s="76"/>
      <c r="G11" s="2" t="str">
        <f>+IF(E11='R'!E11,"Aprobado","Reprobado")</f>
        <v>Reprobado</v>
      </c>
      <c r="H11" s="2" t="str">
        <f>+IF(F11='R'!F11,"Aprobado","Reprobado")</f>
        <v>Reprobado</v>
      </c>
    </row>
    <row r="12" spans="2:10" x14ac:dyDescent="0.2">
      <c r="C12" s="10" t="s">
        <v>77</v>
      </c>
      <c r="D12" s="10" t="s">
        <v>105</v>
      </c>
      <c r="E12" s="35"/>
      <c r="F12" s="76"/>
      <c r="G12" s="2" t="str">
        <f>+IF(E12='R'!E12,"Aprobado","Reprobado")</f>
        <v>Reprobado</v>
      </c>
      <c r="H12" s="2" t="str">
        <f>+IF(F12='R'!F12,"Aprobado","Reprobado")</f>
        <v>Reprobado</v>
      </c>
      <c r="I12" s="7"/>
      <c r="J12" s="7"/>
    </row>
    <row r="13" spans="2:10" x14ac:dyDescent="0.2">
      <c r="C13" s="10" t="s">
        <v>79</v>
      </c>
      <c r="D13" s="10" t="s">
        <v>59</v>
      </c>
      <c r="E13" s="35"/>
      <c r="F13" s="76"/>
      <c r="G13" s="2" t="str">
        <f>+IF(E13='R'!E13,"Aprobado","Reprobado")</f>
        <v>Reprobado</v>
      </c>
      <c r="H13" s="2" t="str">
        <f>+IF(F13='R'!F13,"Aprobado","Reprobado")</f>
        <v>Reprobado</v>
      </c>
    </row>
    <row r="14" spans="2:10" x14ac:dyDescent="0.2">
      <c r="G14" s="2" t="s">
        <v>54</v>
      </c>
    </row>
    <row r="15" spans="2:10" x14ac:dyDescent="0.2">
      <c r="C15" s="4"/>
      <c r="D15" s="5"/>
    </row>
    <row r="16" spans="2:10" ht="41.25" customHeight="1" x14ac:dyDescent="0.2">
      <c r="B16" s="12" t="s">
        <v>5</v>
      </c>
      <c r="C16" s="95" t="s">
        <v>135</v>
      </c>
      <c r="D16" s="95"/>
      <c r="E16" s="95"/>
      <c r="F16" s="95"/>
      <c r="G16" s="95"/>
      <c r="H16" s="95"/>
      <c r="I16" s="95"/>
    </row>
    <row r="17" spans="2:11" x14ac:dyDescent="0.2">
      <c r="E17" s="14"/>
    </row>
    <row r="18" spans="2:11" x14ac:dyDescent="0.2">
      <c r="C18" s="4" t="s">
        <v>136</v>
      </c>
      <c r="D18" s="4"/>
      <c r="E18" s="14"/>
      <c r="F18" s="45" t="s">
        <v>134</v>
      </c>
    </row>
    <row r="19" spans="2:11" x14ac:dyDescent="0.2">
      <c r="E19" s="14"/>
    </row>
    <row r="20" spans="2:11" x14ac:dyDescent="0.2">
      <c r="C20" s="11" t="s">
        <v>53</v>
      </c>
      <c r="D20" s="11" t="s">
        <v>57</v>
      </c>
      <c r="E20" s="14"/>
    </row>
    <row r="21" spans="2:11" x14ac:dyDescent="0.2">
      <c r="C21" s="11" t="s">
        <v>87</v>
      </c>
      <c r="D21" s="36"/>
      <c r="E21" s="2" t="str">
        <f>+IF(D21='R'!D21,"Aprobado","Reprobado")</f>
        <v>Reprobado</v>
      </c>
    </row>
    <row r="22" spans="2:11" x14ac:dyDescent="0.2">
      <c r="C22" s="11" t="s">
        <v>97</v>
      </c>
      <c r="D22" s="36"/>
      <c r="E22" s="14" t="str">
        <f>+IF(D22='R'!D22,"Aprobado","Reprobado")</f>
        <v>Reprobado</v>
      </c>
    </row>
    <row r="23" spans="2:11" x14ac:dyDescent="0.2">
      <c r="C23" s="11" t="s">
        <v>83</v>
      </c>
      <c r="D23" s="36"/>
      <c r="E23" s="14" t="str">
        <f>+IF(D23='R'!D23,"Aprobado","Reprobado")</f>
        <v>Reprobado</v>
      </c>
    </row>
    <row r="24" spans="2:11" x14ac:dyDescent="0.2">
      <c r="C24" s="11" t="s">
        <v>95</v>
      </c>
      <c r="D24" s="36"/>
      <c r="E24" s="14" t="str">
        <f>+IF(D24='R'!D24,"Aprobado","Reprobado")</f>
        <v>Reprobado</v>
      </c>
    </row>
    <row r="25" spans="2:11" x14ac:dyDescent="0.2">
      <c r="C25" s="4" t="s">
        <v>4</v>
      </c>
      <c r="D25" s="4"/>
      <c r="E25" s="77"/>
    </row>
    <row r="27" spans="2:11" ht="30" customHeight="1" x14ac:dyDescent="0.2">
      <c r="B27" s="12" t="s">
        <v>6</v>
      </c>
      <c r="C27" s="96" t="s">
        <v>137</v>
      </c>
      <c r="D27" s="96"/>
      <c r="E27" s="96"/>
      <c r="F27" s="96"/>
      <c r="G27" s="96"/>
      <c r="H27" s="96"/>
      <c r="I27" s="96"/>
      <c r="J27" s="78"/>
      <c r="K27" s="78"/>
    </row>
    <row r="28" spans="2:11" x14ac:dyDescent="0.2">
      <c r="B28" s="12"/>
    </row>
    <row r="29" spans="2:11" x14ac:dyDescent="0.2">
      <c r="B29" s="12"/>
      <c r="C29" s="11" t="s">
        <v>0</v>
      </c>
      <c r="D29" s="11">
        <v>41201045</v>
      </c>
      <c r="E29" s="11">
        <v>41351010</v>
      </c>
    </row>
    <row r="30" spans="2:11" x14ac:dyDescent="0.2">
      <c r="B30" s="12"/>
      <c r="C30" s="10" t="s">
        <v>49</v>
      </c>
      <c r="D30" s="50" t="str">
        <f>IFERROR(GETPIVOTDATA("Valor",$C$34,"Cuenta contable",41201045,"Tercero",C30),"")</f>
        <v/>
      </c>
      <c r="E30" s="50" t="str">
        <f>IFERROR(GETPIVOTDATA("Valor",$C$34,"Cuenta contable",41351010,"Tercero",C30),"")</f>
        <v/>
      </c>
      <c r="F30" s="2" t="str">
        <f>+IF(E30='R'!E30,"Aprobado","Reprobado")</f>
        <v>Reprobado</v>
      </c>
      <c r="G30" s="2" t="str">
        <f>+IF(F30='R'!F30,"Aprobado","Reprobado")</f>
        <v>Reprobado</v>
      </c>
    </row>
    <row r="31" spans="2:11" x14ac:dyDescent="0.2">
      <c r="B31" s="12"/>
      <c r="C31" s="10" t="s">
        <v>68</v>
      </c>
      <c r="D31" s="50" t="str">
        <f t="shared" ref="D31:D32" si="0">IFERROR(GETPIVOTDATA("Valor",$C$34,"Cuenta contable",41201045,"Tercero",C31),"")</f>
        <v/>
      </c>
      <c r="E31" s="50" t="str">
        <f t="shared" ref="E31:E32" si="1">IFERROR(GETPIVOTDATA("Valor",$C$34,"Cuenta contable",41351010,"Tercero",C31),"")</f>
        <v/>
      </c>
      <c r="F31" s="2" t="str">
        <f>+IF(E31='R'!E31,"Aprobado","Reprobado")</f>
        <v>Reprobado</v>
      </c>
      <c r="G31" s="2" t="str">
        <f>+IF(F31='R'!F31,"Aprobado","Reprobado")</f>
        <v>Reprobado</v>
      </c>
    </row>
    <row r="32" spans="2:11" x14ac:dyDescent="0.2">
      <c r="B32" s="12"/>
      <c r="C32" s="10" t="s">
        <v>71</v>
      </c>
      <c r="D32" s="50" t="str">
        <f t="shared" si="0"/>
        <v/>
      </c>
      <c r="E32" s="50" t="str">
        <f t="shared" si="1"/>
        <v/>
      </c>
      <c r="F32" s="2" t="str">
        <f>+IF(E32='R'!E32,"Aprobado","Reprobado")</f>
        <v>Reprobado</v>
      </c>
      <c r="G32" s="2" t="str">
        <f>+IF(F32='R'!F32,"Aprobado","Reprobado")</f>
        <v>Reprobado</v>
      </c>
    </row>
    <row r="34" spans="3:15" x14ac:dyDescent="0.2">
      <c r="C34" s="82"/>
      <c r="D34" s="83"/>
      <c r="E34" s="84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3:15" x14ac:dyDescent="0.2">
      <c r="C35" s="85"/>
      <c r="D35" s="86"/>
      <c r="E35" s="87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3:15" x14ac:dyDescent="0.2">
      <c r="C36" s="85"/>
      <c r="D36" s="86"/>
      <c r="E36" s="87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3:15" x14ac:dyDescent="0.2">
      <c r="C37" s="85"/>
      <c r="D37" s="86"/>
      <c r="E37" s="87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3:15" x14ac:dyDescent="0.2">
      <c r="C38" s="85"/>
      <c r="D38" s="86"/>
      <c r="E38" s="87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3:15" x14ac:dyDescent="0.2">
      <c r="C39" s="85"/>
      <c r="D39" s="86"/>
      <c r="E39" s="87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3:15" x14ac:dyDescent="0.2">
      <c r="C40" s="85"/>
      <c r="D40" s="86"/>
      <c r="E40" s="87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3:15" x14ac:dyDescent="0.2">
      <c r="C41" s="85"/>
      <c r="D41" s="86"/>
      <c r="E41" s="87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3:15" x14ac:dyDescent="0.2">
      <c r="C42" s="85"/>
      <c r="D42" s="86"/>
      <c r="E42" s="87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3:15" x14ac:dyDescent="0.2">
      <c r="C43" s="85"/>
      <c r="D43" s="86"/>
      <c r="E43" s="87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3:15" x14ac:dyDescent="0.2">
      <c r="C44" s="85"/>
      <c r="D44" s="86"/>
      <c r="E44" s="87"/>
      <c r="F44" s="1"/>
      <c r="G44" s="1"/>
      <c r="H44" s="1"/>
      <c r="I44" s="1"/>
      <c r="J44" s="1"/>
      <c r="K44" s="1"/>
      <c r="L44" s="1"/>
      <c r="M44" s="1"/>
      <c r="N44" s="1"/>
      <c r="O44" s="1"/>
    </row>
    <row r="45" spans="3:15" x14ac:dyDescent="0.2">
      <c r="C45" s="85"/>
      <c r="D45" s="86"/>
      <c r="E45" s="87"/>
      <c r="F45" s="17"/>
      <c r="G45" s="17"/>
      <c r="H45" s="17"/>
      <c r="I45" s="17"/>
      <c r="J45" s="1"/>
      <c r="K45" s="1"/>
      <c r="L45" s="1"/>
      <c r="M45" s="1"/>
      <c r="N45" s="1"/>
      <c r="O45" s="1"/>
    </row>
    <row r="46" spans="3:15" x14ac:dyDescent="0.2">
      <c r="C46" s="85"/>
      <c r="D46" s="86"/>
      <c r="E46" s="87"/>
      <c r="F46" s="17"/>
      <c r="G46" s="17"/>
      <c r="H46" s="17"/>
      <c r="I46" s="17"/>
      <c r="J46" s="1"/>
      <c r="K46" s="1"/>
      <c r="L46" s="1"/>
      <c r="M46" s="1"/>
      <c r="N46" s="1"/>
      <c r="O46" s="1"/>
    </row>
    <row r="47" spans="3:15" x14ac:dyDescent="0.2">
      <c r="C47" s="85"/>
      <c r="D47" s="86"/>
      <c r="E47" s="87"/>
      <c r="F47" s="17"/>
      <c r="G47" s="17"/>
      <c r="H47" s="17"/>
      <c r="I47" s="17"/>
      <c r="J47" s="1"/>
      <c r="K47" s="1"/>
      <c r="L47" s="1"/>
      <c r="M47" s="1"/>
      <c r="N47" s="1"/>
      <c r="O47" s="1"/>
    </row>
    <row r="48" spans="3:15" x14ac:dyDescent="0.2">
      <c r="C48" s="85"/>
      <c r="D48" s="86"/>
      <c r="E48" s="87"/>
      <c r="F48" s="17"/>
      <c r="G48" s="17"/>
      <c r="H48" s="17"/>
      <c r="I48" s="17"/>
      <c r="J48" s="1"/>
      <c r="K48" s="1"/>
      <c r="L48" s="1"/>
      <c r="M48" s="1"/>
      <c r="N48" s="1"/>
      <c r="O48" s="1"/>
    </row>
    <row r="49" spans="2:17" x14ac:dyDescent="0.2">
      <c r="C49" s="85"/>
      <c r="D49" s="86"/>
      <c r="E49" s="87"/>
      <c r="F49" s="17"/>
      <c r="G49" s="17"/>
      <c r="H49" s="17"/>
      <c r="I49" s="17"/>
      <c r="J49" s="1"/>
      <c r="K49" s="1"/>
      <c r="L49" s="1"/>
      <c r="M49" s="1"/>
      <c r="N49" s="1"/>
      <c r="O49" s="1"/>
    </row>
    <row r="50" spans="2:17" x14ac:dyDescent="0.2">
      <c r="C50" s="85"/>
      <c r="D50" s="86"/>
      <c r="E50" s="87"/>
      <c r="F50" s="17"/>
      <c r="G50" s="17"/>
      <c r="H50" s="17"/>
      <c r="I50" s="17"/>
      <c r="J50" s="1"/>
      <c r="K50" s="1"/>
      <c r="L50" s="1"/>
      <c r="M50" s="1"/>
      <c r="N50" s="1"/>
      <c r="O50" s="1"/>
    </row>
    <row r="51" spans="2:17" x14ac:dyDescent="0.2">
      <c r="C51" s="88"/>
      <c r="D51" s="89"/>
      <c r="E51" s="90"/>
      <c r="F51" s="17"/>
      <c r="G51" s="17"/>
      <c r="H51" s="17"/>
      <c r="I51" s="17"/>
      <c r="J51" s="1"/>
      <c r="K51" s="1"/>
      <c r="L51" s="1"/>
      <c r="M51" s="1"/>
      <c r="N51" s="1"/>
      <c r="O51" s="1"/>
    </row>
    <row r="52" spans="2:17" x14ac:dyDescent="0.2">
      <c r="C52" s="13"/>
      <c r="D52" s="14"/>
      <c r="E52" s="14"/>
      <c r="F52" s="14"/>
      <c r="G52" s="14"/>
      <c r="H52" s="14"/>
      <c r="I52" s="14"/>
    </row>
    <row r="54" spans="2:17" ht="42" customHeight="1" x14ac:dyDescent="0.2">
      <c r="B54" s="12" t="s">
        <v>8</v>
      </c>
      <c r="C54" s="95" t="s">
        <v>138</v>
      </c>
      <c r="D54" s="95"/>
      <c r="E54" s="95"/>
      <c r="F54" s="95"/>
      <c r="G54" s="95"/>
      <c r="H54" s="95"/>
      <c r="I54" s="95"/>
      <c r="J54" s="95"/>
      <c r="K54" s="95"/>
    </row>
    <row r="56" spans="2:17" ht="38.25" x14ac:dyDescent="0.2">
      <c r="C56" s="67" t="s">
        <v>140</v>
      </c>
      <c r="D56" s="67" t="s">
        <v>127</v>
      </c>
      <c r="E56" s="68" t="s">
        <v>120</v>
      </c>
      <c r="F56" s="68" t="s">
        <v>73</v>
      </c>
      <c r="G56" s="68" t="s">
        <v>56</v>
      </c>
      <c r="H56" s="67" t="s">
        <v>110</v>
      </c>
      <c r="I56" s="67" t="s">
        <v>141</v>
      </c>
      <c r="J56" s="67" t="s">
        <v>116</v>
      </c>
      <c r="K56" s="67" t="s">
        <v>111</v>
      </c>
      <c r="L56" s="67" t="s">
        <v>142</v>
      </c>
      <c r="M56" s="67" t="s">
        <v>113</v>
      </c>
      <c r="N56" s="67" t="s">
        <v>114</v>
      </c>
      <c r="O56" s="67" t="s">
        <v>115</v>
      </c>
      <c r="P56" s="15"/>
      <c r="Q56" s="15"/>
    </row>
    <row r="57" spans="2:17" x14ac:dyDescent="0.2">
      <c r="C57" s="80"/>
      <c r="D57" s="80"/>
      <c r="E57" s="80"/>
      <c r="F57" s="80"/>
      <c r="G57" s="80"/>
      <c r="H57" s="81"/>
      <c r="I57" s="80"/>
      <c r="J57" s="81"/>
      <c r="K57" s="81"/>
      <c r="L57" s="81"/>
      <c r="M57" s="81"/>
      <c r="N57" s="81"/>
      <c r="O57" s="81"/>
      <c r="P57" s="39"/>
      <c r="Q57" s="79"/>
    </row>
    <row r="58" spans="2:17" x14ac:dyDescent="0.2">
      <c r="C58" s="80"/>
      <c r="D58" s="80"/>
      <c r="E58" s="80"/>
      <c r="F58" s="80"/>
      <c r="G58" s="80"/>
      <c r="H58" s="81"/>
      <c r="I58" s="80"/>
      <c r="J58" s="81"/>
      <c r="K58" s="81"/>
      <c r="L58" s="81"/>
      <c r="M58" s="81"/>
      <c r="N58" s="81"/>
      <c r="O58" s="81"/>
      <c r="P58" s="39"/>
      <c r="Q58" s="79"/>
    </row>
    <row r="60" spans="2:17" x14ac:dyDescent="0.2">
      <c r="C60" s="2" t="str">
        <f>+IF(D57='R'!D57,"Aprobado","Reprobado")</f>
        <v>Reprobado</v>
      </c>
    </row>
    <row r="61" spans="2:17" x14ac:dyDescent="0.2">
      <c r="C61" s="47" t="str">
        <f>+IF(D58='R'!D58,"Aprobado","Reprobado")</f>
        <v>Reprobado</v>
      </c>
    </row>
    <row r="62" spans="2:17" x14ac:dyDescent="0.2">
      <c r="C62" s="47"/>
    </row>
  </sheetData>
  <sheetProtection algorithmName="SHA-1" hashValue="al/+KpCNwHMMTW3XM4vH9m8JPRQ=" saltValue="chSjIbM462ufRckQ2URqLA==" spinCount="100000" sheet="1" objects="1" scenarios="1" pivotTables="0"/>
  <mergeCells count="4">
    <mergeCell ref="C54:K54"/>
    <mergeCell ref="C6:I6"/>
    <mergeCell ref="C27:I27"/>
    <mergeCell ref="C16:I16"/>
  </mergeCells>
  <conditionalFormatting sqref="G11:H13">
    <cfRule type="containsText" dxfId="34" priority="8" operator="containsText" text="Aprobado">
      <formula>NOT(ISERROR(SEARCH("Aprobado",G11)))</formula>
    </cfRule>
    <cfRule type="containsText" dxfId="33" priority="7" operator="containsText" text="Reprobado">
      <formula>NOT(ISERROR(SEARCH("Reprobado",G11)))</formula>
    </cfRule>
  </conditionalFormatting>
  <conditionalFormatting sqref="E21:E24">
    <cfRule type="containsText" dxfId="32" priority="6" operator="containsText" text="Reprobado">
      <formula>NOT(ISERROR(SEARCH("Reprobado",E21)))</formula>
    </cfRule>
    <cfRule type="containsText" dxfId="31" priority="5" operator="containsText" text="Aprobado">
      <formula>NOT(ISERROR(SEARCH("Aprobado",E21)))</formula>
    </cfRule>
  </conditionalFormatting>
  <conditionalFormatting sqref="F30:G32">
    <cfRule type="containsText" dxfId="30" priority="4" operator="containsText" text="Aprobado">
      <formula>NOT(ISERROR(SEARCH("Aprobado",F30)))</formula>
    </cfRule>
    <cfRule type="containsText" dxfId="29" priority="3" operator="containsText" text="Reprobado">
      <formula>NOT(ISERROR(SEARCH("Reprobado",F30)))</formula>
    </cfRule>
  </conditionalFormatting>
  <conditionalFormatting sqref="C60:C61">
    <cfRule type="containsText" dxfId="28" priority="2" operator="containsText" text="Aprobado">
      <formula>NOT(ISERROR(SEARCH("Aprobado",C60)))</formula>
    </cfRule>
    <cfRule type="containsText" dxfId="27" priority="1" operator="containsText" text="Reprobado">
      <formula>NOT(ISERROR(SEARCH("Reprobado",C60)))</formula>
    </cfRule>
  </conditionalFormatting>
  <hyperlinks>
    <hyperlink ref="F8" location="Nomina!A1" display="Nomina" xr:uid="{7E5D971B-C332-4773-BD74-EC8EFB2E664C}"/>
    <hyperlink ref="F18" location="Nomina!A1" display="Nomina" xr:uid="{2EFAA240-D944-4E18-A512-6113F51FF485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19F77-EC76-4344-A04B-2763F9829488}">
  <sheetPr codeName="Sheet8"/>
  <dimension ref="B1:N143"/>
  <sheetViews>
    <sheetView showGridLines="0" workbookViewId="0">
      <selection activeCell="I8" sqref="I8:N143"/>
    </sheetView>
  </sheetViews>
  <sheetFormatPr defaultRowHeight="12.75" x14ac:dyDescent="0.2"/>
  <cols>
    <col min="1" max="1" width="8.88671875" style="2"/>
    <col min="2" max="2" width="13.21875" style="2" customWidth="1"/>
    <col min="3" max="3" width="12.88671875" style="2" bestFit="1" customWidth="1"/>
    <col min="4" max="4" width="9.21875" style="2" bestFit="1" customWidth="1"/>
    <col min="5" max="5" width="6" style="2" bestFit="1" customWidth="1"/>
    <col min="6" max="6" width="8.88671875" style="2"/>
    <col min="7" max="7" width="11" style="2" bestFit="1" customWidth="1"/>
    <col min="8" max="9" width="11.5546875" style="2" customWidth="1"/>
    <col min="10" max="11" width="8.88671875" style="2"/>
    <col min="12" max="12" width="11.109375" style="2" customWidth="1"/>
    <col min="13" max="13" width="10.77734375" style="2" customWidth="1"/>
    <col min="14" max="14" width="11.44140625" style="2" customWidth="1"/>
    <col min="15" max="16384" width="8.88671875" style="2"/>
  </cols>
  <sheetData>
    <row r="1" spans="2:14" ht="13.5" thickBot="1" x14ac:dyDescent="0.25">
      <c r="E1" s="3"/>
    </row>
    <row r="2" spans="2:14" ht="24.75" customHeight="1" x14ac:dyDescent="0.2">
      <c r="B2" s="2" t="s">
        <v>50</v>
      </c>
      <c r="D2" s="48"/>
      <c r="E2" s="3"/>
      <c r="I2" s="97" t="s">
        <v>144</v>
      </c>
      <c r="J2" s="97" t="s">
        <v>117</v>
      </c>
      <c r="K2" s="97" t="s">
        <v>118</v>
      </c>
      <c r="L2" s="97" t="s">
        <v>145</v>
      </c>
      <c r="M2" s="97" t="s">
        <v>146</v>
      </c>
      <c r="N2" s="97" t="s">
        <v>147</v>
      </c>
    </row>
    <row r="3" spans="2:14" ht="24.75" customHeight="1" x14ac:dyDescent="0.2">
      <c r="B3" s="2" t="s">
        <v>72</v>
      </c>
      <c r="D3" s="48"/>
      <c r="E3" s="3"/>
      <c r="I3" s="98"/>
      <c r="J3" s="98"/>
      <c r="K3" s="98"/>
      <c r="L3" s="98"/>
      <c r="M3" s="98"/>
      <c r="N3" s="98"/>
    </row>
    <row r="4" spans="2:14" ht="24.75" customHeight="1" x14ac:dyDescent="0.2">
      <c r="B4" s="2" t="s">
        <v>61</v>
      </c>
      <c r="I4" s="98"/>
      <c r="J4" s="98"/>
      <c r="K4" s="98"/>
      <c r="L4" s="98"/>
      <c r="M4" s="98"/>
      <c r="N4" s="98"/>
    </row>
    <row r="5" spans="2:14" ht="24.75" customHeight="1" x14ac:dyDescent="0.2">
      <c r="I5" s="98"/>
      <c r="J5" s="98"/>
      <c r="K5" s="98"/>
      <c r="L5" s="98"/>
      <c r="M5" s="98"/>
      <c r="N5" s="98"/>
    </row>
    <row r="6" spans="2:14" ht="24.75" customHeight="1" thickBot="1" x14ac:dyDescent="0.25">
      <c r="B6" s="4"/>
      <c r="C6" s="4"/>
      <c r="D6" s="4"/>
      <c r="E6" s="4"/>
      <c r="I6" s="99"/>
      <c r="J6" s="99"/>
      <c r="K6" s="99"/>
      <c r="L6" s="99"/>
      <c r="M6" s="99"/>
      <c r="N6" s="99"/>
    </row>
    <row r="7" spans="2:14" s="28" customFormat="1" ht="33.75" customHeight="1" thickBot="1" x14ac:dyDescent="0.25">
      <c r="B7" s="71" t="s">
        <v>140</v>
      </c>
      <c r="C7" s="72" t="s">
        <v>127</v>
      </c>
      <c r="D7" s="73" t="s">
        <v>120</v>
      </c>
      <c r="E7" s="73" t="s">
        <v>73</v>
      </c>
      <c r="F7" s="73" t="s">
        <v>56</v>
      </c>
      <c r="G7" s="74" t="s">
        <v>110</v>
      </c>
      <c r="H7" s="74" t="s">
        <v>141</v>
      </c>
      <c r="I7" s="74" t="s">
        <v>116</v>
      </c>
      <c r="J7" s="74" t="s">
        <v>111</v>
      </c>
      <c r="K7" s="74" t="s">
        <v>142</v>
      </c>
      <c r="L7" s="74" t="s">
        <v>113</v>
      </c>
      <c r="M7" s="74" t="s">
        <v>114</v>
      </c>
      <c r="N7" s="75" t="s">
        <v>115</v>
      </c>
    </row>
    <row r="8" spans="2:14" x14ac:dyDescent="0.2">
      <c r="B8" s="55" t="s">
        <v>79</v>
      </c>
      <c r="C8" s="56">
        <v>1000</v>
      </c>
      <c r="D8" s="56" t="s">
        <v>80</v>
      </c>
      <c r="E8" s="56" t="s">
        <v>74</v>
      </c>
      <c r="F8" s="56" t="s">
        <v>58</v>
      </c>
      <c r="G8" s="57">
        <v>1463998</v>
      </c>
      <c r="H8" s="56">
        <v>29</v>
      </c>
      <c r="I8" s="58"/>
      <c r="J8" s="58"/>
      <c r="K8" s="58"/>
      <c r="L8" s="58"/>
      <c r="M8" s="58"/>
      <c r="N8" s="61"/>
    </row>
    <row r="9" spans="2:14" x14ac:dyDescent="0.2">
      <c r="B9" s="51" t="s">
        <v>81</v>
      </c>
      <c r="C9" s="10">
        <v>1001</v>
      </c>
      <c r="D9" s="10" t="s">
        <v>82</v>
      </c>
      <c r="E9" s="10" t="s">
        <v>74</v>
      </c>
      <c r="F9" s="10" t="s">
        <v>58</v>
      </c>
      <c r="G9" s="50">
        <v>2647434</v>
      </c>
      <c r="H9" s="10">
        <v>30</v>
      </c>
      <c r="I9" s="59"/>
      <c r="J9" s="59"/>
      <c r="K9" s="59"/>
      <c r="L9" s="59"/>
      <c r="M9" s="59"/>
      <c r="N9" s="62"/>
    </row>
    <row r="10" spans="2:14" x14ac:dyDescent="0.2">
      <c r="B10" s="51" t="s">
        <v>89</v>
      </c>
      <c r="C10" s="10">
        <v>1002</v>
      </c>
      <c r="D10" s="10" t="s">
        <v>90</v>
      </c>
      <c r="E10" s="10" t="s">
        <v>74</v>
      </c>
      <c r="F10" s="10" t="s">
        <v>58</v>
      </c>
      <c r="G10" s="50">
        <v>2499968</v>
      </c>
      <c r="H10" s="10">
        <v>30</v>
      </c>
      <c r="I10" s="59"/>
      <c r="J10" s="59"/>
      <c r="K10" s="59"/>
      <c r="L10" s="59"/>
      <c r="M10" s="59"/>
      <c r="N10" s="62"/>
    </row>
    <row r="11" spans="2:14" x14ac:dyDescent="0.2">
      <c r="B11" s="51" t="s">
        <v>75</v>
      </c>
      <c r="C11" s="10">
        <v>1003</v>
      </c>
      <c r="D11" s="10" t="s">
        <v>76</v>
      </c>
      <c r="E11" s="10" t="s">
        <v>74</v>
      </c>
      <c r="F11" s="10" t="s">
        <v>58</v>
      </c>
      <c r="G11" s="50">
        <v>1775644</v>
      </c>
      <c r="H11" s="10">
        <v>30</v>
      </c>
      <c r="I11" s="59"/>
      <c r="J11" s="59"/>
      <c r="K11" s="59"/>
      <c r="L11" s="59"/>
      <c r="M11" s="59"/>
      <c r="N11" s="62"/>
    </row>
    <row r="12" spans="2:14" x14ac:dyDescent="0.2">
      <c r="B12" s="51" t="s">
        <v>83</v>
      </c>
      <c r="C12" s="10">
        <v>1004</v>
      </c>
      <c r="D12" s="10" t="s">
        <v>84</v>
      </c>
      <c r="E12" s="10" t="s">
        <v>74</v>
      </c>
      <c r="F12" s="10" t="s">
        <v>58</v>
      </c>
      <c r="G12" s="50">
        <v>2412679</v>
      </c>
      <c r="H12" s="10">
        <v>30</v>
      </c>
      <c r="I12" s="59"/>
      <c r="J12" s="59"/>
      <c r="K12" s="59"/>
      <c r="L12" s="59"/>
      <c r="M12" s="59"/>
      <c r="N12" s="62"/>
    </row>
    <row r="13" spans="2:14" x14ac:dyDescent="0.2">
      <c r="B13" s="51" t="s">
        <v>91</v>
      </c>
      <c r="C13" s="10">
        <v>1005</v>
      </c>
      <c r="D13" s="10" t="s">
        <v>92</v>
      </c>
      <c r="E13" s="10" t="s">
        <v>74</v>
      </c>
      <c r="F13" s="10" t="s">
        <v>58</v>
      </c>
      <c r="G13" s="50">
        <v>10000000</v>
      </c>
      <c r="H13" s="10">
        <v>30</v>
      </c>
      <c r="I13" s="59"/>
      <c r="J13" s="59"/>
      <c r="K13" s="59"/>
      <c r="L13" s="59"/>
      <c r="M13" s="59"/>
      <c r="N13" s="62"/>
    </row>
    <row r="14" spans="2:14" x14ac:dyDescent="0.2">
      <c r="B14" s="51" t="s">
        <v>85</v>
      </c>
      <c r="C14" s="10">
        <v>1006</v>
      </c>
      <c r="D14" s="10" t="s">
        <v>86</v>
      </c>
      <c r="E14" s="10" t="s">
        <v>74</v>
      </c>
      <c r="F14" s="10" t="s">
        <v>58</v>
      </c>
      <c r="G14" s="50">
        <v>5500000</v>
      </c>
      <c r="H14" s="10">
        <v>30</v>
      </c>
      <c r="I14" s="59"/>
      <c r="J14" s="59"/>
      <c r="K14" s="59"/>
      <c r="L14" s="59"/>
      <c r="M14" s="59"/>
      <c r="N14" s="62"/>
    </row>
    <row r="15" spans="2:14" x14ac:dyDescent="0.2">
      <c r="B15" s="51" t="s">
        <v>97</v>
      </c>
      <c r="C15" s="10">
        <v>1007</v>
      </c>
      <c r="D15" s="10" t="s">
        <v>98</v>
      </c>
      <c r="E15" s="10" t="s">
        <v>74</v>
      </c>
      <c r="F15" s="10" t="s">
        <v>58</v>
      </c>
      <c r="G15" s="50">
        <v>1410744</v>
      </c>
      <c r="H15" s="10">
        <v>30</v>
      </c>
      <c r="I15" s="59"/>
      <c r="J15" s="59"/>
      <c r="K15" s="59"/>
      <c r="L15" s="59"/>
      <c r="M15" s="59"/>
      <c r="N15" s="62"/>
    </row>
    <row r="16" spans="2:14" x14ac:dyDescent="0.2">
      <c r="B16" s="51" t="s">
        <v>93</v>
      </c>
      <c r="C16" s="10">
        <v>1008</v>
      </c>
      <c r="D16" s="10" t="s">
        <v>94</v>
      </c>
      <c r="E16" s="10" t="s">
        <v>74</v>
      </c>
      <c r="F16" s="10" t="s">
        <v>58</v>
      </c>
      <c r="G16" s="50">
        <v>1863518</v>
      </c>
      <c r="H16" s="10">
        <v>30</v>
      </c>
      <c r="I16" s="59"/>
      <c r="J16" s="59"/>
      <c r="K16" s="59"/>
      <c r="L16" s="59"/>
      <c r="M16" s="59"/>
      <c r="N16" s="62"/>
    </row>
    <row r="17" spans="2:14" x14ac:dyDescent="0.2">
      <c r="B17" s="51" t="s">
        <v>87</v>
      </c>
      <c r="C17" s="10">
        <v>1009</v>
      </c>
      <c r="D17" s="10" t="s">
        <v>88</v>
      </c>
      <c r="E17" s="10" t="s">
        <v>74</v>
      </c>
      <c r="F17" s="10" t="s">
        <v>58</v>
      </c>
      <c r="G17" s="50">
        <v>7000000</v>
      </c>
      <c r="H17" s="10">
        <v>30</v>
      </c>
      <c r="I17" s="59"/>
      <c r="J17" s="59"/>
      <c r="K17" s="59"/>
      <c r="L17" s="59"/>
      <c r="M17" s="59"/>
      <c r="N17" s="62"/>
    </row>
    <row r="18" spans="2:14" x14ac:dyDescent="0.2">
      <c r="B18" s="51" t="s">
        <v>77</v>
      </c>
      <c r="C18" s="10">
        <v>1010</v>
      </c>
      <c r="D18" s="10" t="s">
        <v>78</v>
      </c>
      <c r="E18" s="10" t="s">
        <v>74</v>
      </c>
      <c r="F18" s="10" t="s">
        <v>58</v>
      </c>
      <c r="G18" s="50">
        <v>2779627</v>
      </c>
      <c r="H18" s="10">
        <v>30</v>
      </c>
      <c r="I18" s="59"/>
      <c r="J18" s="59"/>
      <c r="K18" s="59"/>
      <c r="L18" s="59"/>
      <c r="M18" s="59"/>
      <c r="N18" s="62"/>
    </row>
    <row r="19" spans="2:14" x14ac:dyDescent="0.2">
      <c r="B19" s="51" t="s">
        <v>95</v>
      </c>
      <c r="C19" s="10">
        <v>1011</v>
      </c>
      <c r="D19" s="10" t="s">
        <v>96</v>
      </c>
      <c r="E19" s="10" t="s">
        <v>74</v>
      </c>
      <c r="F19" s="10" t="s">
        <v>58</v>
      </c>
      <c r="G19" s="50">
        <v>2382169</v>
      </c>
      <c r="H19" s="10">
        <v>30</v>
      </c>
      <c r="I19" s="59"/>
      <c r="J19" s="59"/>
      <c r="K19" s="59"/>
      <c r="L19" s="59"/>
      <c r="M19" s="59"/>
      <c r="N19" s="62"/>
    </row>
    <row r="20" spans="2:14" x14ac:dyDescent="0.2">
      <c r="B20" s="51" t="s">
        <v>87</v>
      </c>
      <c r="C20" s="10">
        <v>1012</v>
      </c>
      <c r="D20" s="10" t="s">
        <v>88</v>
      </c>
      <c r="E20" s="10" t="s">
        <v>74</v>
      </c>
      <c r="F20" s="10" t="s">
        <v>100</v>
      </c>
      <c r="G20" s="50">
        <v>7000000</v>
      </c>
      <c r="H20" s="10">
        <v>29</v>
      </c>
      <c r="I20" s="59"/>
      <c r="J20" s="59"/>
      <c r="K20" s="59"/>
      <c r="L20" s="59"/>
      <c r="M20" s="59"/>
      <c r="N20" s="62"/>
    </row>
    <row r="21" spans="2:14" x14ac:dyDescent="0.2">
      <c r="B21" s="51" t="s">
        <v>89</v>
      </c>
      <c r="C21" s="10">
        <v>1013</v>
      </c>
      <c r="D21" s="10" t="s">
        <v>90</v>
      </c>
      <c r="E21" s="10" t="s">
        <v>74</v>
      </c>
      <c r="F21" s="10" t="s">
        <v>100</v>
      </c>
      <c r="G21" s="50">
        <v>2499968</v>
      </c>
      <c r="H21" s="10">
        <v>30</v>
      </c>
      <c r="I21" s="59"/>
      <c r="J21" s="59"/>
      <c r="K21" s="59"/>
      <c r="L21" s="59"/>
      <c r="M21" s="59"/>
      <c r="N21" s="62"/>
    </row>
    <row r="22" spans="2:14" x14ac:dyDescent="0.2">
      <c r="B22" s="51" t="s">
        <v>77</v>
      </c>
      <c r="C22" s="10">
        <v>1014</v>
      </c>
      <c r="D22" s="10" t="s">
        <v>78</v>
      </c>
      <c r="E22" s="10" t="s">
        <v>74</v>
      </c>
      <c r="F22" s="10" t="s">
        <v>100</v>
      </c>
      <c r="G22" s="50">
        <v>2779627</v>
      </c>
      <c r="H22" s="10">
        <v>30</v>
      </c>
      <c r="I22" s="59"/>
      <c r="J22" s="59"/>
      <c r="K22" s="59"/>
      <c r="L22" s="59"/>
      <c r="M22" s="59"/>
      <c r="N22" s="62"/>
    </row>
    <row r="23" spans="2:14" x14ac:dyDescent="0.2">
      <c r="B23" s="51" t="s">
        <v>97</v>
      </c>
      <c r="C23" s="10">
        <v>1015</v>
      </c>
      <c r="D23" s="10" t="s">
        <v>98</v>
      </c>
      <c r="E23" s="10" t="s">
        <v>74</v>
      </c>
      <c r="F23" s="10" t="s">
        <v>100</v>
      </c>
      <c r="G23" s="50">
        <v>1410744</v>
      </c>
      <c r="H23" s="10">
        <v>30</v>
      </c>
      <c r="I23" s="59"/>
      <c r="J23" s="59"/>
      <c r="K23" s="59"/>
      <c r="L23" s="59"/>
      <c r="M23" s="59"/>
      <c r="N23" s="62"/>
    </row>
    <row r="24" spans="2:14" x14ac:dyDescent="0.2">
      <c r="B24" s="51" t="s">
        <v>91</v>
      </c>
      <c r="C24" s="10">
        <v>1016</v>
      </c>
      <c r="D24" s="10" t="s">
        <v>92</v>
      </c>
      <c r="E24" s="10" t="s">
        <v>74</v>
      </c>
      <c r="F24" s="10" t="s">
        <v>100</v>
      </c>
      <c r="G24" s="50">
        <v>10000000</v>
      </c>
      <c r="H24" s="10">
        <v>30</v>
      </c>
      <c r="I24" s="59"/>
      <c r="J24" s="59"/>
      <c r="K24" s="59"/>
      <c r="L24" s="59"/>
      <c r="M24" s="59"/>
      <c r="N24" s="62"/>
    </row>
    <row r="25" spans="2:14" x14ac:dyDescent="0.2">
      <c r="B25" s="51" t="s">
        <v>93</v>
      </c>
      <c r="C25" s="10">
        <v>1017</v>
      </c>
      <c r="D25" s="10" t="s">
        <v>94</v>
      </c>
      <c r="E25" s="10" t="s">
        <v>74</v>
      </c>
      <c r="F25" s="10" t="s">
        <v>100</v>
      </c>
      <c r="G25" s="50">
        <v>1863518</v>
      </c>
      <c r="H25" s="10">
        <v>30</v>
      </c>
      <c r="I25" s="59"/>
      <c r="J25" s="59"/>
      <c r="K25" s="59"/>
      <c r="L25" s="59"/>
      <c r="M25" s="59"/>
      <c r="N25" s="62"/>
    </row>
    <row r="26" spans="2:14" x14ac:dyDescent="0.2">
      <c r="B26" s="51" t="s">
        <v>83</v>
      </c>
      <c r="C26" s="10">
        <v>1018</v>
      </c>
      <c r="D26" s="10" t="s">
        <v>84</v>
      </c>
      <c r="E26" s="10" t="s">
        <v>74</v>
      </c>
      <c r="F26" s="10" t="s">
        <v>100</v>
      </c>
      <c r="G26" s="50">
        <v>2412679</v>
      </c>
      <c r="H26" s="10">
        <v>30</v>
      </c>
      <c r="I26" s="59"/>
      <c r="J26" s="59"/>
      <c r="K26" s="59"/>
      <c r="L26" s="59"/>
      <c r="M26" s="59"/>
      <c r="N26" s="62"/>
    </row>
    <row r="27" spans="2:14" x14ac:dyDescent="0.2">
      <c r="B27" s="51" t="s">
        <v>75</v>
      </c>
      <c r="C27" s="10">
        <v>1019</v>
      </c>
      <c r="D27" s="10" t="s">
        <v>76</v>
      </c>
      <c r="E27" s="10" t="s">
        <v>74</v>
      </c>
      <c r="F27" s="10" t="s">
        <v>100</v>
      </c>
      <c r="G27" s="50">
        <v>1775644</v>
      </c>
      <c r="H27" s="10">
        <v>30</v>
      </c>
      <c r="I27" s="59"/>
      <c r="J27" s="59"/>
      <c r="K27" s="59"/>
      <c r="L27" s="59"/>
      <c r="M27" s="59"/>
      <c r="N27" s="62"/>
    </row>
    <row r="28" spans="2:14" x14ac:dyDescent="0.2">
      <c r="B28" s="51" t="s">
        <v>79</v>
      </c>
      <c r="C28" s="10">
        <v>1020</v>
      </c>
      <c r="D28" s="10" t="s">
        <v>80</v>
      </c>
      <c r="E28" s="10" t="s">
        <v>74</v>
      </c>
      <c r="F28" s="10" t="s">
        <v>100</v>
      </c>
      <c r="G28" s="50">
        <v>1463998</v>
      </c>
      <c r="H28" s="10">
        <v>30</v>
      </c>
      <c r="I28" s="59"/>
      <c r="J28" s="59"/>
      <c r="K28" s="59"/>
      <c r="L28" s="59"/>
      <c r="M28" s="59"/>
      <c r="N28" s="62"/>
    </row>
    <row r="29" spans="2:14" x14ac:dyDescent="0.2">
      <c r="B29" s="51" t="s">
        <v>85</v>
      </c>
      <c r="C29" s="10">
        <v>1021</v>
      </c>
      <c r="D29" s="10" t="s">
        <v>86</v>
      </c>
      <c r="E29" s="10" t="s">
        <v>74</v>
      </c>
      <c r="F29" s="10" t="s">
        <v>100</v>
      </c>
      <c r="G29" s="50">
        <v>5500000</v>
      </c>
      <c r="H29" s="10">
        <v>30</v>
      </c>
      <c r="I29" s="59"/>
      <c r="J29" s="59"/>
      <c r="K29" s="59"/>
      <c r="L29" s="59"/>
      <c r="M29" s="59"/>
      <c r="N29" s="62"/>
    </row>
    <row r="30" spans="2:14" x14ac:dyDescent="0.2">
      <c r="B30" s="51" t="s">
        <v>95</v>
      </c>
      <c r="C30" s="10">
        <v>1022</v>
      </c>
      <c r="D30" s="10" t="s">
        <v>96</v>
      </c>
      <c r="E30" s="10" t="s">
        <v>74</v>
      </c>
      <c r="F30" s="10" t="s">
        <v>100</v>
      </c>
      <c r="G30" s="50">
        <v>2382169</v>
      </c>
      <c r="H30" s="10">
        <v>30</v>
      </c>
      <c r="I30" s="59"/>
      <c r="J30" s="59"/>
      <c r="K30" s="59"/>
      <c r="L30" s="59"/>
      <c r="M30" s="59"/>
      <c r="N30" s="62"/>
    </row>
    <row r="31" spans="2:14" x14ac:dyDescent="0.2">
      <c r="B31" s="51" t="s">
        <v>81</v>
      </c>
      <c r="C31" s="10">
        <v>1023</v>
      </c>
      <c r="D31" s="10" t="s">
        <v>82</v>
      </c>
      <c r="E31" s="10" t="s">
        <v>74</v>
      </c>
      <c r="F31" s="10" t="s">
        <v>100</v>
      </c>
      <c r="G31" s="50">
        <v>2647434</v>
      </c>
      <c r="H31" s="10">
        <v>30</v>
      </c>
      <c r="I31" s="59"/>
      <c r="J31" s="59"/>
      <c r="K31" s="59"/>
      <c r="L31" s="59"/>
      <c r="M31" s="59"/>
      <c r="N31" s="62"/>
    </row>
    <row r="32" spans="2:14" x14ac:dyDescent="0.2">
      <c r="B32" s="51" t="s">
        <v>89</v>
      </c>
      <c r="C32" s="10">
        <v>1024</v>
      </c>
      <c r="D32" s="10" t="s">
        <v>90</v>
      </c>
      <c r="E32" s="10" t="s">
        <v>74</v>
      </c>
      <c r="F32" s="10" t="s">
        <v>101</v>
      </c>
      <c r="G32" s="50">
        <v>2499968</v>
      </c>
      <c r="H32" s="10">
        <v>30</v>
      </c>
      <c r="I32" s="59"/>
      <c r="J32" s="59"/>
      <c r="K32" s="59"/>
      <c r="L32" s="59"/>
      <c r="M32" s="59"/>
      <c r="N32" s="62"/>
    </row>
    <row r="33" spans="2:14" x14ac:dyDescent="0.2">
      <c r="B33" s="51" t="s">
        <v>97</v>
      </c>
      <c r="C33" s="10">
        <v>1025</v>
      </c>
      <c r="D33" s="10" t="s">
        <v>98</v>
      </c>
      <c r="E33" s="10" t="s">
        <v>74</v>
      </c>
      <c r="F33" s="10" t="s">
        <v>101</v>
      </c>
      <c r="G33" s="50">
        <v>1410744</v>
      </c>
      <c r="H33" s="10">
        <v>30</v>
      </c>
      <c r="I33" s="59"/>
      <c r="J33" s="59"/>
      <c r="K33" s="59"/>
      <c r="L33" s="59"/>
      <c r="M33" s="59"/>
      <c r="N33" s="62"/>
    </row>
    <row r="34" spans="2:14" x14ac:dyDescent="0.2">
      <c r="B34" s="51" t="s">
        <v>95</v>
      </c>
      <c r="C34" s="10">
        <v>1026</v>
      </c>
      <c r="D34" s="10" t="s">
        <v>96</v>
      </c>
      <c r="E34" s="10" t="s">
        <v>74</v>
      </c>
      <c r="F34" s="10" t="s">
        <v>101</v>
      </c>
      <c r="G34" s="50">
        <v>2382169</v>
      </c>
      <c r="H34" s="10">
        <v>30</v>
      </c>
      <c r="I34" s="59"/>
      <c r="J34" s="59"/>
      <c r="K34" s="59"/>
      <c r="L34" s="59"/>
      <c r="M34" s="59"/>
      <c r="N34" s="62"/>
    </row>
    <row r="35" spans="2:14" x14ac:dyDescent="0.2">
      <c r="B35" s="51" t="s">
        <v>83</v>
      </c>
      <c r="C35" s="10">
        <v>1027</v>
      </c>
      <c r="D35" s="10" t="s">
        <v>84</v>
      </c>
      <c r="E35" s="10" t="s">
        <v>74</v>
      </c>
      <c r="F35" s="10" t="s">
        <v>101</v>
      </c>
      <c r="G35" s="50">
        <v>2412679</v>
      </c>
      <c r="H35" s="10">
        <v>30</v>
      </c>
      <c r="I35" s="59"/>
      <c r="J35" s="59"/>
      <c r="K35" s="59"/>
      <c r="L35" s="59"/>
      <c r="M35" s="59"/>
      <c r="N35" s="62"/>
    </row>
    <row r="36" spans="2:14" x14ac:dyDescent="0.2">
      <c r="B36" s="51" t="s">
        <v>81</v>
      </c>
      <c r="C36" s="10">
        <v>1028</v>
      </c>
      <c r="D36" s="10" t="s">
        <v>82</v>
      </c>
      <c r="E36" s="10" t="s">
        <v>74</v>
      </c>
      <c r="F36" s="10" t="s">
        <v>101</v>
      </c>
      <c r="G36" s="50">
        <v>2647434</v>
      </c>
      <c r="H36" s="10">
        <v>30</v>
      </c>
      <c r="I36" s="59"/>
      <c r="J36" s="59"/>
      <c r="K36" s="59"/>
      <c r="L36" s="59"/>
      <c r="M36" s="59"/>
      <c r="N36" s="62"/>
    </row>
    <row r="37" spans="2:14" x14ac:dyDescent="0.2">
      <c r="B37" s="51" t="s">
        <v>79</v>
      </c>
      <c r="C37" s="10">
        <v>1029</v>
      </c>
      <c r="D37" s="10" t="s">
        <v>80</v>
      </c>
      <c r="E37" s="10" t="s">
        <v>74</v>
      </c>
      <c r="F37" s="10" t="s">
        <v>101</v>
      </c>
      <c r="G37" s="50">
        <v>1463998</v>
      </c>
      <c r="H37" s="10">
        <v>30</v>
      </c>
      <c r="I37" s="59"/>
      <c r="J37" s="59"/>
      <c r="K37" s="59"/>
      <c r="L37" s="59"/>
      <c r="M37" s="59"/>
      <c r="N37" s="62"/>
    </row>
    <row r="38" spans="2:14" x14ac:dyDescent="0.2">
      <c r="B38" s="51" t="s">
        <v>77</v>
      </c>
      <c r="C38" s="10">
        <v>1030</v>
      </c>
      <c r="D38" s="10" t="s">
        <v>78</v>
      </c>
      <c r="E38" s="10" t="s">
        <v>74</v>
      </c>
      <c r="F38" s="10" t="s">
        <v>101</v>
      </c>
      <c r="G38" s="50">
        <v>2779627</v>
      </c>
      <c r="H38" s="10">
        <v>30</v>
      </c>
      <c r="I38" s="59"/>
      <c r="J38" s="59"/>
      <c r="K38" s="59"/>
      <c r="L38" s="59"/>
      <c r="M38" s="59"/>
      <c r="N38" s="62"/>
    </row>
    <row r="39" spans="2:14" x14ac:dyDescent="0.2">
      <c r="B39" s="51" t="s">
        <v>87</v>
      </c>
      <c r="C39" s="10">
        <v>1031</v>
      </c>
      <c r="D39" s="10" t="s">
        <v>88</v>
      </c>
      <c r="E39" s="10" t="s">
        <v>74</v>
      </c>
      <c r="F39" s="10" t="s">
        <v>101</v>
      </c>
      <c r="G39" s="50">
        <v>7000000</v>
      </c>
      <c r="H39" s="10">
        <v>30</v>
      </c>
      <c r="I39" s="59"/>
      <c r="J39" s="59"/>
      <c r="K39" s="59"/>
      <c r="L39" s="59"/>
      <c r="M39" s="59"/>
      <c r="N39" s="62"/>
    </row>
    <row r="40" spans="2:14" x14ac:dyDescent="0.2">
      <c r="B40" s="51" t="s">
        <v>93</v>
      </c>
      <c r="C40" s="10">
        <v>1032</v>
      </c>
      <c r="D40" s="10" t="s">
        <v>94</v>
      </c>
      <c r="E40" s="10" t="s">
        <v>74</v>
      </c>
      <c r="F40" s="10" t="s">
        <v>101</v>
      </c>
      <c r="G40" s="50">
        <v>1863518</v>
      </c>
      <c r="H40" s="10">
        <v>30</v>
      </c>
      <c r="I40" s="59"/>
      <c r="J40" s="59"/>
      <c r="K40" s="59"/>
      <c r="L40" s="59"/>
      <c r="M40" s="59"/>
      <c r="N40" s="62"/>
    </row>
    <row r="41" spans="2:14" x14ac:dyDescent="0.2">
      <c r="B41" s="51" t="s">
        <v>91</v>
      </c>
      <c r="C41" s="10">
        <v>1033</v>
      </c>
      <c r="D41" s="10" t="s">
        <v>92</v>
      </c>
      <c r="E41" s="10" t="s">
        <v>74</v>
      </c>
      <c r="F41" s="10" t="s">
        <v>101</v>
      </c>
      <c r="G41" s="50">
        <v>10000000</v>
      </c>
      <c r="H41" s="10">
        <v>30</v>
      </c>
      <c r="I41" s="59"/>
      <c r="J41" s="59"/>
      <c r="K41" s="59"/>
      <c r="L41" s="59"/>
      <c r="M41" s="59"/>
      <c r="N41" s="62"/>
    </row>
    <row r="42" spans="2:14" x14ac:dyDescent="0.2">
      <c r="B42" s="51" t="s">
        <v>85</v>
      </c>
      <c r="C42" s="10">
        <v>1034</v>
      </c>
      <c r="D42" s="10" t="s">
        <v>86</v>
      </c>
      <c r="E42" s="10" t="s">
        <v>74</v>
      </c>
      <c r="F42" s="10" t="s">
        <v>101</v>
      </c>
      <c r="G42" s="50">
        <v>5500000</v>
      </c>
      <c r="H42" s="10">
        <v>30</v>
      </c>
      <c r="I42" s="59"/>
      <c r="J42" s="59"/>
      <c r="K42" s="59"/>
      <c r="L42" s="59"/>
      <c r="M42" s="59"/>
      <c r="N42" s="62"/>
    </row>
    <row r="43" spans="2:14" x14ac:dyDescent="0.2">
      <c r="B43" s="51" t="s">
        <v>75</v>
      </c>
      <c r="C43" s="10">
        <v>1035</v>
      </c>
      <c r="D43" s="10" t="s">
        <v>76</v>
      </c>
      <c r="E43" s="10" t="s">
        <v>74</v>
      </c>
      <c r="F43" s="10" t="s">
        <v>101</v>
      </c>
      <c r="G43" s="50">
        <v>1775644</v>
      </c>
      <c r="H43" s="10">
        <v>30</v>
      </c>
      <c r="I43" s="59"/>
      <c r="J43" s="59"/>
      <c r="K43" s="59"/>
      <c r="L43" s="59"/>
      <c r="M43" s="59"/>
      <c r="N43" s="62"/>
    </row>
    <row r="44" spans="2:14" x14ac:dyDescent="0.2">
      <c r="B44" s="51" t="s">
        <v>83</v>
      </c>
      <c r="C44" s="10">
        <v>1036</v>
      </c>
      <c r="D44" s="10" t="s">
        <v>84</v>
      </c>
      <c r="E44" s="10" t="s">
        <v>74</v>
      </c>
      <c r="F44" s="10" t="s">
        <v>102</v>
      </c>
      <c r="G44" s="50">
        <v>2412679</v>
      </c>
      <c r="H44" s="10">
        <v>30</v>
      </c>
      <c r="I44" s="59"/>
      <c r="J44" s="59"/>
      <c r="K44" s="59"/>
      <c r="L44" s="59"/>
      <c r="M44" s="59"/>
      <c r="N44" s="62"/>
    </row>
    <row r="45" spans="2:14" x14ac:dyDescent="0.2">
      <c r="B45" s="51" t="s">
        <v>97</v>
      </c>
      <c r="C45" s="10">
        <v>1037</v>
      </c>
      <c r="D45" s="10" t="s">
        <v>98</v>
      </c>
      <c r="E45" s="10" t="s">
        <v>74</v>
      </c>
      <c r="F45" s="10" t="s">
        <v>102</v>
      </c>
      <c r="G45" s="50">
        <v>1410744</v>
      </c>
      <c r="H45" s="10">
        <v>30</v>
      </c>
      <c r="I45" s="59"/>
      <c r="J45" s="59"/>
      <c r="K45" s="59"/>
      <c r="L45" s="59"/>
      <c r="M45" s="59"/>
      <c r="N45" s="62"/>
    </row>
    <row r="46" spans="2:14" x14ac:dyDescent="0.2">
      <c r="B46" s="51" t="s">
        <v>77</v>
      </c>
      <c r="C46" s="10">
        <v>1038</v>
      </c>
      <c r="D46" s="10" t="s">
        <v>78</v>
      </c>
      <c r="E46" s="10" t="s">
        <v>74</v>
      </c>
      <c r="F46" s="10" t="s">
        <v>102</v>
      </c>
      <c r="G46" s="50">
        <v>2779627</v>
      </c>
      <c r="H46" s="10">
        <v>30</v>
      </c>
      <c r="I46" s="59"/>
      <c r="J46" s="59"/>
      <c r="K46" s="59"/>
      <c r="L46" s="59"/>
      <c r="M46" s="59"/>
      <c r="N46" s="62"/>
    </row>
    <row r="47" spans="2:14" x14ac:dyDescent="0.2">
      <c r="B47" s="51" t="s">
        <v>89</v>
      </c>
      <c r="C47" s="10">
        <v>1039</v>
      </c>
      <c r="D47" s="10" t="s">
        <v>90</v>
      </c>
      <c r="E47" s="10" t="s">
        <v>74</v>
      </c>
      <c r="F47" s="10" t="s">
        <v>102</v>
      </c>
      <c r="G47" s="50">
        <v>2499968</v>
      </c>
      <c r="H47" s="10">
        <v>30</v>
      </c>
      <c r="I47" s="59"/>
      <c r="J47" s="59"/>
      <c r="K47" s="59"/>
      <c r="L47" s="59"/>
      <c r="M47" s="59"/>
      <c r="N47" s="62"/>
    </row>
    <row r="48" spans="2:14" x14ac:dyDescent="0.2">
      <c r="B48" s="51" t="s">
        <v>75</v>
      </c>
      <c r="C48" s="10">
        <v>1040</v>
      </c>
      <c r="D48" s="10" t="s">
        <v>76</v>
      </c>
      <c r="E48" s="10" t="s">
        <v>74</v>
      </c>
      <c r="F48" s="10" t="s">
        <v>102</v>
      </c>
      <c r="G48" s="50">
        <v>1775644</v>
      </c>
      <c r="H48" s="10">
        <v>30</v>
      </c>
      <c r="I48" s="59"/>
      <c r="J48" s="59"/>
      <c r="K48" s="59"/>
      <c r="L48" s="59"/>
      <c r="M48" s="59"/>
      <c r="N48" s="62"/>
    </row>
    <row r="49" spans="2:14" x14ac:dyDescent="0.2">
      <c r="B49" s="51" t="s">
        <v>87</v>
      </c>
      <c r="C49" s="10">
        <v>1041</v>
      </c>
      <c r="D49" s="10" t="s">
        <v>88</v>
      </c>
      <c r="E49" s="10" t="s">
        <v>74</v>
      </c>
      <c r="F49" s="10" t="s">
        <v>102</v>
      </c>
      <c r="G49" s="50">
        <v>7000000</v>
      </c>
      <c r="H49" s="10">
        <v>30</v>
      </c>
      <c r="I49" s="59"/>
      <c r="J49" s="59"/>
      <c r="K49" s="59"/>
      <c r="L49" s="59"/>
      <c r="M49" s="59"/>
      <c r="N49" s="62"/>
    </row>
    <row r="50" spans="2:14" x14ac:dyDescent="0.2">
      <c r="B50" s="51" t="s">
        <v>79</v>
      </c>
      <c r="C50" s="10">
        <v>1042</v>
      </c>
      <c r="D50" s="10" t="s">
        <v>80</v>
      </c>
      <c r="E50" s="10" t="s">
        <v>74</v>
      </c>
      <c r="F50" s="10" t="s">
        <v>102</v>
      </c>
      <c r="G50" s="50">
        <v>1463998</v>
      </c>
      <c r="H50" s="10">
        <v>30</v>
      </c>
      <c r="I50" s="59"/>
      <c r="J50" s="59"/>
      <c r="K50" s="59"/>
      <c r="L50" s="59"/>
      <c r="M50" s="59"/>
      <c r="N50" s="62"/>
    </row>
    <row r="51" spans="2:14" x14ac:dyDescent="0.2">
      <c r="B51" s="51" t="s">
        <v>81</v>
      </c>
      <c r="C51" s="10">
        <v>1043</v>
      </c>
      <c r="D51" s="10" t="s">
        <v>82</v>
      </c>
      <c r="E51" s="10" t="s">
        <v>74</v>
      </c>
      <c r="F51" s="10" t="s">
        <v>102</v>
      </c>
      <c r="G51" s="50">
        <v>2647434</v>
      </c>
      <c r="H51" s="10">
        <v>30</v>
      </c>
      <c r="I51" s="59"/>
      <c r="J51" s="59"/>
      <c r="K51" s="59"/>
      <c r="L51" s="59"/>
      <c r="M51" s="59"/>
      <c r="N51" s="62"/>
    </row>
    <row r="52" spans="2:14" x14ac:dyDescent="0.2">
      <c r="B52" s="51" t="s">
        <v>93</v>
      </c>
      <c r="C52" s="10">
        <v>1044</v>
      </c>
      <c r="D52" s="10" t="s">
        <v>94</v>
      </c>
      <c r="E52" s="10" t="s">
        <v>74</v>
      </c>
      <c r="F52" s="10" t="s">
        <v>102</v>
      </c>
      <c r="G52" s="50">
        <v>1863518</v>
      </c>
      <c r="H52" s="10">
        <v>30</v>
      </c>
      <c r="I52" s="59"/>
      <c r="J52" s="59"/>
      <c r="K52" s="59"/>
      <c r="L52" s="59"/>
      <c r="M52" s="59"/>
      <c r="N52" s="62"/>
    </row>
    <row r="53" spans="2:14" x14ac:dyDescent="0.2">
      <c r="B53" s="51" t="s">
        <v>85</v>
      </c>
      <c r="C53" s="10">
        <v>1045</v>
      </c>
      <c r="D53" s="10" t="s">
        <v>86</v>
      </c>
      <c r="E53" s="10" t="s">
        <v>74</v>
      </c>
      <c r="F53" s="10" t="s">
        <v>102</v>
      </c>
      <c r="G53" s="50">
        <v>5500000</v>
      </c>
      <c r="H53" s="10">
        <v>30</v>
      </c>
      <c r="I53" s="59"/>
      <c r="J53" s="59"/>
      <c r="K53" s="59"/>
      <c r="L53" s="59"/>
      <c r="M53" s="59"/>
      <c r="N53" s="62"/>
    </row>
    <row r="54" spans="2:14" x14ac:dyDescent="0.2">
      <c r="B54" s="51" t="s">
        <v>91</v>
      </c>
      <c r="C54" s="10">
        <v>1046</v>
      </c>
      <c r="D54" s="10" t="s">
        <v>92</v>
      </c>
      <c r="E54" s="10" t="s">
        <v>74</v>
      </c>
      <c r="F54" s="10" t="s">
        <v>102</v>
      </c>
      <c r="G54" s="50">
        <v>10000000</v>
      </c>
      <c r="H54" s="10">
        <v>30</v>
      </c>
      <c r="I54" s="59"/>
      <c r="J54" s="59"/>
      <c r="K54" s="59"/>
      <c r="L54" s="59"/>
      <c r="M54" s="59"/>
      <c r="N54" s="62"/>
    </row>
    <row r="55" spans="2:14" x14ac:dyDescent="0.2">
      <c r="B55" s="51" t="s">
        <v>95</v>
      </c>
      <c r="C55" s="10">
        <v>1047</v>
      </c>
      <c r="D55" s="10" t="s">
        <v>96</v>
      </c>
      <c r="E55" s="10" t="s">
        <v>74</v>
      </c>
      <c r="F55" s="10" t="s">
        <v>102</v>
      </c>
      <c r="G55" s="50">
        <v>2382169</v>
      </c>
      <c r="H55" s="10">
        <v>30</v>
      </c>
      <c r="I55" s="59"/>
      <c r="J55" s="59"/>
      <c r="K55" s="59"/>
      <c r="L55" s="59"/>
      <c r="M55" s="59"/>
      <c r="N55" s="62"/>
    </row>
    <row r="56" spans="2:14" x14ac:dyDescent="0.2">
      <c r="B56" s="51" t="s">
        <v>77</v>
      </c>
      <c r="C56" s="10">
        <v>1048</v>
      </c>
      <c r="D56" s="10" t="s">
        <v>78</v>
      </c>
      <c r="E56" s="10" t="s">
        <v>74</v>
      </c>
      <c r="F56" s="10" t="s">
        <v>103</v>
      </c>
      <c r="G56" s="50">
        <v>2779627</v>
      </c>
      <c r="H56" s="10">
        <v>19</v>
      </c>
      <c r="I56" s="59"/>
      <c r="J56" s="59"/>
      <c r="K56" s="59"/>
      <c r="L56" s="59"/>
      <c r="M56" s="59"/>
      <c r="N56" s="62"/>
    </row>
    <row r="57" spans="2:14" x14ac:dyDescent="0.2">
      <c r="B57" s="51" t="s">
        <v>95</v>
      </c>
      <c r="C57" s="10">
        <v>1049</v>
      </c>
      <c r="D57" s="10" t="s">
        <v>96</v>
      </c>
      <c r="E57" s="10" t="s">
        <v>74</v>
      </c>
      <c r="F57" s="10" t="s">
        <v>103</v>
      </c>
      <c r="G57" s="50">
        <v>2382169</v>
      </c>
      <c r="H57" s="10">
        <v>30</v>
      </c>
      <c r="I57" s="59"/>
      <c r="J57" s="59"/>
      <c r="K57" s="59"/>
      <c r="L57" s="59"/>
      <c r="M57" s="59"/>
      <c r="N57" s="62"/>
    </row>
    <row r="58" spans="2:14" x14ac:dyDescent="0.2">
      <c r="B58" s="51" t="s">
        <v>81</v>
      </c>
      <c r="C58" s="10">
        <v>1050</v>
      </c>
      <c r="D58" s="10" t="s">
        <v>82</v>
      </c>
      <c r="E58" s="10" t="s">
        <v>74</v>
      </c>
      <c r="F58" s="10" t="s">
        <v>103</v>
      </c>
      <c r="G58" s="50">
        <v>2647434</v>
      </c>
      <c r="H58" s="10">
        <v>30</v>
      </c>
      <c r="I58" s="59"/>
      <c r="J58" s="59"/>
      <c r="K58" s="59"/>
      <c r="L58" s="59"/>
      <c r="M58" s="59"/>
      <c r="N58" s="62"/>
    </row>
    <row r="59" spans="2:14" x14ac:dyDescent="0.2">
      <c r="B59" s="51" t="s">
        <v>93</v>
      </c>
      <c r="C59" s="10">
        <v>1051</v>
      </c>
      <c r="D59" s="10" t="s">
        <v>94</v>
      </c>
      <c r="E59" s="10" t="s">
        <v>74</v>
      </c>
      <c r="F59" s="10" t="s">
        <v>103</v>
      </c>
      <c r="G59" s="50">
        <v>1863518</v>
      </c>
      <c r="H59" s="10">
        <v>30</v>
      </c>
      <c r="I59" s="59"/>
      <c r="J59" s="59"/>
      <c r="K59" s="59"/>
      <c r="L59" s="59"/>
      <c r="M59" s="59"/>
      <c r="N59" s="62"/>
    </row>
    <row r="60" spans="2:14" x14ac:dyDescent="0.2">
      <c r="B60" s="51" t="s">
        <v>79</v>
      </c>
      <c r="C60" s="10">
        <v>1052</v>
      </c>
      <c r="D60" s="10" t="s">
        <v>80</v>
      </c>
      <c r="E60" s="10" t="s">
        <v>74</v>
      </c>
      <c r="F60" s="10" t="s">
        <v>103</v>
      </c>
      <c r="G60" s="50">
        <v>1463998</v>
      </c>
      <c r="H60" s="10">
        <v>30</v>
      </c>
      <c r="I60" s="59"/>
      <c r="J60" s="59"/>
      <c r="K60" s="59"/>
      <c r="L60" s="59"/>
      <c r="M60" s="59"/>
      <c r="N60" s="62"/>
    </row>
    <row r="61" spans="2:14" x14ac:dyDescent="0.2">
      <c r="B61" s="51" t="s">
        <v>87</v>
      </c>
      <c r="C61" s="10">
        <v>1053</v>
      </c>
      <c r="D61" s="10" t="s">
        <v>88</v>
      </c>
      <c r="E61" s="10" t="s">
        <v>74</v>
      </c>
      <c r="F61" s="10" t="s">
        <v>103</v>
      </c>
      <c r="G61" s="50">
        <v>7000000</v>
      </c>
      <c r="H61" s="10">
        <v>30</v>
      </c>
      <c r="I61" s="59"/>
      <c r="J61" s="59"/>
      <c r="K61" s="59"/>
      <c r="L61" s="59"/>
      <c r="M61" s="59"/>
      <c r="N61" s="62"/>
    </row>
    <row r="62" spans="2:14" x14ac:dyDescent="0.2">
      <c r="B62" s="51" t="s">
        <v>97</v>
      </c>
      <c r="C62" s="10">
        <v>1054</v>
      </c>
      <c r="D62" s="10" t="s">
        <v>98</v>
      </c>
      <c r="E62" s="10" t="s">
        <v>74</v>
      </c>
      <c r="F62" s="10" t="s">
        <v>103</v>
      </c>
      <c r="G62" s="50">
        <v>1410744</v>
      </c>
      <c r="H62" s="10">
        <v>30</v>
      </c>
      <c r="I62" s="59"/>
      <c r="J62" s="59"/>
      <c r="K62" s="59"/>
      <c r="L62" s="59"/>
      <c r="M62" s="59"/>
      <c r="N62" s="62"/>
    </row>
    <row r="63" spans="2:14" x14ac:dyDescent="0.2">
      <c r="B63" s="51" t="s">
        <v>83</v>
      </c>
      <c r="C63" s="10">
        <v>1055</v>
      </c>
      <c r="D63" s="10" t="s">
        <v>84</v>
      </c>
      <c r="E63" s="10" t="s">
        <v>74</v>
      </c>
      <c r="F63" s="10" t="s">
        <v>103</v>
      </c>
      <c r="G63" s="50">
        <v>2412679</v>
      </c>
      <c r="H63" s="10">
        <v>30</v>
      </c>
      <c r="I63" s="59"/>
      <c r="J63" s="59"/>
      <c r="K63" s="59"/>
      <c r="L63" s="59"/>
      <c r="M63" s="59"/>
      <c r="N63" s="62"/>
    </row>
    <row r="64" spans="2:14" x14ac:dyDescent="0.2">
      <c r="B64" s="51" t="s">
        <v>91</v>
      </c>
      <c r="C64" s="10">
        <v>1056</v>
      </c>
      <c r="D64" s="10" t="s">
        <v>92</v>
      </c>
      <c r="E64" s="10" t="s">
        <v>74</v>
      </c>
      <c r="F64" s="10" t="s">
        <v>103</v>
      </c>
      <c r="G64" s="50">
        <v>10000000</v>
      </c>
      <c r="H64" s="10">
        <v>30</v>
      </c>
      <c r="I64" s="59"/>
      <c r="J64" s="59"/>
      <c r="K64" s="59"/>
      <c r="L64" s="59"/>
      <c r="M64" s="59"/>
      <c r="N64" s="62"/>
    </row>
    <row r="65" spans="2:14" x14ac:dyDescent="0.2">
      <c r="B65" s="51" t="s">
        <v>75</v>
      </c>
      <c r="C65" s="10">
        <v>1057</v>
      </c>
      <c r="D65" s="10" t="s">
        <v>76</v>
      </c>
      <c r="E65" s="10" t="s">
        <v>74</v>
      </c>
      <c r="F65" s="10" t="s">
        <v>103</v>
      </c>
      <c r="G65" s="50">
        <v>1775644</v>
      </c>
      <c r="H65" s="10">
        <v>30</v>
      </c>
      <c r="I65" s="59"/>
      <c r="J65" s="59"/>
      <c r="K65" s="59"/>
      <c r="L65" s="59"/>
      <c r="M65" s="59"/>
      <c r="N65" s="62"/>
    </row>
    <row r="66" spans="2:14" x14ac:dyDescent="0.2">
      <c r="B66" s="51" t="s">
        <v>85</v>
      </c>
      <c r="C66" s="10">
        <v>1058</v>
      </c>
      <c r="D66" s="10" t="s">
        <v>86</v>
      </c>
      <c r="E66" s="10" t="s">
        <v>74</v>
      </c>
      <c r="F66" s="10" t="s">
        <v>103</v>
      </c>
      <c r="G66" s="50">
        <v>5500000</v>
      </c>
      <c r="H66" s="10">
        <v>30</v>
      </c>
      <c r="I66" s="59"/>
      <c r="J66" s="59"/>
      <c r="K66" s="59"/>
      <c r="L66" s="59"/>
      <c r="M66" s="59"/>
      <c r="N66" s="62"/>
    </row>
    <row r="67" spans="2:14" x14ac:dyDescent="0.2">
      <c r="B67" s="51" t="s">
        <v>89</v>
      </c>
      <c r="C67" s="10">
        <v>1059</v>
      </c>
      <c r="D67" s="10" t="s">
        <v>90</v>
      </c>
      <c r="E67" s="10" t="s">
        <v>74</v>
      </c>
      <c r="F67" s="10" t="s">
        <v>103</v>
      </c>
      <c r="G67" s="50">
        <v>2499968</v>
      </c>
      <c r="H67" s="10">
        <v>30</v>
      </c>
      <c r="I67" s="59"/>
      <c r="J67" s="59"/>
      <c r="K67" s="59"/>
      <c r="L67" s="59"/>
      <c r="M67" s="59"/>
      <c r="N67" s="62"/>
    </row>
    <row r="68" spans="2:14" x14ac:dyDescent="0.2">
      <c r="B68" s="51" t="s">
        <v>83</v>
      </c>
      <c r="C68" s="10">
        <v>1060</v>
      </c>
      <c r="D68" s="10" t="s">
        <v>84</v>
      </c>
      <c r="E68" s="10" t="s">
        <v>74</v>
      </c>
      <c r="F68" s="10" t="s">
        <v>104</v>
      </c>
      <c r="G68" s="50">
        <v>2412679</v>
      </c>
      <c r="H68" s="10">
        <v>30</v>
      </c>
      <c r="I68" s="59"/>
      <c r="J68" s="59"/>
      <c r="K68" s="59"/>
      <c r="L68" s="59"/>
      <c r="M68" s="59"/>
      <c r="N68" s="62"/>
    </row>
    <row r="69" spans="2:14" x14ac:dyDescent="0.2">
      <c r="B69" s="51" t="s">
        <v>81</v>
      </c>
      <c r="C69" s="10">
        <v>1061</v>
      </c>
      <c r="D69" s="10" t="s">
        <v>82</v>
      </c>
      <c r="E69" s="10" t="s">
        <v>74</v>
      </c>
      <c r="F69" s="10" t="s">
        <v>104</v>
      </c>
      <c r="G69" s="50">
        <v>2647434</v>
      </c>
      <c r="H69" s="10">
        <v>30</v>
      </c>
      <c r="I69" s="59"/>
      <c r="J69" s="59"/>
      <c r="K69" s="59"/>
      <c r="L69" s="59"/>
      <c r="M69" s="59"/>
      <c r="N69" s="62"/>
    </row>
    <row r="70" spans="2:14" x14ac:dyDescent="0.2">
      <c r="B70" s="51" t="s">
        <v>95</v>
      </c>
      <c r="C70" s="10">
        <v>1062</v>
      </c>
      <c r="D70" s="10" t="s">
        <v>96</v>
      </c>
      <c r="E70" s="10" t="s">
        <v>74</v>
      </c>
      <c r="F70" s="10" t="s">
        <v>104</v>
      </c>
      <c r="G70" s="50">
        <v>2382169</v>
      </c>
      <c r="H70" s="10">
        <v>30</v>
      </c>
      <c r="I70" s="59"/>
      <c r="J70" s="59"/>
      <c r="K70" s="59"/>
      <c r="L70" s="59"/>
      <c r="M70" s="59"/>
      <c r="N70" s="62"/>
    </row>
    <row r="71" spans="2:14" x14ac:dyDescent="0.2">
      <c r="B71" s="51" t="s">
        <v>87</v>
      </c>
      <c r="C71" s="10">
        <v>1063</v>
      </c>
      <c r="D71" s="10" t="s">
        <v>88</v>
      </c>
      <c r="E71" s="10" t="s">
        <v>74</v>
      </c>
      <c r="F71" s="10" t="s">
        <v>104</v>
      </c>
      <c r="G71" s="50">
        <v>7000000</v>
      </c>
      <c r="H71" s="10">
        <v>30</v>
      </c>
      <c r="I71" s="59"/>
      <c r="J71" s="59"/>
      <c r="K71" s="59"/>
      <c r="L71" s="59"/>
      <c r="M71" s="59"/>
      <c r="N71" s="62"/>
    </row>
    <row r="72" spans="2:14" x14ac:dyDescent="0.2">
      <c r="B72" s="51" t="s">
        <v>93</v>
      </c>
      <c r="C72" s="10">
        <v>1064</v>
      </c>
      <c r="D72" s="10" t="s">
        <v>94</v>
      </c>
      <c r="E72" s="10" t="s">
        <v>74</v>
      </c>
      <c r="F72" s="10" t="s">
        <v>104</v>
      </c>
      <c r="G72" s="50">
        <v>1863518</v>
      </c>
      <c r="H72" s="10">
        <v>30</v>
      </c>
      <c r="I72" s="59"/>
      <c r="J72" s="59"/>
      <c r="K72" s="59"/>
      <c r="L72" s="59"/>
      <c r="M72" s="59"/>
      <c r="N72" s="62"/>
    </row>
    <row r="73" spans="2:14" x14ac:dyDescent="0.2">
      <c r="B73" s="51" t="s">
        <v>85</v>
      </c>
      <c r="C73" s="10">
        <v>1065</v>
      </c>
      <c r="D73" s="10" t="s">
        <v>86</v>
      </c>
      <c r="E73" s="10" t="s">
        <v>74</v>
      </c>
      <c r="F73" s="10" t="s">
        <v>104</v>
      </c>
      <c r="G73" s="50">
        <v>5500000</v>
      </c>
      <c r="H73" s="10">
        <v>30</v>
      </c>
      <c r="I73" s="59"/>
      <c r="J73" s="59"/>
      <c r="K73" s="59"/>
      <c r="L73" s="59"/>
      <c r="M73" s="59"/>
      <c r="N73" s="62"/>
    </row>
    <row r="74" spans="2:14" x14ac:dyDescent="0.2">
      <c r="B74" s="51" t="s">
        <v>77</v>
      </c>
      <c r="C74" s="10">
        <v>1066</v>
      </c>
      <c r="D74" s="10" t="s">
        <v>78</v>
      </c>
      <c r="E74" s="10" t="s">
        <v>74</v>
      </c>
      <c r="F74" s="10" t="s">
        <v>104</v>
      </c>
      <c r="G74" s="50">
        <v>2779627</v>
      </c>
      <c r="H74" s="10">
        <v>30</v>
      </c>
      <c r="I74" s="59"/>
      <c r="J74" s="59"/>
      <c r="K74" s="59"/>
      <c r="L74" s="59"/>
      <c r="M74" s="59"/>
      <c r="N74" s="62"/>
    </row>
    <row r="75" spans="2:14" x14ac:dyDescent="0.2">
      <c r="B75" s="51" t="s">
        <v>89</v>
      </c>
      <c r="C75" s="10">
        <v>1067</v>
      </c>
      <c r="D75" s="10" t="s">
        <v>90</v>
      </c>
      <c r="E75" s="10" t="s">
        <v>74</v>
      </c>
      <c r="F75" s="10" t="s">
        <v>104</v>
      </c>
      <c r="G75" s="50">
        <v>2499968</v>
      </c>
      <c r="H75" s="10">
        <v>30</v>
      </c>
      <c r="I75" s="59"/>
      <c r="J75" s="59"/>
      <c r="K75" s="59"/>
      <c r="L75" s="59"/>
      <c r="M75" s="59"/>
      <c r="N75" s="62"/>
    </row>
    <row r="76" spans="2:14" x14ac:dyDescent="0.2">
      <c r="B76" s="51" t="s">
        <v>91</v>
      </c>
      <c r="C76" s="10">
        <v>1068</v>
      </c>
      <c r="D76" s="10" t="s">
        <v>92</v>
      </c>
      <c r="E76" s="10" t="s">
        <v>74</v>
      </c>
      <c r="F76" s="10" t="s">
        <v>104</v>
      </c>
      <c r="G76" s="50">
        <v>10000000</v>
      </c>
      <c r="H76" s="10">
        <v>30</v>
      </c>
      <c r="I76" s="59"/>
      <c r="J76" s="59"/>
      <c r="K76" s="59"/>
      <c r="L76" s="59"/>
      <c r="M76" s="59"/>
      <c r="N76" s="62"/>
    </row>
    <row r="77" spans="2:14" x14ac:dyDescent="0.2">
      <c r="B77" s="51" t="s">
        <v>97</v>
      </c>
      <c r="C77" s="10">
        <v>1069</v>
      </c>
      <c r="D77" s="10" t="s">
        <v>98</v>
      </c>
      <c r="E77" s="10" t="s">
        <v>74</v>
      </c>
      <c r="F77" s="10" t="s">
        <v>104</v>
      </c>
      <c r="G77" s="50">
        <v>1410744</v>
      </c>
      <c r="H77" s="10">
        <v>30</v>
      </c>
      <c r="I77" s="59"/>
      <c r="J77" s="59"/>
      <c r="K77" s="59"/>
      <c r="L77" s="59"/>
      <c r="M77" s="59"/>
      <c r="N77" s="62"/>
    </row>
    <row r="78" spans="2:14" x14ac:dyDescent="0.2">
      <c r="B78" s="51" t="s">
        <v>79</v>
      </c>
      <c r="C78" s="10">
        <v>1070</v>
      </c>
      <c r="D78" s="10" t="s">
        <v>80</v>
      </c>
      <c r="E78" s="10" t="s">
        <v>74</v>
      </c>
      <c r="F78" s="10" t="s">
        <v>104</v>
      </c>
      <c r="G78" s="50">
        <v>1463998</v>
      </c>
      <c r="H78" s="10">
        <v>30</v>
      </c>
      <c r="I78" s="59"/>
      <c r="J78" s="59"/>
      <c r="K78" s="59"/>
      <c r="L78" s="59"/>
      <c r="M78" s="59"/>
      <c r="N78" s="62"/>
    </row>
    <row r="79" spans="2:14" x14ac:dyDescent="0.2">
      <c r="B79" s="51" t="s">
        <v>75</v>
      </c>
      <c r="C79" s="10">
        <v>1071</v>
      </c>
      <c r="D79" s="10" t="s">
        <v>76</v>
      </c>
      <c r="E79" s="10" t="s">
        <v>74</v>
      </c>
      <c r="F79" s="10" t="s">
        <v>104</v>
      </c>
      <c r="G79" s="50">
        <v>1775644</v>
      </c>
      <c r="H79" s="10">
        <v>30</v>
      </c>
      <c r="I79" s="59"/>
      <c r="J79" s="59"/>
      <c r="K79" s="59"/>
      <c r="L79" s="59"/>
      <c r="M79" s="59"/>
      <c r="N79" s="62"/>
    </row>
    <row r="80" spans="2:14" x14ac:dyDescent="0.2">
      <c r="B80" s="51" t="s">
        <v>81</v>
      </c>
      <c r="C80" s="10">
        <v>1072</v>
      </c>
      <c r="D80" s="10" t="s">
        <v>82</v>
      </c>
      <c r="E80" s="10" t="s">
        <v>74</v>
      </c>
      <c r="F80" s="10" t="s">
        <v>105</v>
      </c>
      <c r="G80" s="50">
        <v>2647434</v>
      </c>
      <c r="H80" s="10">
        <v>30</v>
      </c>
      <c r="I80" s="59"/>
      <c r="J80" s="59"/>
      <c r="K80" s="59"/>
      <c r="L80" s="59"/>
      <c r="M80" s="59"/>
      <c r="N80" s="62"/>
    </row>
    <row r="81" spans="2:14" x14ac:dyDescent="0.2">
      <c r="B81" s="51" t="s">
        <v>87</v>
      </c>
      <c r="C81" s="10">
        <v>1073</v>
      </c>
      <c r="D81" s="10" t="s">
        <v>88</v>
      </c>
      <c r="E81" s="10" t="s">
        <v>74</v>
      </c>
      <c r="F81" s="10" t="s">
        <v>105</v>
      </c>
      <c r="G81" s="50">
        <v>7000000</v>
      </c>
      <c r="H81" s="10">
        <v>30</v>
      </c>
      <c r="I81" s="59"/>
      <c r="J81" s="59"/>
      <c r="K81" s="59"/>
      <c r="L81" s="59"/>
      <c r="M81" s="59"/>
      <c r="N81" s="62"/>
    </row>
    <row r="82" spans="2:14" x14ac:dyDescent="0.2">
      <c r="B82" s="51" t="s">
        <v>93</v>
      </c>
      <c r="C82" s="10">
        <v>1074</v>
      </c>
      <c r="D82" s="10" t="s">
        <v>94</v>
      </c>
      <c r="E82" s="10" t="s">
        <v>74</v>
      </c>
      <c r="F82" s="10" t="s">
        <v>105</v>
      </c>
      <c r="G82" s="50">
        <v>1863518</v>
      </c>
      <c r="H82" s="10">
        <v>30</v>
      </c>
      <c r="I82" s="59"/>
      <c r="J82" s="59"/>
      <c r="K82" s="59"/>
      <c r="L82" s="59"/>
      <c r="M82" s="59"/>
      <c r="N82" s="62"/>
    </row>
    <row r="83" spans="2:14" x14ac:dyDescent="0.2">
      <c r="B83" s="51" t="s">
        <v>77</v>
      </c>
      <c r="C83" s="10">
        <v>1075</v>
      </c>
      <c r="D83" s="10" t="s">
        <v>78</v>
      </c>
      <c r="E83" s="10" t="s">
        <v>74</v>
      </c>
      <c r="F83" s="10" t="s">
        <v>105</v>
      </c>
      <c r="G83" s="50">
        <v>2779627</v>
      </c>
      <c r="H83" s="10">
        <v>30</v>
      </c>
      <c r="I83" s="59"/>
      <c r="J83" s="59"/>
      <c r="K83" s="59"/>
      <c r="L83" s="59"/>
      <c r="M83" s="59"/>
      <c r="N83" s="62"/>
    </row>
    <row r="84" spans="2:14" x14ac:dyDescent="0.2">
      <c r="B84" s="51" t="s">
        <v>83</v>
      </c>
      <c r="C84" s="10">
        <v>1076</v>
      </c>
      <c r="D84" s="10" t="s">
        <v>84</v>
      </c>
      <c r="E84" s="10" t="s">
        <v>74</v>
      </c>
      <c r="F84" s="10" t="s">
        <v>105</v>
      </c>
      <c r="G84" s="50">
        <v>2412679</v>
      </c>
      <c r="H84" s="10">
        <v>30</v>
      </c>
      <c r="I84" s="59"/>
      <c r="J84" s="59"/>
      <c r="K84" s="59"/>
      <c r="L84" s="59"/>
      <c r="M84" s="59"/>
      <c r="N84" s="62"/>
    </row>
    <row r="85" spans="2:14" x14ac:dyDescent="0.2">
      <c r="B85" s="51" t="s">
        <v>91</v>
      </c>
      <c r="C85" s="10">
        <v>1077</v>
      </c>
      <c r="D85" s="10" t="s">
        <v>92</v>
      </c>
      <c r="E85" s="10" t="s">
        <v>74</v>
      </c>
      <c r="F85" s="10" t="s">
        <v>105</v>
      </c>
      <c r="G85" s="50">
        <v>10000000</v>
      </c>
      <c r="H85" s="10">
        <v>30</v>
      </c>
      <c r="I85" s="59"/>
      <c r="J85" s="59"/>
      <c r="K85" s="59"/>
      <c r="L85" s="59"/>
      <c r="M85" s="59"/>
      <c r="N85" s="62"/>
    </row>
    <row r="86" spans="2:14" x14ac:dyDescent="0.2">
      <c r="B86" s="51" t="s">
        <v>97</v>
      </c>
      <c r="C86" s="10">
        <v>1078</v>
      </c>
      <c r="D86" s="10" t="s">
        <v>98</v>
      </c>
      <c r="E86" s="10" t="s">
        <v>74</v>
      </c>
      <c r="F86" s="10" t="s">
        <v>105</v>
      </c>
      <c r="G86" s="50">
        <v>1410744</v>
      </c>
      <c r="H86" s="10">
        <v>30</v>
      </c>
      <c r="I86" s="59"/>
      <c r="J86" s="59"/>
      <c r="K86" s="59"/>
      <c r="L86" s="59"/>
      <c r="M86" s="59"/>
      <c r="N86" s="62"/>
    </row>
    <row r="87" spans="2:14" x14ac:dyDescent="0.2">
      <c r="B87" s="51" t="s">
        <v>95</v>
      </c>
      <c r="C87" s="10">
        <v>1079</v>
      </c>
      <c r="D87" s="10" t="s">
        <v>96</v>
      </c>
      <c r="E87" s="10" t="s">
        <v>74</v>
      </c>
      <c r="F87" s="10" t="s">
        <v>105</v>
      </c>
      <c r="G87" s="50">
        <v>2382169</v>
      </c>
      <c r="H87" s="10">
        <v>30</v>
      </c>
      <c r="I87" s="59"/>
      <c r="J87" s="59"/>
      <c r="K87" s="59"/>
      <c r="L87" s="59"/>
      <c r="M87" s="59"/>
      <c r="N87" s="62"/>
    </row>
    <row r="88" spans="2:14" x14ac:dyDescent="0.2">
      <c r="B88" s="51" t="s">
        <v>89</v>
      </c>
      <c r="C88" s="10">
        <v>1080</v>
      </c>
      <c r="D88" s="10" t="s">
        <v>90</v>
      </c>
      <c r="E88" s="10" t="s">
        <v>74</v>
      </c>
      <c r="F88" s="10" t="s">
        <v>105</v>
      </c>
      <c r="G88" s="50">
        <v>2499968</v>
      </c>
      <c r="H88" s="10">
        <v>30</v>
      </c>
      <c r="I88" s="59"/>
      <c r="J88" s="59"/>
      <c r="K88" s="59"/>
      <c r="L88" s="59"/>
      <c r="M88" s="59"/>
      <c r="N88" s="62"/>
    </row>
    <row r="89" spans="2:14" x14ac:dyDescent="0.2">
      <c r="B89" s="51" t="s">
        <v>85</v>
      </c>
      <c r="C89" s="10">
        <v>1081</v>
      </c>
      <c r="D89" s="10" t="s">
        <v>86</v>
      </c>
      <c r="E89" s="10" t="s">
        <v>74</v>
      </c>
      <c r="F89" s="10" t="s">
        <v>105</v>
      </c>
      <c r="G89" s="50">
        <v>5500000</v>
      </c>
      <c r="H89" s="10">
        <v>30</v>
      </c>
      <c r="I89" s="59"/>
      <c r="J89" s="59"/>
      <c r="K89" s="59"/>
      <c r="L89" s="59"/>
      <c r="M89" s="59"/>
      <c r="N89" s="62"/>
    </row>
    <row r="90" spans="2:14" x14ac:dyDescent="0.2">
      <c r="B90" s="51" t="s">
        <v>75</v>
      </c>
      <c r="C90" s="10">
        <v>1082</v>
      </c>
      <c r="D90" s="10" t="s">
        <v>76</v>
      </c>
      <c r="E90" s="10" t="s">
        <v>74</v>
      </c>
      <c r="F90" s="10" t="s">
        <v>105</v>
      </c>
      <c r="G90" s="50">
        <v>1775644</v>
      </c>
      <c r="H90" s="10">
        <v>30</v>
      </c>
      <c r="I90" s="59"/>
      <c r="J90" s="59"/>
      <c r="K90" s="59"/>
      <c r="L90" s="59"/>
      <c r="M90" s="59"/>
      <c r="N90" s="62"/>
    </row>
    <row r="91" spans="2:14" x14ac:dyDescent="0.2">
      <c r="B91" s="51" t="s">
        <v>79</v>
      </c>
      <c r="C91" s="10">
        <v>1083</v>
      </c>
      <c r="D91" s="10" t="s">
        <v>80</v>
      </c>
      <c r="E91" s="10" t="s">
        <v>74</v>
      </c>
      <c r="F91" s="10" t="s">
        <v>105</v>
      </c>
      <c r="G91" s="50">
        <v>1463998</v>
      </c>
      <c r="H91" s="10">
        <v>30</v>
      </c>
      <c r="I91" s="59"/>
      <c r="J91" s="59"/>
      <c r="K91" s="59"/>
      <c r="L91" s="59"/>
      <c r="M91" s="59"/>
      <c r="N91" s="62"/>
    </row>
    <row r="92" spans="2:14" x14ac:dyDescent="0.2">
      <c r="B92" s="51" t="s">
        <v>85</v>
      </c>
      <c r="C92" s="10">
        <v>1084</v>
      </c>
      <c r="D92" s="10" t="s">
        <v>86</v>
      </c>
      <c r="E92" s="10" t="s">
        <v>74</v>
      </c>
      <c r="F92" s="10" t="s">
        <v>106</v>
      </c>
      <c r="G92" s="50">
        <v>5500000</v>
      </c>
      <c r="H92" s="10">
        <v>15</v>
      </c>
      <c r="I92" s="59"/>
      <c r="J92" s="59"/>
      <c r="K92" s="59"/>
      <c r="L92" s="59"/>
      <c r="M92" s="59"/>
      <c r="N92" s="62"/>
    </row>
    <row r="93" spans="2:14" x14ac:dyDescent="0.2">
      <c r="B93" s="51" t="s">
        <v>75</v>
      </c>
      <c r="C93" s="10">
        <v>1085</v>
      </c>
      <c r="D93" s="10" t="s">
        <v>76</v>
      </c>
      <c r="E93" s="10" t="s">
        <v>74</v>
      </c>
      <c r="F93" s="10" t="s">
        <v>106</v>
      </c>
      <c r="G93" s="50">
        <v>1775644</v>
      </c>
      <c r="H93" s="10">
        <v>28</v>
      </c>
      <c r="I93" s="59"/>
      <c r="J93" s="59"/>
      <c r="K93" s="59"/>
      <c r="L93" s="59"/>
      <c r="M93" s="59"/>
      <c r="N93" s="62"/>
    </row>
    <row r="94" spans="2:14" x14ac:dyDescent="0.2">
      <c r="B94" s="51" t="s">
        <v>97</v>
      </c>
      <c r="C94" s="10">
        <v>1086</v>
      </c>
      <c r="D94" s="10" t="s">
        <v>98</v>
      </c>
      <c r="E94" s="10" t="s">
        <v>74</v>
      </c>
      <c r="F94" s="10" t="s">
        <v>106</v>
      </c>
      <c r="G94" s="50">
        <v>1410744</v>
      </c>
      <c r="H94" s="10">
        <v>30</v>
      </c>
      <c r="I94" s="59"/>
      <c r="J94" s="59"/>
      <c r="K94" s="59"/>
      <c r="L94" s="59"/>
      <c r="M94" s="59"/>
      <c r="N94" s="62"/>
    </row>
    <row r="95" spans="2:14" x14ac:dyDescent="0.2">
      <c r="B95" s="51" t="s">
        <v>87</v>
      </c>
      <c r="C95" s="10">
        <v>1087</v>
      </c>
      <c r="D95" s="10" t="s">
        <v>88</v>
      </c>
      <c r="E95" s="10" t="s">
        <v>74</v>
      </c>
      <c r="F95" s="10" t="s">
        <v>106</v>
      </c>
      <c r="G95" s="50">
        <v>7000000</v>
      </c>
      <c r="H95" s="10">
        <v>30</v>
      </c>
      <c r="I95" s="59"/>
      <c r="J95" s="59"/>
      <c r="K95" s="59"/>
      <c r="L95" s="59"/>
      <c r="M95" s="59"/>
      <c r="N95" s="62"/>
    </row>
    <row r="96" spans="2:14" x14ac:dyDescent="0.2">
      <c r="B96" s="51" t="s">
        <v>91</v>
      </c>
      <c r="C96" s="10">
        <v>1088</v>
      </c>
      <c r="D96" s="10" t="s">
        <v>92</v>
      </c>
      <c r="E96" s="10" t="s">
        <v>74</v>
      </c>
      <c r="F96" s="10" t="s">
        <v>106</v>
      </c>
      <c r="G96" s="50">
        <v>10000000</v>
      </c>
      <c r="H96" s="10">
        <v>30</v>
      </c>
      <c r="I96" s="59"/>
      <c r="J96" s="59"/>
      <c r="K96" s="59"/>
      <c r="L96" s="59"/>
      <c r="M96" s="59"/>
      <c r="N96" s="62"/>
    </row>
    <row r="97" spans="2:14" x14ac:dyDescent="0.2">
      <c r="B97" s="51" t="s">
        <v>93</v>
      </c>
      <c r="C97" s="10">
        <v>1089</v>
      </c>
      <c r="D97" s="10" t="s">
        <v>94</v>
      </c>
      <c r="E97" s="10" t="s">
        <v>74</v>
      </c>
      <c r="F97" s="10" t="s">
        <v>106</v>
      </c>
      <c r="G97" s="50">
        <v>1863518</v>
      </c>
      <c r="H97" s="10">
        <v>30</v>
      </c>
      <c r="I97" s="59"/>
      <c r="J97" s="59"/>
      <c r="K97" s="59"/>
      <c r="L97" s="59"/>
      <c r="M97" s="59"/>
      <c r="N97" s="62"/>
    </row>
    <row r="98" spans="2:14" x14ac:dyDescent="0.2">
      <c r="B98" s="51" t="s">
        <v>89</v>
      </c>
      <c r="C98" s="10">
        <v>1090</v>
      </c>
      <c r="D98" s="10" t="s">
        <v>90</v>
      </c>
      <c r="E98" s="10" t="s">
        <v>74</v>
      </c>
      <c r="F98" s="10" t="s">
        <v>106</v>
      </c>
      <c r="G98" s="50">
        <v>2499968</v>
      </c>
      <c r="H98" s="10">
        <v>30</v>
      </c>
      <c r="I98" s="59"/>
      <c r="J98" s="59"/>
      <c r="K98" s="59"/>
      <c r="L98" s="59"/>
      <c r="M98" s="59"/>
      <c r="N98" s="62"/>
    </row>
    <row r="99" spans="2:14" x14ac:dyDescent="0.2">
      <c r="B99" s="51" t="s">
        <v>95</v>
      </c>
      <c r="C99" s="10">
        <v>1091</v>
      </c>
      <c r="D99" s="10" t="s">
        <v>96</v>
      </c>
      <c r="E99" s="10" t="s">
        <v>74</v>
      </c>
      <c r="F99" s="10" t="s">
        <v>106</v>
      </c>
      <c r="G99" s="50">
        <v>2382169</v>
      </c>
      <c r="H99" s="10">
        <v>30</v>
      </c>
      <c r="I99" s="59"/>
      <c r="J99" s="59"/>
      <c r="K99" s="59"/>
      <c r="L99" s="59"/>
      <c r="M99" s="59"/>
      <c r="N99" s="62"/>
    </row>
    <row r="100" spans="2:14" x14ac:dyDescent="0.2">
      <c r="B100" s="51" t="s">
        <v>77</v>
      </c>
      <c r="C100" s="10">
        <v>1092</v>
      </c>
      <c r="D100" s="10" t="s">
        <v>78</v>
      </c>
      <c r="E100" s="10" t="s">
        <v>74</v>
      </c>
      <c r="F100" s="10" t="s">
        <v>106</v>
      </c>
      <c r="G100" s="50">
        <v>2779627</v>
      </c>
      <c r="H100" s="10">
        <v>30</v>
      </c>
      <c r="I100" s="59"/>
      <c r="J100" s="59"/>
      <c r="K100" s="59"/>
      <c r="L100" s="59"/>
      <c r="M100" s="59"/>
      <c r="N100" s="62"/>
    </row>
    <row r="101" spans="2:14" x14ac:dyDescent="0.2">
      <c r="B101" s="51" t="s">
        <v>79</v>
      </c>
      <c r="C101" s="10">
        <v>1093</v>
      </c>
      <c r="D101" s="10" t="s">
        <v>80</v>
      </c>
      <c r="E101" s="10" t="s">
        <v>74</v>
      </c>
      <c r="F101" s="10" t="s">
        <v>106</v>
      </c>
      <c r="G101" s="50">
        <v>1463998</v>
      </c>
      <c r="H101" s="10">
        <v>30</v>
      </c>
      <c r="I101" s="59"/>
      <c r="J101" s="59"/>
      <c r="K101" s="59"/>
      <c r="L101" s="59"/>
      <c r="M101" s="59"/>
      <c r="N101" s="62"/>
    </row>
    <row r="102" spans="2:14" x14ac:dyDescent="0.2">
      <c r="B102" s="51" t="s">
        <v>83</v>
      </c>
      <c r="C102" s="10">
        <v>1094</v>
      </c>
      <c r="D102" s="10" t="s">
        <v>84</v>
      </c>
      <c r="E102" s="10" t="s">
        <v>74</v>
      </c>
      <c r="F102" s="10" t="s">
        <v>106</v>
      </c>
      <c r="G102" s="50">
        <v>2412679</v>
      </c>
      <c r="H102" s="10">
        <v>30</v>
      </c>
      <c r="I102" s="59"/>
      <c r="J102" s="59"/>
      <c r="K102" s="59"/>
      <c r="L102" s="59"/>
      <c r="M102" s="59"/>
      <c r="N102" s="62"/>
    </row>
    <row r="103" spans="2:14" x14ac:dyDescent="0.2">
      <c r="B103" s="51" t="s">
        <v>81</v>
      </c>
      <c r="C103" s="10">
        <v>1095</v>
      </c>
      <c r="D103" s="10" t="s">
        <v>82</v>
      </c>
      <c r="E103" s="10" t="s">
        <v>74</v>
      </c>
      <c r="F103" s="10" t="s">
        <v>106</v>
      </c>
      <c r="G103" s="50">
        <v>2647434</v>
      </c>
      <c r="H103" s="10">
        <v>30</v>
      </c>
      <c r="I103" s="59"/>
      <c r="J103" s="59"/>
      <c r="K103" s="59"/>
      <c r="L103" s="59"/>
      <c r="M103" s="59"/>
      <c r="N103" s="62"/>
    </row>
    <row r="104" spans="2:14" x14ac:dyDescent="0.2">
      <c r="B104" s="51" t="s">
        <v>79</v>
      </c>
      <c r="C104" s="10">
        <v>1096</v>
      </c>
      <c r="D104" s="10" t="s">
        <v>80</v>
      </c>
      <c r="E104" s="10" t="s">
        <v>74</v>
      </c>
      <c r="F104" s="10" t="s">
        <v>107</v>
      </c>
      <c r="G104" s="50">
        <v>1463998</v>
      </c>
      <c r="H104" s="10">
        <v>30</v>
      </c>
      <c r="I104" s="59"/>
      <c r="J104" s="59"/>
      <c r="K104" s="59"/>
      <c r="L104" s="59"/>
      <c r="M104" s="59"/>
      <c r="N104" s="62"/>
    </row>
    <row r="105" spans="2:14" x14ac:dyDescent="0.2">
      <c r="B105" s="51" t="s">
        <v>83</v>
      </c>
      <c r="C105" s="10">
        <v>1097</v>
      </c>
      <c r="D105" s="10" t="s">
        <v>84</v>
      </c>
      <c r="E105" s="10" t="s">
        <v>74</v>
      </c>
      <c r="F105" s="10" t="s">
        <v>107</v>
      </c>
      <c r="G105" s="50">
        <v>2412679</v>
      </c>
      <c r="H105" s="10">
        <v>30</v>
      </c>
      <c r="I105" s="59"/>
      <c r="J105" s="59"/>
      <c r="K105" s="59"/>
      <c r="L105" s="59"/>
      <c r="M105" s="59"/>
      <c r="N105" s="62"/>
    </row>
    <row r="106" spans="2:14" x14ac:dyDescent="0.2">
      <c r="B106" s="51" t="s">
        <v>87</v>
      </c>
      <c r="C106" s="10">
        <v>1098</v>
      </c>
      <c r="D106" s="10" t="s">
        <v>88</v>
      </c>
      <c r="E106" s="10" t="s">
        <v>74</v>
      </c>
      <c r="F106" s="10" t="s">
        <v>107</v>
      </c>
      <c r="G106" s="50">
        <v>7000000</v>
      </c>
      <c r="H106" s="10">
        <v>30</v>
      </c>
      <c r="I106" s="59"/>
      <c r="J106" s="59"/>
      <c r="K106" s="59"/>
      <c r="L106" s="59"/>
      <c r="M106" s="59"/>
      <c r="N106" s="62"/>
    </row>
    <row r="107" spans="2:14" x14ac:dyDescent="0.2">
      <c r="B107" s="51" t="s">
        <v>89</v>
      </c>
      <c r="C107" s="10">
        <v>1099</v>
      </c>
      <c r="D107" s="10" t="s">
        <v>90</v>
      </c>
      <c r="E107" s="10" t="s">
        <v>74</v>
      </c>
      <c r="F107" s="10" t="s">
        <v>107</v>
      </c>
      <c r="G107" s="50">
        <v>2499968</v>
      </c>
      <c r="H107" s="10">
        <v>30</v>
      </c>
      <c r="I107" s="59"/>
      <c r="J107" s="59"/>
      <c r="K107" s="59"/>
      <c r="L107" s="59"/>
      <c r="M107" s="59"/>
      <c r="N107" s="62"/>
    </row>
    <row r="108" spans="2:14" x14ac:dyDescent="0.2">
      <c r="B108" s="51" t="s">
        <v>77</v>
      </c>
      <c r="C108" s="10">
        <v>1100</v>
      </c>
      <c r="D108" s="10" t="s">
        <v>78</v>
      </c>
      <c r="E108" s="10" t="s">
        <v>74</v>
      </c>
      <c r="F108" s="10" t="s">
        <v>107</v>
      </c>
      <c r="G108" s="50">
        <v>2779627</v>
      </c>
      <c r="H108" s="10">
        <v>30</v>
      </c>
      <c r="I108" s="59"/>
      <c r="J108" s="59"/>
      <c r="K108" s="59"/>
      <c r="L108" s="59"/>
      <c r="M108" s="59"/>
      <c r="N108" s="62"/>
    </row>
    <row r="109" spans="2:14" x14ac:dyDescent="0.2">
      <c r="B109" s="51" t="s">
        <v>81</v>
      </c>
      <c r="C109" s="10">
        <v>1101</v>
      </c>
      <c r="D109" s="10" t="s">
        <v>82</v>
      </c>
      <c r="E109" s="10" t="s">
        <v>74</v>
      </c>
      <c r="F109" s="10" t="s">
        <v>107</v>
      </c>
      <c r="G109" s="50">
        <v>2647434</v>
      </c>
      <c r="H109" s="10">
        <v>30</v>
      </c>
      <c r="I109" s="59"/>
      <c r="J109" s="59"/>
      <c r="K109" s="59"/>
      <c r="L109" s="59"/>
      <c r="M109" s="59"/>
      <c r="N109" s="62"/>
    </row>
    <row r="110" spans="2:14" x14ac:dyDescent="0.2">
      <c r="B110" s="51" t="s">
        <v>93</v>
      </c>
      <c r="C110" s="10">
        <v>1102</v>
      </c>
      <c r="D110" s="10" t="s">
        <v>94</v>
      </c>
      <c r="E110" s="10" t="s">
        <v>74</v>
      </c>
      <c r="F110" s="10" t="s">
        <v>107</v>
      </c>
      <c r="G110" s="50">
        <v>1863518</v>
      </c>
      <c r="H110" s="10">
        <v>30</v>
      </c>
      <c r="I110" s="59"/>
      <c r="J110" s="59"/>
      <c r="K110" s="59"/>
      <c r="L110" s="59"/>
      <c r="M110" s="59"/>
      <c r="N110" s="62"/>
    </row>
    <row r="111" spans="2:14" x14ac:dyDescent="0.2">
      <c r="B111" s="51" t="s">
        <v>75</v>
      </c>
      <c r="C111" s="10">
        <v>1103</v>
      </c>
      <c r="D111" s="10" t="s">
        <v>76</v>
      </c>
      <c r="E111" s="10" t="s">
        <v>74</v>
      </c>
      <c r="F111" s="10" t="s">
        <v>107</v>
      </c>
      <c r="G111" s="50">
        <v>1775644</v>
      </c>
      <c r="H111" s="10">
        <v>30</v>
      </c>
      <c r="I111" s="59"/>
      <c r="J111" s="59"/>
      <c r="K111" s="59"/>
      <c r="L111" s="59"/>
      <c r="M111" s="59"/>
      <c r="N111" s="62"/>
    </row>
    <row r="112" spans="2:14" x14ac:dyDescent="0.2">
      <c r="B112" s="51" t="s">
        <v>91</v>
      </c>
      <c r="C112" s="10">
        <v>1104</v>
      </c>
      <c r="D112" s="10" t="s">
        <v>92</v>
      </c>
      <c r="E112" s="10" t="s">
        <v>74</v>
      </c>
      <c r="F112" s="10" t="s">
        <v>107</v>
      </c>
      <c r="G112" s="50">
        <v>10000000</v>
      </c>
      <c r="H112" s="10">
        <v>30</v>
      </c>
      <c r="I112" s="59"/>
      <c r="J112" s="59"/>
      <c r="K112" s="59"/>
      <c r="L112" s="59"/>
      <c r="M112" s="59"/>
      <c r="N112" s="62"/>
    </row>
    <row r="113" spans="2:14" x14ac:dyDescent="0.2">
      <c r="B113" s="51" t="s">
        <v>97</v>
      </c>
      <c r="C113" s="10">
        <v>1105</v>
      </c>
      <c r="D113" s="10" t="s">
        <v>98</v>
      </c>
      <c r="E113" s="10" t="s">
        <v>74</v>
      </c>
      <c r="F113" s="10" t="s">
        <v>107</v>
      </c>
      <c r="G113" s="50">
        <v>1410744</v>
      </c>
      <c r="H113" s="10">
        <v>30</v>
      </c>
      <c r="I113" s="59"/>
      <c r="J113" s="59"/>
      <c r="K113" s="59"/>
      <c r="L113" s="59"/>
      <c r="M113" s="59"/>
      <c r="N113" s="62"/>
    </row>
    <row r="114" spans="2:14" x14ac:dyDescent="0.2">
      <c r="B114" s="51" t="s">
        <v>85</v>
      </c>
      <c r="C114" s="10">
        <v>1106</v>
      </c>
      <c r="D114" s="10" t="s">
        <v>86</v>
      </c>
      <c r="E114" s="10" t="s">
        <v>74</v>
      </c>
      <c r="F114" s="10" t="s">
        <v>107</v>
      </c>
      <c r="G114" s="50">
        <v>5500000</v>
      </c>
      <c r="H114" s="10">
        <v>30</v>
      </c>
      <c r="I114" s="59"/>
      <c r="J114" s="59"/>
      <c r="K114" s="59"/>
      <c r="L114" s="59"/>
      <c r="M114" s="59"/>
      <c r="N114" s="62"/>
    </row>
    <row r="115" spans="2:14" x14ac:dyDescent="0.2">
      <c r="B115" s="51" t="s">
        <v>79</v>
      </c>
      <c r="C115" s="10">
        <v>1107</v>
      </c>
      <c r="D115" s="10" t="s">
        <v>80</v>
      </c>
      <c r="E115" s="10" t="s">
        <v>74</v>
      </c>
      <c r="F115" s="10" t="s">
        <v>108</v>
      </c>
      <c r="G115" s="50">
        <v>1463998</v>
      </c>
      <c r="H115" s="10">
        <v>28</v>
      </c>
      <c r="I115" s="59"/>
      <c r="J115" s="59"/>
      <c r="K115" s="59"/>
      <c r="L115" s="59"/>
      <c r="M115" s="59"/>
      <c r="N115" s="62"/>
    </row>
    <row r="116" spans="2:14" x14ac:dyDescent="0.2">
      <c r="B116" s="51" t="s">
        <v>85</v>
      </c>
      <c r="C116" s="10">
        <v>1108</v>
      </c>
      <c r="D116" s="10" t="s">
        <v>86</v>
      </c>
      <c r="E116" s="10" t="s">
        <v>74</v>
      </c>
      <c r="F116" s="10" t="s">
        <v>108</v>
      </c>
      <c r="G116" s="50">
        <v>5500000</v>
      </c>
      <c r="H116" s="10">
        <v>21</v>
      </c>
      <c r="I116" s="59"/>
      <c r="J116" s="59"/>
      <c r="K116" s="59"/>
      <c r="L116" s="59"/>
      <c r="M116" s="59"/>
      <c r="N116" s="62"/>
    </row>
    <row r="117" spans="2:14" x14ac:dyDescent="0.2">
      <c r="B117" s="51" t="s">
        <v>75</v>
      </c>
      <c r="C117" s="10">
        <v>1109</v>
      </c>
      <c r="D117" s="10" t="s">
        <v>76</v>
      </c>
      <c r="E117" s="10" t="s">
        <v>74</v>
      </c>
      <c r="F117" s="10" t="s">
        <v>108</v>
      </c>
      <c r="G117" s="50">
        <v>1775644</v>
      </c>
      <c r="H117" s="10">
        <v>30</v>
      </c>
      <c r="I117" s="59"/>
      <c r="J117" s="59"/>
      <c r="K117" s="59"/>
      <c r="L117" s="59"/>
      <c r="M117" s="59"/>
      <c r="N117" s="62"/>
    </row>
    <row r="118" spans="2:14" x14ac:dyDescent="0.2">
      <c r="B118" s="51" t="s">
        <v>89</v>
      </c>
      <c r="C118" s="10">
        <v>1110</v>
      </c>
      <c r="D118" s="10" t="s">
        <v>90</v>
      </c>
      <c r="E118" s="10" t="s">
        <v>74</v>
      </c>
      <c r="F118" s="10" t="s">
        <v>108</v>
      </c>
      <c r="G118" s="50">
        <v>2499968</v>
      </c>
      <c r="H118" s="10">
        <v>30</v>
      </c>
      <c r="I118" s="59"/>
      <c r="J118" s="59"/>
      <c r="K118" s="59"/>
      <c r="L118" s="59"/>
      <c r="M118" s="59"/>
      <c r="N118" s="62"/>
    </row>
    <row r="119" spans="2:14" x14ac:dyDescent="0.2">
      <c r="B119" s="51" t="s">
        <v>83</v>
      </c>
      <c r="C119" s="10">
        <v>1111</v>
      </c>
      <c r="D119" s="10" t="s">
        <v>84</v>
      </c>
      <c r="E119" s="10" t="s">
        <v>74</v>
      </c>
      <c r="F119" s="10" t="s">
        <v>108</v>
      </c>
      <c r="G119" s="50">
        <v>2412679</v>
      </c>
      <c r="H119" s="10">
        <v>30</v>
      </c>
      <c r="I119" s="59"/>
      <c r="J119" s="59"/>
      <c r="K119" s="59"/>
      <c r="L119" s="59"/>
      <c r="M119" s="59"/>
      <c r="N119" s="62"/>
    </row>
    <row r="120" spans="2:14" x14ac:dyDescent="0.2">
      <c r="B120" s="51" t="s">
        <v>81</v>
      </c>
      <c r="C120" s="10">
        <v>1112</v>
      </c>
      <c r="D120" s="10" t="s">
        <v>82</v>
      </c>
      <c r="E120" s="10" t="s">
        <v>74</v>
      </c>
      <c r="F120" s="10" t="s">
        <v>108</v>
      </c>
      <c r="G120" s="50">
        <v>2647434</v>
      </c>
      <c r="H120" s="10">
        <v>30</v>
      </c>
      <c r="I120" s="59"/>
      <c r="J120" s="59"/>
      <c r="K120" s="59"/>
      <c r="L120" s="59"/>
      <c r="M120" s="59"/>
      <c r="N120" s="62"/>
    </row>
    <row r="121" spans="2:14" x14ac:dyDescent="0.2">
      <c r="B121" s="51" t="s">
        <v>91</v>
      </c>
      <c r="C121" s="10">
        <v>1113</v>
      </c>
      <c r="D121" s="10" t="s">
        <v>92</v>
      </c>
      <c r="E121" s="10" t="s">
        <v>74</v>
      </c>
      <c r="F121" s="10" t="s">
        <v>108</v>
      </c>
      <c r="G121" s="50">
        <v>10000000</v>
      </c>
      <c r="H121" s="10">
        <v>30</v>
      </c>
      <c r="I121" s="59"/>
      <c r="J121" s="59"/>
      <c r="K121" s="59"/>
      <c r="L121" s="59"/>
      <c r="M121" s="59"/>
      <c r="N121" s="62"/>
    </row>
    <row r="122" spans="2:14" x14ac:dyDescent="0.2">
      <c r="B122" s="51" t="s">
        <v>87</v>
      </c>
      <c r="C122" s="10">
        <v>1114</v>
      </c>
      <c r="D122" s="10" t="s">
        <v>88</v>
      </c>
      <c r="E122" s="10" t="s">
        <v>74</v>
      </c>
      <c r="F122" s="10" t="s">
        <v>108</v>
      </c>
      <c r="G122" s="50">
        <v>7000000</v>
      </c>
      <c r="H122" s="10">
        <v>30</v>
      </c>
      <c r="I122" s="59"/>
      <c r="J122" s="59"/>
      <c r="K122" s="59"/>
      <c r="L122" s="59"/>
      <c r="M122" s="59"/>
      <c r="N122" s="62"/>
    </row>
    <row r="123" spans="2:14" x14ac:dyDescent="0.2">
      <c r="B123" s="51" t="s">
        <v>97</v>
      </c>
      <c r="C123" s="10">
        <v>1115</v>
      </c>
      <c r="D123" s="10" t="s">
        <v>98</v>
      </c>
      <c r="E123" s="10" t="s">
        <v>74</v>
      </c>
      <c r="F123" s="10" t="s">
        <v>108</v>
      </c>
      <c r="G123" s="50">
        <v>1410744</v>
      </c>
      <c r="H123" s="10">
        <v>30</v>
      </c>
      <c r="I123" s="59"/>
      <c r="J123" s="59"/>
      <c r="K123" s="59"/>
      <c r="L123" s="59"/>
      <c r="M123" s="59"/>
      <c r="N123" s="62"/>
    </row>
    <row r="124" spans="2:14" x14ac:dyDescent="0.2">
      <c r="B124" s="51" t="s">
        <v>93</v>
      </c>
      <c r="C124" s="10">
        <v>1116</v>
      </c>
      <c r="D124" s="10" t="s">
        <v>94</v>
      </c>
      <c r="E124" s="10" t="s">
        <v>74</v>
      </c>
      <c r="F124" s="10" t="s">
        <v>108</v>
      </c>
      <c r="G124" s="50">
        <v>1863518</v>
      </c>
      <c r="H124" s="10">
        <v>30</v>
      </c>
      <c r="I124" s="59"/>
      <c r="J124" s="59"/>
      <c r="K124" s="59"/>
      <c r="L124" s="59"/>
      <c r="M124" s="59"/>
      <c r="N124" s="62"/>
    </row>
    <row r="125" spans="2:14" x14ac:dyDescent="0.2">
      <c r="B125" s="51" t="s">
        <v>91</v>
      </c>
      <c r="C125" s="10">
        <v>1117</v>
      </c>
      <c r="D125" s="10" t="s">
        <v>92</v>
      </c>
      <c r="E125" s="10" t="s">
        <v>74</v>
      </c>
      <c r="F125" s="10" t="s">
        <v>109</v>
      </c>
      <c r="G125" s="50">
        <v>10000000</v>
      </c>
      <c r="H125" s="10">
        <v>20</v>
      </c>
      <c r="I125" s="59"/>
      <c r="J125" s="59"/>
      <c r="K125" s="59"/>
      <c r="L125" s="59"/>
      <c r="M125" s="59"/>
      <c r="N125" s="62"/>
    </row>
    <row r="126" spans="2:14" x14ac:dyDescent="0.2">
      <c r="B126" s="51" t="s">
        <v>75</v>
      </c>
      <c r="C126" s="10">
        <v>1118</v>
      </c>
      <c r="D126" s="10" t="s">
        <v>76</v>
      </c>
      <c r="E126" s="10" t="s">
        <v>74</v>
      </c>
      <c r="F126" s="10" t="s">
        <v>109</v>
      </c>
      <c r="G126" s="50">
        <v>1775644</v>
      </c>
      <c r="H126" s="10">
        <v>30</v>
      </c>
      <c r="I126" s="59"/>
      <c r="J126" s="59"/>
      <c r="K126" s="59"/>
      <c r="L126" s="59"/>
      <c r="M126" s="59"/>
      <c r="N126" s="62"/>
    </row>
    <row r="127" spans="2:14" x14ac:dyDescent="0.2">
      <c r="B127" s="51" t="s">
        <v>89</v>
      </c>
      <c r="C127" s="10">
        <v>1119</v>
      </c>
      <c r="D127" s="10" t="s">
        <v>90</v>
      </c>
      <c r="E127" s="10" t="s">
        <v>74</v>
      </c>
      <c r="F127" s="10" t="s">
        <v>109</v>
      </c>
      <c r="G127" s="50">
        <v>2499968</v>
      </c>
      <c r="H127" s="10">
        <v>30</v>
      </c>
      <c r="I127" s="59"/>
      <c r="J127" s="59"/>
      <c r="K127" s="59"/>
      <c r="L127" s="59"/>
      <c r="M127" s="59"/>
      <c r="N127" s="62"/>
    </row>
    <row r="128" spans="2:14" x14ac:dyDescent="0.2">
      <c r="B128" s="51" t="s">
        <v>93</v>
      </c>
      <c r="C128" s="10">
        <v>1120</v>
      </c>
      <c r="D128" s="10" t="s">
        <v>94</v>
      </c>
      <c r="E128" s="10" t="s">
        <v>74</v>
      </c>
      <c r="F128" s="10" t="s">
        <v>109</v>
      </c>
      <c r="G128" s="50">
        <v>1863518</v>
      </c>
      <c r="H128" s="10">
        <v>30</v>
      </c>
      <c r="I128" s="59"/>
      <c r="J128" s="59"/>
      <c r="K128" s="59"/>
      <c r="L128" s="59"/>
      <c r="M128" s="59"/>
      <c r="N128" s="62"/>
    </row>
    <row r="129" spans="2:14" x14ac:dyDescent="0.2">
      <c r="B129" s="51" t="s">
        <v>87</v>
      </c>
      <c r="C129" s="10">
        <v>1121</v>
      </c>
      <c r="D129" s="10" t="s">
        <v>88</v>
      </c>
      <c r="E129" s="10" t="s">
        <v>74</v>
      </c>
      <c r="F129" s="10" t="s">
        <v>109</v>
      </c>
      <c r="G129" s="50">
        <v>7000000</v>
      </c>
      <c r="H129" s="10">
        <v>30</v>
      </c>
      <c r="I129" s="59"/>
      <c r="J129" s="59"/>
      <c r="K129" s="59"/>
      <c r="L129" s="59"/>
      <c r="M129" s="59"/>
      <c r="N129" s="62"/>
    </row>
    <row r="130" spans="2:14" x14ac:dyDescent="0.2">
      <c r="B130" s="51" t="s">
        <v>97</v>
      </c>
      <c r="C130" s="10">
        <v>1122</v>
      </c>
      <c r="D130" s="10" t="s">
        <v>98</v>
      </c>
      <c r="E130" s="10" t="s">
        <v>74</v>
      </c>
      <c r="F130" s="10" t="s">
        <v>109</v>
      </c>
      <c r="G130" s="50">
        <v>1410744</v>
      </c>
      <c r="H130" s="10">
        <v>30</v>
      </c>
      <c r="I130" s="59"/>
      <c r="J130" s="59"/>
      <c r="K130" s="59"/>
      <c r="L130" s="59"/>
      <c r="M130" s="59"/>
      <c r="N130" s="62"/>
    </row>
    <row r="131" spans="2:14" x14ac:dyDescent="0.2">
      <c r="B131" s="51" t="s">
        <v>79</v>
      </c>
      <c r="C131" s="10">
        <v>1123</v>
      </c>
      <c r="D131" s="10" t="s">
        <v>80</v>
      </c>
      <c r="E131" s="10" t="s">
        <v>74</v>
      </c>
      <c r="F131" s="10" t="s">
        <v>109</v>
      </c>
      <c r="G131" s="50">
        <v>1463998</v>
      </c>
      <c r="H131" s="10">
        <v>30</v>
      </c>
      <c r="I131" s="59"/>
      <c r="J131" s="59"/>
      <c r="K131" s="59"/>
      <c r="L131" s="59"/>
      <c r="M131" s="59"/>
      <c r="N131" s="62"/>
    </row>
    <row r="132" spans="2:14" x14ac:dyDescent="0.2">
      <c r="B132" s="51" t="s">
        <v>83</v>
      </c>
      <c r="C132" s="10">
        <v>1124</v>
      </c>
      <c r="D132" s="10" t="s">
        <v>84</v>
      </c>
      <c r="E132" s="10" t="s">
        <v>74</v>
      </c>
      <c r="F132" s="10" t="s">
        <v>109</v>
      </c>
      <c r="G132" s="50">
        <v>2412679</v>
      </c>
      <c r="H132" s="10">
        <v>30</v>
      </c>
      <c r="I132" s="59"/>
      <c r="J132" s="59"/>
      <c r="K132" s="59"/>
      <c r="L132" s="59"/>
      <c r="M132" s="59"/>
      <c r="N132" s="62"/>
    </row>
    <row r="133" spans="2:14" x14ac:dyDescent="0.2">
      <c r="B133" s="51" t="s">
        <v>81</v>
      </c>
      <c r="C133" s="10">
        <v>1125</v>
      </c>
      <c r="D133" s="10" t="s">
        <v>82</v>
      </c>
      <c r="E133" s="10" t="s">
        <v>74</v>
      </c>
      <c r="F133" s="10" t="s">
        <v>109</v>
      </c>
      <c r="G133" s="50">
        <v>2647434</v>
      </c>
      <c r="H133" s="10">
        <v>30</v>
      </c>
      <c r="I133" s="59"/>
      <c r="J133" s="59"/>
      <c r="K133" s="59"/>
      <c r="L133" s="59"/>
      <c r="M133" s="59"/>
      <c r="N133" s="62"/>
    </row>
    <row r="134" spans="2:14" x14ac:dyDescent="0.2">
      <c r="B134" s="51" t="s">
        <v>85</v>
      </c>
      <c r="C134" s="10">
        <v>1126</v>
      </c>
      <c r="D134" s="10" t="s">
        <v>86</v>
      </c>
      <c r="E134" s="10" t="s">
        <v>74</v>
      </c>
      <c r="F134" s="10" t="s">
        <v>109</v>
      </c>
      <c r="G134" s="50">
        <v>5500000</v>
      </c>
      <c r="H134" s="10">
        <v>30</v>
      </c>
      <c r="I134" s="59"/>
      <c r="J134" s="59"/>
      <c r="K134" s="59"/>
      <c r="L134" s="59"/>
      <c r="M134" s="59"/>
      <c r="N134" s="62"/>
    </row>
    <row r="135" spans="2:14" x14ac:dyDescent="0.2">
      <c r="B135" s="51" t="s">
        <v>89</v>
      </c>
      <c r="C135" s="10">
        <v>1127</v>
      </c>
      <c r="D135" s="10" t="s">
        <v>90</v>
      </c>
      <c r="E135" s="10" t="s">
        <v>74</v>
      </c>
      <c r="F135" s="10" t="s">
        <v>59</v>
      </c>
      <c r="G135" s="50">
        <v>2499968</v>
      </c>
      <c r="H135" s="10">
        <v>30</v>
      </c>
      <c r="I135" s="59"/>
      <c r="J135" s="59"/>
      <c r="K135" s="59"/>
      <c r="L135" s="59"/>
      <c r="M135" s="59"/>
      <c r="N135" s="62"/>
    </row>
    <row r="136" spans="2:14" x14ac:dyDescent="0.2">
      <c r="B136" s="51" t="s">
        <v>93</v>
      </c>
      <c r="C136" s="10">
        <v>1128</v>
      </c>
      <c r="D136" s="10" t="s">
        <v>94</v>
      </c>
      <c r="E136" s="10" t="s">
        <v>74</v>
      </c>
      <c r="F136" s="10" t="s">
        <v>59</v>
      </c>
      <c r="G136" s="50">
        <v>1863518</v>
      </c>
      <c r="H136" s="10">
        <v>30</v>
      </c>
      <c r="I136" s="59"/>
      <c r="J136" s="59"/>
      <c r="K136" s="59"/>
      <c r="L136" s="59"/>
      <c r="M136" s="59"/>
      <c r="N136" s="62"/>
    </row>
    <row r="137" spans="2:14" x14ac:dyDescent="0.2">
      <c r="B137" s="51" t="s">
        <v>79</v>
      </c>
      <c r="C137" s="10">
        <v>1129</v>
      </c>
      <c r="D137" s="10" t="s">
        <v>80</v>
      </c>
      <c r="E137" s="10" t="s">
        <v>74</v>
      </c>
      <c r="F137" s="10" t="s">
        <v>59</v>
      </c>
      <c r="G137" s="50">
        <v>1463998</v>
      </c>
      <c r="H137" s="10">
        <v>30</v>
      </c>
      <c r="I137" s="59"/>
      <c r="J137" s="59"/>
      <c r="K137" s="59"/>
      <c r="L137" s="59"/>
      <c r="M137" s="59"/>
      <c r="N137" s="62"/>
    </row>
    <row r="138" spans="2:14" x14ac:dyDescent="0.2">
      <c r="B138" s="51" t="s">
        <v>81</v>
      </c>
      <c r="C138" s="10">
        <v>1130</v>
      </c>
      <c r="D138" s="10" t="s">
        <v>82</v>
      </c>
      <c r="E138" s="10" t="s">
        <v>74</v>
      </c>
      <c r="F138" s="10" t="s">
        <v>59</v>
      </c>
      <c r="G138" s="50">
        <v>2647434</v>
      </c>
      <c r="H138" s="10">
        <v>30</v>
      </c>
      <c r="I138" s="59"/>
      <c r="J138" s="59"/>
      <c r="K138" s="59"/>
      <c r="L138" s="59"/>
      <c r="M138" s="59"/>
      <c r="N138" s="62"/>
    </row>
    <row r="139" spans="2:14" x14ac:dyDescent="0.2">
      <c r="B139" s="51" t="s">
        <v>75</v>
      </c>
      <c r="C139" s="10">
        <v>1131</v>
      </c>
      <c r="D139" s="10" t="s">
        <v>76</v>
      </c>
      <c r="E139" s="10" t="s">
        <v>74</v>
      </c>
      <c r="F139" s="10" t="s">
        <v>59</v>
      </c>
      <c r="G139" s="50">
        <v>1775644</v>
      </c>
      <c r="H139" s="10">
        <v>30</v>
      </c>
      <c r="I139" s="59"/>
      <c r="J139" s="59"/>
      <c r="K139" s="59"/>
      <c r="L139" s="59"/>
      <c r="M139" s="59"/>
      <c r="N139" s="62"/>
    </row>
    <row r="140" spans="2:14" x14ac:dyDescent="0.2">
      <c r="B140" s="51" t="s">
        <v>97</v>
      </c>
      <c r="C140" s="10">
        <v>1132</v>
      </c>
      <c r="D140" s="10" t="s">
        <v>98</v>
      </c>
      <c r="E140" s="10" t="s">
        <v>74</v>
      </c>
      <c r="F140" s="10" t="s">
        <v>59</v>
      </c>
      <c r="G140" s="50">
        <v>1410744</v>
      </c>
      <c r="H140" s="10">
        <v>30</v>
      </c>
      <c r="I140" s="59"/>
      <c r="J140" s="59"/>
      <c r="K140" s="59"/>
      <c r="L140" s="59"/>
      <c r="M140" s="59"/>
      <c r="N140" s="62"/>
    </row>
    <row r="141" spans="2:14" x14ac:dyDescent="0.2">
      <c r="B141" s="51" t="s">
        <v>83</v>
      </c>
      <c r="C141" s="10">
        <v>1133</v>
      </c>
      <c r="D141" s="10" t="s">
        <v>84</v>
      </c>
      <c r="E141" s="10" t="s">
        <v>74</v>
      </c>
      <c r="F141" s="10" t="s">
        <v>59</v>
      </c>
      <c r="G141" s="50">
        <v>2412679</v>
      </c>
      <c r="H141" s="10">
        <v>30</v>
      </c>
      <c r="I141" s="59"/>
      <c r="J141" s="59"/>
      <c r="K141" s="59"/>
      <c r="L141" s="59"/>
      <c r="M141" s="59"/>
      <c r="N141" s="62"/>
    </row>
    <row r="142" spans="2:14" x14ac:dyDescent="0.2">
      <c r="B142" s="51" t="s">
        <v>85</v>
      </c>
      <c r="C142" s="10">
        <v>1134</v>
      </c>
      <c r="D142" s="10" t="s">
        <v>86</v>
      </c>
      <c r="E142" s="10" t="s">
        <v>74</v>
      </c>
      <c r="F142" s="10" t="s">
        <v>59</v>
      </c>
      <c r="G142" s="50">
        <v>5500000</v>
      </c>
      <c r="H142" s="10">
        <v>30</v>
      </c>
      <c r="I142" s="59"/>
      <c r="J142" s="59"/>
      <c r="K142" s="59"/>
      <c r="L142" s="59"/>
      <c r="M142" s="59"/>
      <c r="N142" s="62"/>
    </row>
    <row r="143" spans="2:14" ht="13.5" thickBot="1" x14ac:dyDescent="0.25">
      <c r="B143" s="52" t="s">
        <v>91</v>
      </c>
      <c r="C143" s="53">
        <v>1135</v>
      </c>
      <c r="D143" s="53" t="s">
        <v>92</v>
      </c>
      <c r="E143" s="53" t="s">
        <v>74</v>
      </c>
      <c r="F143" s="53" t="s">
        <v>59</v>
      </c>
      <c r="G143" s="54">
        <v>10000000</v>
      </c>
      <c r="H143" s="53">
        <v>30</v>
      </c>
      <c r="I143" s="60"/>
      <c r="J143" s="60"/>
      <c r="K143" s="60"/>
      <c r="L143" s="60"/>
      <c r="M143" s="60"/>
      <c r="N143" s="63"/>
    </row>
  </sheetData>
  <sheetProtection algorithmName="SHA-1" hashValue="oTBpQdbEZ8reXixXZGMNdG/EW7g=" saltValue="OQcCsORh5PIaqoHodk+X5A==" spinCount="100000" sheet="1" objects="1" scenarios="1"/>
  <mergeCells count="6">
    <mergeCell ref="M2:M6"/>
    <mergeCell ref="N2:N6"/>
    <mergeCell ref="I2:I6"/>
    <mergeCell ref="J2:J6"/>
    <mergeCell ref="K2:K6"/>
    <mergeCell ref="L2:L6"/>
  </mergeCells>
  <phoneticPr fontId="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12DA-CDD3-4D9F-8E7C-932339EC0208}">
  <sheetPr codeName="Sheet4"/>
  <dimension ref="A1:M137"/>
  <sheetViews>
    <sheetView workbookViewId="0">
      <selection sqref="A1:XFD1048576"/>
    </sheetView>
  </sheetViews>
  <sheetFormatPr defaultRowHeight="12.75" x14ac:dyDescent="0.2"/>
  <cols>
    <col min="1" max="1" width="10.109375" style="49" bestFit="1" customWidth="1"/>
    <col min="2" max="16384" width="8.88671875" style="2"/>
  </cols>
  <sheetData>
    <row r="1" spans="1:13" ht="13.5" thickBot="1" x14ac:dyDescent="0.25">
      <c r="A1" s="71"/>
      <c r="B1" s="72"/>
      <c r="C1" s="73"/>
      <c r="D1" s="73"/>
      <c r="E1" s="73"/>
      <c r="F1" s="74"/>
      <c r="G1" s="74"/>
      <c r="H1" s="74"/>
      <c r="I1" s="74"/>
      <c r="J1" s="74"/>
      <c r="K1" s="74"/>
      <c r="L1" s="74"/>
      <c r="M1" s="75"/>
    </row>
    <row r="2" spans="1:13" x14ac:dyDescent="0.2">
      <c r="A2" s="55"/>
      <c r="B2" s="56"/>
      <c r="C2" s="56"/>
      <c r="D2" s="56"/>
      <c r="E2" s="56"/>
      <c r="F2" s="57"/>
      <c r="G2" s="56"/>
      <c r="H2" s="58"/>
      <c r="I2" s="58"/>
      <c r="J2" s="58"/>
      <c r="K2" s="58"/>
      <c r="L2" s="58"/>
      <c r="M2" s="61"/>
    </row>
    <row r="3" spans="1:13" x14ac:dyDescent="0.2">
      <c r="A3" s="51"/>
      <c r="B3" s="10"/>
      <c r="C3" s="10"/>
      <c r="D3" s="10"/>
      <c r="E3" s="10"/>
      <c r="F3" s="50"/>
      <c r="G3" s="10"/>
      <c r="H3" s="59"/>
      <c r="I3" s="59"/>
      <c r="J3" s="59"/>
      <c r="K3" s="59"/>
      <c r="L3" s="59"/>
      <c r="M3" s="62"/>
    </row>
    <row r="4" spans="1:13" x14ac:dyDescent="0.2">
      <c r="A4" s="51"/>
      <c r="B4" s="10"/>
      <c r="C4" s="10"/>
      <c r="D4" s="10"/>
      <c r="E4" s="10"/>
      <c r="F4" s="50"/>
      <c r="G4" s="10"/>
      <c r="H4" s="59"/>
      <c r="I4" s="59"/>
      <c r="J4" s="59"/>
      <c r="K4" s="59"/>
      <c r="L4" s="59"/>
      <c r="M4" s="62"/>
    </row>
    <row r="5" spans="1:13" x14ac:dyDescent="0.2">
      <c r="A5" s="51"/>
      <c r="B5" s="10"/>
      <c r="C5" s="10"/>
      <c r="D5" s="10"/>
      <c r="E5" s="10"/>
      <c r="F5" s="50"/>
      <c r="G5" s="10"/>
      <c r="H5" s="59"/>
      <c r="I5" s="59"/>
      <c r="J5" s="59"/>
      <c r="K5" s="59"/>
      <c r="L5" s="59"/>
      <c r="M5" s="62"/>
    </row>
    <row r="6" spans="1:13" x14ac:dyDescent="0.2">
      <c r="A6" s="51"/>
      <c r="B6" s="10"/>
      <c r="C6" s="10"/>
      <c r="D6" s="10"/>
      <c r="E6" s="10"/>
      <c r="F6" s="50"/>
      <c r="G6" s="10"/>
      <c r="H6" s="59"/>
      <c r="I6" s="59"/>
      <c r="J6" s="59"/>
      <c r="K6" s="59"/>
      <c r="L6" s="59"/>
      <c r="M6" s="62"/>
    </row>
    <row r="7" spans="1:13" x14ac:dyDescent="0.2">
      <c r="A7" s="51"/>
      <c r="B7" s="10"/>
      <c r="C7" s="10"/>
      <c r="D7" s="10"/>
      <c r="E7" s="10"/>
      <c r="F7" s="50"/>
      <c r="G7" s="10"/>
      <c r="H7" s="59"/>
      <c r="I7" s="59"/>
      <c r="J7" s="59"/>
      <c r="K7" s="59"/>
      <c r="L7" s="59"/>
      <c r="M7" s="62"/>
    </row>
    <row r="8" spans="1:13" x14ac:dyDescent="0.2">
      <c r="A8" s="51"/>
      <c r="B8" s="10"/>
      <c r="C8" s="10"/>
      <c r="D8" s="10"/>
      <c r="E8" s="10"/>
      <c r="F8" s="50"/>
      <c r="G8" s="10"/>
      <c r="H8" s="59"/>
      <c r="I8" s="59"/>
      <c r="J8" s="59"/>
      <c r="K8" s="59"/>
      <c r="L8" s="59"/>
      <c r="M8" s="62"/>
    </row>
    <row r="9" spans="1:13" x14ac:dyDescent="0.2">
      <c r="A9" s="51"/>
      <c r="B9" s="10"/>
      <c r="C9" s="10"/>
      <c r="D9" s="10"/>
      <c r="E9" s="10"/>
      <c r="F9" s="50"/>
      <c r="G9" s="10"/>
      <c r="H9" s="59"/>
      <c r="I9" s="59"/>
      <c r="J9" s="59"/>
      <c r="K9" s="59"/>
      <c r="L9" s="59"/>
      <c r="M9" s="62"/>
    </row>
    <row r="10" spans="1:13" x14ac:dyDescent="0.2">
      <c r="A10" s="51"/>
      <c r="B10" s="10"/>
      <c r="C10" s="10"/>
      <c r="D10" s="10"/>
      <c r="E10" s="10"/>
      <c r="F10" s="50"/>
      <c r="G10" s="10"/>
      <c r="H10" s="59"/>
      <c r="I10" s="59"/>
      <c r="J10" s="59"/>
      <c r="K10" s="59"/>
      <c r="L10" s="59"/>
      <c r="M10" s="62"/>
    </row>
    <row r="11" spans="1:13" x14ac:dyDescent="0.2">
      <c r="A11" s="51"/>
      <c r="B11" s="10"/>
      <c r="C11" s="10"/>
      <c r="D11" s="10"/>
      <c r="E11" s="10"/>
      <c r="F11" s="50"/>
      <c r="G11" s="10"/>
      <c r="H11" s="59"/>
      <c r="I11" s="59"/>
      <c r="J11" s="59"/>
      <c r="K11" s="59"/>
      <c r="L11" s="59"/>
      <c r="M11" s="62"/>
    </row>
    <row r="12" spans="1:13" x14ac:dyDescent="0.2">
      <c r="A12" s="51"/>
      <c r="B12" s="10"/>
      <c r="C12" s="10"/>
      <c r="D12" s="10"/>
      <c r="E12" s="10"/>
      <c r="F12" s="50"/>
      <c r="G12" s="10"/>
      <c r="H12" s="59"/>
      <c r="I12" s="59"/>
      <c r="J12" s="59"/>
      <c r="K12" s="59"/>
      <c r="L12" s="59"/>
      <c r="M12" s="62"/>
    </row>
    <row r="13" spans="1:13" x14ac:dyDescent="0.2">
      <c r="A13" s="51"/>
      <c r="B13" s="10"/>
      <c r="C13" s="10"/>
      <c r="D13" s="10"/>
      <c r="E13" s="10"/>
      <c r="F13" s="50"/>
      <c r="G13" s="10"/>
      <c r="H13" s="59"/>
      <c r="I13" s="59"/>
      <c r="J13" s="59"/>
      <c r="K13" s="59"/>
      <c r="L13" s="59"/>
      <c r="M13" s="62"/>
    </row>
    <row r="14" spans="1:13" x14ac:dyDescent="0.2">
      <c r="A14" s="51"/>
      <c r="B14" s="10"/>
      <c r="C14" s="10"/>
      <c r="D14" s="10"/>
      <c r="E14" s="10"/>
      <c r="F14" s="50"/>
      <c r="G14" s="10"/>
      <c r="H14" s="59"/>
      <c r="I14" s="59"/>
      <c r="J14" s="59"/>
      <c r="K14" s="59"/>
      <c r="L14" s="59"/>
      <c r="M14" s="62"/>
    </row>
    <row r="15" spans="1:13" x14ac:dyDescent="0.2">
      <c r="A15" s="51"/>
      <c r="B15" s="10"/>
      <c r="C15" s="10"/>
      <c r="D15" s="10"/>
      <c r="E15" s="10"/>
      <c r="F15" s="50"/>
      <c r="G15" s="10"/>
      <c r="H15" s="59"/>
      <c r="I15" s="59"/>
      <c r="J15" s="59"/>
      <c r="K15" s="59"/>
      <c r="L15" s="59"/>
      <c r="M15" s="62"/>
    </row>
    <row r="16" spans="1:13" x14ac:dyDescent="0.2">
      <c r="A16" s="51"/>
      <c r="B16" s="10"/>
      <c r="C16" s="10"/>
      <c r="D16" s="10"/>
      <c r="E16" s="10"/>
      <c r="F16" s="50"/>
      <c r="G16" s="10"/>
      <c r="H16" s="59"/>
      <c r="I16" s="59"/>
      <c r="J16" s="59"/>
      <c r="K16" s="59"/>
      <c r="L16" s="59"/>
      <c r="M16" s="62"/>
    </row>
    <row r="17" spans="1:13" x14ac:dyDescent="0.2">
      <c r="A17" s="51"/>
      <c r="B17" s="10"/>
      <c r="C17" s="10"/>
      <c r="D17" s="10"/>
      <c r="E17" s="10"/>
      <c r="F17" s="50"/>
      <c r="G17" s="10"/>
      <c r="H17" s="59"/>
      <c r="I17" s="59"/>
      <c r="J17" s="59"/>
      <c r="K17" s="59"/>
      <c r="L17" s="59"/>
      <c r="M17" s="62"/>
    </row>
    <row r="18" spans="1:13" x14ac:dyDescent="0.2">
      <c r="A18" s="51"/>
      <c r="B18" s="10"/>
      <c r="C18" s="10"/>
      <c r="D18" s="10"/>
      <c r="E18" s="10"/>
      <c r="F18" s="50"/>
      <c r="G18" s="10"/>
      <c r="H18" s="59"/>
      <c r="I18" s="59"/>
      <c r="J18" s="59"/>
      <c r="K18" s="59"/>
      <c r="L18" s="59"/>
      <c r="M18" s="62"/>
    </row>
    <row r="19" spans="1:13" x14ac:dyDescent="0.2">
      <c r="A19" s="51"/>
      <c r="B19" s="10"/>
      <c r="C19" s="10"/>
      <c r="D19" s="10"/>
      <c r="E19" s="10"/>
      <c r="F19" s="50"/>
      <c r="G19" s="10"/>
      <c r="H19" s="59"/>
      <c r="I19" s="59"/>
      <c r="J19" s="59"/>
      <c r="K19" s="59"/>
      <c r="L19" s="59"/>
      <c r="M19" s="62"/>
    </row>
    <row r="20" spans="1:13" x14ac:dyDescent="0.2">
      <c r="A20" s="51"/>
      <c r="B20" s="10"/>
      <c r="C20" s="10"/>
      <c r="D20" s="10"/>
      <c r="E20" s="10"/>
      <c r="F20" s="50"/>
      <c r="G20" s="10"/>
      <c r="H20" s="59"/>
      <c r="I20" s="59"/>
      <c r="J20" s="59"/>
      <c r="K20" s="59"/>
      <c r="L20" s="59"/>
      <c r="M20" s="62"/>
    </row>
    <row r="21" spans="1:13" x14ac:dyDescent="0.2">
      <c r="A21" s="51"/>
      <c r="B21" s="10"/>
      <c r="C21" s="10"/>
      <c r="D21" s="10"/>
      <c r="E21" s="10"/>
      <c r="F21" s="50"/>
      <c r="G21" s="10"/>
      <c r="H21" s="59"/>
      <c r="I21" s="59"/>
      <c r="J21" s="59"/>
      <c r="K21" s="59"/>
      <c r="L21" s="59"/>
      <c r="M21" s="62"/>
    </row>
    <row r="22" spans="1:13" x14ac:dyDescent="0.2">
      <c r="A22" s="51"/>
      <c r="B22" s="10"/>
      <c r="C22" s="10"/>
      <c r="D22" s="10"/>
      <c r="E22" s="10"/>
      <c r="F22" s="50"/>
      <c r="G22" s="10"/>
      <c r="H22" s="59"/>
      <c r="I22" s="59"/>
      <c r="J22" s="59"/>
      <c r="K22" s="59"/>
      <c r="L22" s="59"/>
      <c r="M22" s="62"/>
    </row>
    <row r="23" spans="1:13" x14ac:dyDescent="0.2">
      <c r="A23" s="51"/>
      <c r="B23" s="10"/>
      <c r="C23" s="10"/>
      <c r="D23" s="10"/>
      <c r="E23" s="10"/>
      <c r="F23" s="50"/>
      <c r="G23" s="10"/>
      <c r="H23" s="59"/>
      <c r="I23" s="59"/>
      <c r="J23" s="59"/>
      <c r="K23" s="59"/>
      <c r="L23" s="59"/>
      <c r="M23" s="62"/>
    </row>
    <row r="24" spans="1:13" x14ac:dyDescent="0.2">
      <c r="A24" s="51"/>
      <c r="B24" s="10"/>
      <c r="C24" s="10"/>
      <c r="D24" s="10"/>
      <c r="E24" s="10"/>
      <c r="F24" s="50"/>
      <c r="G24" s="10"/>
      <c r="H24" s="59"/>
      <c r="I24" s="59"/>
      <c r="J24" s="59"/>
      <c r="K24" s="59"/>
      <c r="L24" s="59"/>
      <c r="M24" s="62"/>
    </row>
    <row r="25" spans="1:13" x14ac:dyDescent="0.2">
      <c r="A25" s="51"/>
      <c r="B25" s="10"/>
      <c r="C25" s="10"/>
      <c r="D25" s="10"/>
      <c r="E25" s="10"/>
      <c r="F25" s="50"/>
      <c r="G25" s="10"/>
      <c r="H25" s="59"/>
      <c r="I25" s="59"/>
      <c r="J25" s="59"/>
      <c r="K25" s="59"/>
      <c r="L25" s="59"/>
      <c r="M25" s="62"/>
    </row>
    <row r="26" spans="1:13" x14ac:dyDescent="0.2">
      <c r="A26" s="51"/>
      <c r="B26" s="10"/>
      <c r="C26" s="10"/>
      <c r="D26" s="10"/>
      <c r="E26" s="10"/>
      <c r="F26" s="50"/>
      <c r="G26" s="10"/>
      <c r="H26" s="59"/>
      <c r="I26" s="59"/>
      <c r="J26" s="59"/>
      <c r="K26" s="59"/>
      <c r="L26" s="59"/>
      <c r="M26" s="62"/>
    </row>
    <row r="27" spans="1:13" x14ac:dyDescent="0.2">
      <c r="A27" s="51"/>
      <c r="B27" s="10"/>
      <c r="C27" s="10"/>
      <c r="D27" s="10"/>
      <c r="E27" s="10"/>
      <c r="F27" s="50"/>
      <c r="G27" s="10"/>
      <c r="H27" s="59"/>
      <c r="I27" s="59"/>
      <c r="J27" s="59"/>
      <c r="K27" s="59"/>
      <c r="L27" s="59"/>
      <c r="M27" s="62"/>
    </row>
    <row r="28" spans="1:13" x14ac:dyDescent="0.2">
      <c r="A28" s="51"/>
      <c r="B28" s="10"/>
      <c r="C28" s="10"/>
      <c r="D28" s="10"/>
      <c r="E28" s="10"/>
      <c r="F28" s="50"/>
      <c r="G28" s="10"/>
      <c r="H28" s="59"/>
      <c r="I28" s="59"/>
      <c r="J28" s="59"/>
      <c r="K28" s="59"/>
      <c r="L28" s="59"/>
      <c r="M28" s="62"/>
    </row>
    <row r="29" spans="1:13" x14ac:dyDescent="0.2">
      <c r="A29" s="51"/>
      <c r="B29" s="10"/>
      <c r="C29" s="10"/>
      <c r="D29" s="10"/>
      <c r="E29" s="10"/>
      <c r="F29" s="50"/>
      <c r="G29" s="10"/>
      <c r="H29" s="59"/>
      <c r="I29" s="59"/>
      <c r="J29" s="59"/>
      <c r="K29" s="59"/>
      <c r="L29" s="59"/>
      <c r="M29" s="62"/>
    </row>
    <row r="30" spans="1:13" x14ac:dyDescent="0.2">
      <c r="A30" s="51"/>
      <c r="B30" s="10"/>
      <c r="C30" s="10"/>
      <c r="D30" s="10"/>
      <c r="E30" s="10"/>
      <c r="F30" s="50"/>
      <c r="G30" s="10"/>
      <c r="H30" s="59"/>
      <c r="I30" s="59"/>
      <c r="J30" s="59"/>
      <c r="K30" s="59"/>
      <c r="L30" s="59"/>
      <c r="M30" s="62"/>
    </row>
    <row r="31" spans="1:13" x14ac:dyDescent="0.2">
      <c r="A31" s="51"/>
      <c r="B31" s="10"/>
      <c r="C31" s="10"/>
      <c r="D31" s="10"/>
      <c r="E31" s="10"/>
      <c r="F31" s="50"/>
      <c r="G31" s="10"/>
      <c r="H31" s="59"/>
      <c r="I31" s="59"/>
      <c r="J31" s="59"/>
      <c r="K31" s="59"/>
      <c r="L31" s="59"/>
      <c r="M31" s="62"/>
    </row>
    <row r="32" spans="1:13" x14ac:dyDescent="0.2">
      <c r="A32" s="51"/>
      <c r="B32" s="10"/>
      <c r="C32" s="10"/>
      <c r="D32" s="10"/>
      <c r="E32" s="10"/>
      <c r="F32" s="50"/>
      <c r="G32" s="10"/>
      <c r="H32" s="59"/>
      <c r="I32" s="59"/>
      <c r="J32" s="59"/>
      <c r="K32" s="59"/>
      <c r="L32" s="59"/>
      <c r="M32" s="62"/>
    </row>
    <row r="33" spans="1:13" x14ac:dyDescent="0.2">
      <c r="A33" s="51"/>
      <c r="B33" s="10"/>
      <c r="C33" s="10"/>
      <c r="D33" s="10"/>
      <c r="E33" s="10"/>
      <c r="F33" s="50"/>
      <c r="G33" s="10"/>
      <c r="H33" s="59"/>
      <c r="I33" s="59"/>
      <c r="J33" s="59"/>
      <c r="K33" s="59"/>
      <c r="L33" s="59"/>
      <c r="M33" s="62"/>
    </row>
    <row r="34" spans="1:13" x14ac:dyDescent="0.2">
      <c r="A34" s="51"/>
      <c r="B34" s="10"/>
      <c r="C34" s="10"/>
      <c r="D34" s="10"/>
      <c r="E34" s="10"/>
      <c r="F34" s="50"/>
      <c r="G34" s="10"/>
      <c r="H34" s="59"/>
      <c r="I34" s="59"/>
      <c r="J34" s="59"/>
      <c r="K34" s="59"/>
      <c r="L34" s="59"/>
      <c r="M34" s="62"/>
    </row>
    <row r="35" spans="1:13" x14ac:dyDescent="0.2">
      <c r="A35" s="51"/>
      <c r="B35" s="10"/>
      <c r="C35" s="10"/>
      <c r="D35" s="10"/>
      <c r="E35" s="10"/>
      <c r="F35" s="50"/>
      <c r="G35" s="10"/>
      <c r="H35" s="59"/>
      <c r="I35" s="59"/>
      <c r="J35" s="59"/>
      <c r="K35" s="59"/>
      <c r="L35" s="59"/>
      <c r="M35" s="62"/>
    </row>
    <row r="36" spans="1:13" x14ac:dyDescent="0.2">
      <c r="A36" s="51"/>
      <c r="B36" s="10"/>
      <c r="C36" s="10"/>
      <c r="D36" s="10"/>
      <c r="E36" s="10"/>
      <c r="F36" s="50"/>
      <c r="G36" s="10"/>
      <c r="H36" s="59"/>
      <c r="I36" s="59"/>
      <c r="J36" s="59"/>
      <c r="K36" s="59"/>
      <c r="L36" s="59"/>
      <c r="M36" s="62"/>
    </row>
    <row r="37" spans="1:13" x14ac:dyDescent="0.2">
      <c r="A37" s="51"/>
      <c r="B37" s="10"/>
      <c r="C37" s="10"/>
      <c r="D37" s="10"/>
      <c r="E37" s="10"/>
      <c r="F37" s="50"/>
      <c r="G37" s="10"/>
      <c r="H37" s="59"/>
      <c r="I37" s="59"/>
      <c r="J37" s="59"/>
      <c r="K37" s="59"/>
      <c r="L37" s="59"/>
      <c r="M37" s="62"/>
    </row>
    <row r="38" spans="1:13" x14ac:dyDescent="0.2">
      <c r="A38" s="51"/>
      <c r="B38" s="10"/>
      <c r="C38" s="10"/>
      <c r="D38" s="10"/>
      <c r="E38" s="10"/>
      <c r="F38" s="50"/>
      <c r="G38" s="10"/>
      <c r="H38" s="59"/>
      <c r="I38" s="59"/>
      <c r="J38" s="59"/>
      <c r="K38" s="59"/>
      <c r="L38" s="59"/>
      <c r="M38" s="62"/>
    </row>
    <row r="39" spans="1:13" x14ac:dyDescent="0.2">
      <c r="A39" s="51"/>
      <c r="B39" s="10"/>
      <c r="C39" s="10"/>
      <c r="D39" s="10"/>
      <c r="E39" s="10"/>
      <c r="F39" s="50"/>
      <c r="G39" s="10"/>
      <c r="H39" s="59"/>
      <c r="I39" s="59"/>
      <c r="J39" s="59"/>
      <c r="K39" s="59"/>
      <c r="L39" s="59"/>
      <c r="M39" s="62"/>
    </row>
    <row r="40" spans="1:13" x14ac:dyDescent="0.2">
      <c r="A40" s="51"/>
      <c r="B40" s="10"/>
      <c r="C40" s="10"/>
      <c r="D40" s="10"/>
      <c r="E40" s="10"/>
      <c r="F40" s="50"/>
      <c r="G40" s="10"/>
      <c r="H40" s="59"/>
      <c r="I40" s="59"/>
      <c r="J40" s="59"/>
      <c r="K40" s="59"/>
      <c r="L40" s="59"/>
      <c r="M40" s="62"/>
    </row>
    <row r="41" spans="1:13" x14ac:dyDescent="0.2">
      <c r="A41" s="51"/>
      <c r="B41" s="10"/>
      <c r="C41" s="10"/>
      <c r="D41" s="10"/>
      <c r="E41" s="10"/>
      <c r="F41" s="50"/>
      <c r="G41" s="10"/>
      <c r="H41" s="59"/>
      <c r="I41" s="59"/>
      <c r="J41" s="59"/>
      <c r="K41" s="59"/>
      <c r="L41" s="59"/>
      <c r="M41" s="62"/>
    </row>
    <row r="42" spans="1:13" x14ac:dyDescent="0.2">
      <c r="A42" s="51"/>
      <c r="B42" s="10"/>
      <c r="C42" s="10"/>
      <c r="D42" s="10"/>
      <c r="E42" s="10"/>
      <c r="F42" s="50"/>
      <c r="G42" s="10"/>
      <c r="H42" s="59"/>
      <c r="I42" s="59"/>
      <c r="J42" s="59"/>
      <c r="K42" s="59"/>
      <c r="L42" s="59"/>
      <c r="M42" s="62"/>
    </row>
    <row r="43" spans="1:13" x14ac:dyDescent="0.2">
      <c r="A43" s="51"/>
      <c r="B43" s="10"/>
      <c r="C43" s="10"/>
      <c r="D43" s="10"/>
      <c r="E43" s="10"/>
      <c r="F43" s="50"/>
      <c r="G43" s="10"/>
      <c r="H43" s="59"/>
      <c r="I43" s="59"/>
      <c r="J43" s="59"/>
      <c r="K43" s="59"/>
      <c r="L43" s="59"/>
      <c r="M43" s="62"/>
    </row>
    <row r="44" spans="1:13" x14ac:dyDescent="0.2">
      <c r="A44" s="51"/>
      <c r="B44" s="10"/>
      <c r="C44" s="10"/>
      <c r="D44" s="10"/>
      <c r="E44" s="10"/>
      <c r="F44" s="50"/>
      <c r="G44" s="10"/>
      <c r="H44" s="59"/>
      <c r="I44" s="59"/>
      <c r="J44" s="59"/>
      <c r="K44" s="59"/>
      <c r="L44" s="59"/>
      <c r="M44" s="62"/>
    </row>
    <row r="45" spans="1:13" x14ac:dyDescent="0.2">
      <c r="A45" s="51"/>
      <c r="B45" s="10"/>
      <c r="C45" s="10"/>
      <c r="D45" s="10"/>
      <c r="E45" s="10"/>
      <c r="F45" s="50"/>
      <c r="G45" s="10"/>
      <c r="H45" s="59"/>
      <c r="I45" s="59"/>
      <c r="J45" s="59"/>
      <c r="K45" s="59"/>
      <c r="L45" s="59"/>
      <c r="M45" s="62"/>
    </row>
    <row r="46" spans="1:13" x14ac:dyDescent="0.2">
      <c r="A46" s="51"/>
      <c r="B46" s="10"/>
      <c r="C46" s="10"/>
      <c r="D46" s="10"/>
      <c r="E46" s="10"/>
      <c r="F46" s="50"/>
      <c r="G46" s="10"/>
      <c r="H46" s="59"/>
      <c r="I46" s="59"/>
      <c r="J46" s="59"/>
      <c r="K46" s="59"/>
      <c r="L46" s="59"/>
      <c r="M46" s="62"/>
    </row>
    <row r="47" spans="1:13" x14ac:dyDescent="0.2">
      <c r="A47" s="51"/>
      <c r="B47" s="10"/>
      <c r="C47" s="10"/>
      <c r="D47" s="10"/>
      <c r="E47" s="10"/>
      <c r="F47" s="50"/>
      <c r="G47" s="10"/>
      <c r="H47" s="59"/>
      <c r="I47" s="59"/>
      <c r="J47" s="59"/>
      <c r="K47" s="59"/>
      <c r="L47" s="59"/>
      <c r="M47" s="62"/>
    </row>
    <row r="48" spans="1:13" x14ac:dyDescent="0.2">
      <c r="A48" s="51"/>
      <c r="B48" s="10"/>
      <c r="C48" s="10"/>
      <c r="D48" s="10"/>
      <c r="E48" s="10"/>
      <c r="F48" s="50"/>
      <c r="G48" s="10"/>
      <c r="H48" s="59"/>
      <c r="I48" s="59"/>
      <c r="J48" s="59"/>
      <c r="K48" s="59"/>
      <c r="L48" s="59"/>
      <c r="M48" s="62"/>
    </row>
    <row r="49" spans="1:13" x14ac:dyDescent="0.2">
      <c r="A49" s="51"/>
      <c r="B49" s="10"/>
      <c r="C49" s="10"/>
      <c r="D49" s="10"/>
      <c r="E49" s="10"/>
      <c r="F49" s="50"/>
      <c r="G49" s="10"/>
      <c r="H49" s="59"/>
      <c r="I49" s="59"/>
      <c r="J49" s="59"/>
      <c r="K49" s="59"/>
      <c r="L49" s="59"/>
      <c r="M49" s="62"/>
    </row>
    <row r="50" spans="1:13" x14ac:dyDescent="0.2">
      <c r="A50" s="51"/>
      <c r="B50" s="10"/>
      <c r="C50" s="10"/>
      <c r="D50" s="10"/>
      <c r="E50" s="10"/>
      <c r="F50" s="50"/>
      <c r="G50" s="10"/>
      <c r="H50" s="59"/>
      <c r="I50" s="59"/>
      <c r="J50" s="59"/>
      <c r="K50" s="59"/>
      <c r="L50" s="59"/>
      <c r="M50" s="62"/>
    </row>
    <row r="51" spans="1:13" x14ac:dyDescent="0.2">
      <c r="A51" s="51"/>
      <c r="B51" s="10"/>
      <c r="C51" s="10"/>
      <c r="D51" s="10"/>
      <c r="E51" s="10"/>
      <c r="F51" s="50"/>
      <c r="G51" s="10"/>
      <c r="H51" s="59"/>
      <c r="I51" s="59"/>
      <c r="J51" s="59"/>
      <c r="K51" s="59"/>
      <c r="L51" s="59"/>
      <c r="M51" s="62"/>
    </row>
    <row r="52" spans="1:13" x14ac:dyDescent="0.2">
      <c r="A52" s="51"/>
      <c r="B52" s="10"/>
      <c r="C52" s="10"/>
      <c r="D52" s="10"/>
      <c r="E52" s="10"/>
      <c r="F52" s="50"/>
      <c r="G52" s="10"/>
      <c r="H52" s="59"/>
      <c r="I52" s="59"/>
      <c r="J52" s="59"/>
      <c r="K52" s="59"/>
      <c r="L52" s="59"/>
      <c r="M52" s="62"/>
    </row>
    <row r="53" spans="1:13" x14ac:dyDescent="0.2">
      <c r="A53" s="51"/>
      <c r="B53" s="10"/>
      <c r="C53" s="10"/>
      <c r="D53" s="10"/>
      <c r="E53" s="10"/>
      <c r="F53" s="50"/>
      <c r="G53" s="10"/>
      <c r="H53" s="59"/>
      <c r="I53" s="59"/>
      <c r="J53" s="59"/>
      <c r="K53" s="59"/>
      <c r="L53" s="59"/>
      <c r="M53" s="62"/>
    </row>
    <row r="54" spans="1:13" x14ac:dyDescent="0.2">
      <c r="A54" s="51"/>
      <c r="B54" s="10"/>
      <c r="C54" s="10"/>
      <c r="D54" s="10"/>
      <c r="E54" s="10"/>
      <c r="F54" s="50"/>
      <c r="G54" s="10"/>
      <c r="H54" s="59"/>
      <c r="I54" s="59"/>
      <c r="J54" s="59"/>
      <c r="K54" s="59"/>
      <c r="L54" s="59"/>
      <c r="M54" s="62"/>
    </row>
    <row r="55" spans="1:13" x14ac:dyDescent="0.2">
      <c r="A55" s="51"/>
      <c r="B55" s="10"/>
      <c r="C55" s="10"/>
      <c r="D55" s="10"/>
      <c r="E55" s="10"/>
      <c r="F55" s="50"/>
      <c r="G55" s="10"/>
      <c r="H55" s="59"/>
      <c r="I55" s="59"/>
      <c r="J55" s="59"/>
      <c r="K55" s="59"/>
      <c r="L55" s="59"/>
      <c r="M55" s="62"/>
    </row>
    <row r="56" spans="1:13" x14ac:dyDescent="0.2">
      <c r="A56" s="51"/>
      <c r="B56" s="10"/>
      <c r="C56" s="10"/>
      <c r="D56" s="10"/>
      <c r="E56" s="10"/>
      <c r="F56" s="50"/>
      <c r="G56" s="10"/>
      <c r="H56" s="59"/>
      <c r="I56" s="59"/>
      <c r="J56" s="59"/>
      <c r="K56" s="59"/>
      <c r="L56" s="59"/>
      <c r="M56" s="62"/>
    </row>
    <row r="57" spans="1:13" x14ac:dyDescent="0.2">
      <c r="A57" s="51"/>
      <c r="B57" s="10"/>
      <c r="C57" s="10"/>
      <c r="D57" s="10"/>
      <c r="E57" s="10"/>
      <c r="F57" s="50"/>
      <c r="G57" s="10"/>
      <c r="H57" s="59"/>
      <c r="I57" s="59"/>
      <c r="J57" s="59"/>
      <c r="K57" s="59"/>
      <c r="L57" s="59"/>
      <c r="M57" s="62"/>
    </row>
    <row r="58" spans="1:13" x14ac:dyDescent="0.2">
      <c r="A58" s="51"/>
      <c r="B58" s="10"/>
      <c r="C58" s="10"/>
      <c r="D58" s="10"/>
      <c r="E58" s="10"/>
      <c r="F58" s="50"/>
      <c r="G58" s="10"/>
      <c r="H58" s="59"/>
      <c r="I58" s="59"/>
      <c r="J58" s="59"/>
      <c r="K58" s="59"/>
      <c r="L58" s="59"/>
      <c r="M58" s="62"/>
    </row>
    <row r="59" spans="1:13" x14ac:dyDescent="0.2">
      <c r="A59" s="51"/>
      <c r="B59" s="10"/>
      <c r="C59" s="10"/>
      <c r="D59" s="10"/>
      <c r="E59" s="10"/>
      <c r="F59" s="50"/>
      <c r="G59" s="10"/>
      <c r="H59" s="59"/>
      <c r="I59" s="59"/>
      <c r="J59" s="59"/>
      <c r="K59" s="59"/>
      <c r="L59" s="59"/>
      <c r="M59" s="62"/>
    </row>
    <row r="60" spans="1:13" x14ac:dyDescent="0.2">
      <c r="A60" s="51"/>
      <c r="B60" s="10"/>
      <c r="C60" s="10"/>
      <c r="D60" s="10"/>
      <c r="E60" s="10"/>
      <c r="F60" s="50"/>
      <c r="G60" s="10"/>
      <c r="H60" s="59"/>
      <c r="I60" s="59"/>
      <c r="J60" s="59"/>
      <c r="K60" s="59"/>
      <c r="L60" s="59"/>
      <c r="M60" s="62"/>
    </row>
    <row r="61" spans="1:13" x14ac:dyDescent="0.2">
      <c r="A61" s="51"/>
      <c r="B61" s="10"/>
      <c r="C61" s="10"/>
      <c r="D61" s="10"/>
      <c r="E61" s="10"/>
      <c r="F61" s="50"/>
      <c r="G61" s="10"/>
      <c r="H61" s="59"/>
      <c r="I61" s="59"/>
      <c r="J61" s="59"/>
      <c r="K61" s="59"/>
      <c r="L61" s="59"/>
      <c r="M61" s="62"/>
    </row>
    <row r="62" spans="1:13" x14ac:dyDescent="0.2">
      <c r="A62" s="51"/>
      <c r="B62" s="10"/>
      <c r="C62" s="10"/>
      <c r="D62" s="10"/>
      <c r="E62" s="10"/>
      <c r="F62" s="50"/>
      <c r="G62" s="10"/>
      <c r="H62" s="59"/>
      <c r="I62" s="59"/>
      <c r="J62" s="59"/>
      <c r="K62" s="59"/>
      <c r="L62" s="59"/>
      <c r="M62" s="62"/>
    </row>
    <row r="63" spans="1:13" x14ac:dyDescent="0.2">
      <c r="A63" s="51"/>
      <c r="B63" s="10"/>
      <c r="C63" s="10"/>
      <c r="D63" s="10"/>
      <c r="E63" s="10"/>
      <c r="F63" s="50"/>
      <c r="G63" s="10"/>
      <c r="H63" s="59"/>
      <c r="I63" s="59"/>
      <c r="J63" s="59"/>
      <c r="K63" s="59"/>
      <c r="L63" s="59"/>
      <c r="M63" s="62"/>
    </row>
    <row r="64" spans="1:13" x14ac:dyDescent="0.2">
      <c r="A64" s="51"/>
      <c r="B64" s="10"/>
      <c r="C64" s="10"/>
      <c r="D64" s="10"/>
      <c r="E64" s="10"/>
      <c r="F64" s="50"/>
      <c r="G64" s="10"/>
      <c r="H64" s="59"/>
      <c r="I64" s="59"/>
      <c r="J64" s="59"/>
      <c r="K64" s="59"/>
      <c r="L64" s="59"/>
      <c r="M64" s="62"/>
    </row>
    <row r="65" spans="1:13" x14ac:dyDescent="0.2">
      <c r="A65" s="51"/>
      <c r="B65" s="10"/>
      <c r="C65" s="10"/>
      <c r="D65" s="10"/>
      <c r="E65" s="10"/>
      <c r="F65" s="50"/>
      <c r="G65" s="10"/>
      <c r="H65" s="59"/>
      <c r="I65" s="59"/>
      <c r="J65" s="59"/>
      <c r="K65" s="59"/>
      <c r="L65" s="59"/>
      <c r="M65" s="62"/>
    </row>
    <row r="66" spans="1:13" x14ac:dyDescent="0.2">
      <c r="A66" s="51"/>
      <c r="B66" s="10"/>
      <c r="C66" s="10"/>
      <c r="D66" s="10"/>
      <c r="E66" s="10"/>
      <c r="F66" s="50"/>
      <c r="G66" s="10"/>
      <c r="H66" s="59"/>
      <c r="I66" s="59"/>
      <c r="J66" s="59"/>
      <c r="K66" s="59"/>
      <c r="L66" s="59"/>
      <c r="M66" s="62"/>
    </row>
    <row r="67" spans="1:13" x14ac:dyDescent="0.2">
      <c r="A67" s="51"/>
      <c r="B67" s="10"/>
      <c r="C67" s="10"/>
      <c r="D67" s="10"/>
      <c r="E67" s="10"/>
      <c r="F67" s="50"/>
      <c r="G67" s="10"/>
      <c r="H67" s="59"/>
      <c r="I67" s="59"/>
      <c r="J67" s="59"/>
      <c r="K67" s="59"/>
      <c r="L67" s="59"/>
      <c r="M67" s="62"/>
    </row>
    <row r="68" spans="1:13" x14ac:dyDescent="0.2">
      <c r="A68" s="51"/>
      <c r="B68" s="10"/>
      <c r="C68" s="10"/>
      <c r="D68" s="10"/>
      <c r="E68" s="10"/>
      <c r="F68" s="50"/>
      <c r="G68" s="10"/>
      <c r="H68" s="59"/>
      <c r="I68" s="59"/>
      <c r="J68" s="59"/>
      <c r="K68" s="59"/>
      <c r="L68" s="59"/>
      <c r="M68" s="62"/>
    </row>
    <row r="69" spans="1:13" x14ac:dyDescent="0.2">
      <c r="A69" s="51"/>
      <c r="B69" s="10"/>
      <c r="C69" s="10"/>
      <c r="D69" s="10"/>
      <c r="E69" s="10"/>
      <c r="F69" s="50"/>
      <c r="G69" s="10"/>
      <c r="H69" s="59"/>
      <c r="I69" s="59"/>
      <c r="J69" s="59"/>
      <c r="K69" s="59"/>
      <c r="L69" s="59"/>
      <c r="M69" s="62"/>
    </row>
    <row r="70" spans="1:13" x14ac:dyDescent="0.2">
      <c r="A70" s="51"/>
      <c r="B70" s="10"/>
      <c r="C70" s="10"/>
      <c r="D70" s="10"/>
      <c r="E70" s="10"/>
      <c r="F70" s="50"/>
      <c r="G70" s="10"/>
      <c r="H70" s="59"/>
      <c r="I70" s="59"/>
      <c r="J70" s="59"/>
      <c r="K70" s="59"/>
      <c r="L70" s="59"/>
      <c r="M70" s="62"/>
    </row>
    <row r="71" spans="1:13" x14ac:dyDescent="0.2">
      <c r="A71" s="51"/>
      <c r="B71" s="10"/>
      <c r="C71" s="10"/>
      <c r="D71" s="10"/>
      <c r="E71" s="10"/>
      <c r="F71" s="50"/>
      <c r="G71" s="10"/>
      <c r="H71" s="59"/>
      <c r="I71" s="59"/>
      <c r="J71" s="59"/>
      <c r="K71" s="59"/>
      <c r="L71" s="59"/>
      <c r="M71" s="62"/>
    </row>
    <row r="72" spans="1:13" x14ac:dyDescent="0.2">
      <c r="A72" s="51"/>
      <c r="B72" s="10"/>
      <c r="C72" s="10"/>
      <c r="D72" s="10"/>
      <c r="E72" s="10"/>
      <c r="F72" s="50"/>
      <c r="G72" s="10"/>
      <c r="H72" s="59"/>
      <c r="I72" s="59"/>
      <c r="J72" s="59"/>
      <c r="K72" s="59"/>
      <c r="L72" s="59"/>
      <c r="M72" s="62"/>
    </row>
    <row r="73" spans="1:13" x14ac:dyDescent="0.2">
      <c r="A73" s="51"/>
      <c r="B73" s="10"/>
      <c r="C73" s="10"/>
      <c r="D73" s="10"/>
      <c r="E73" s="10"/>
      <c r="F73" s="50"/>
      <c r="G73" s="10"/>
      <c r="H73" s="59"/>
      <c r="I73" s="59"/>
      <c r="J73" s="59"/>
      <c r="K73" s="59"/>
      <c r="L73" s="59"/>
      <c r="M73" s="62"/>
    </row>
    <row r="74" spans="1:13" x14ac:dyDescent="0.2">
      <c r="A74" s="51"/>
      <c r="B74" s="10"/>
      <c r="C74" s="10"/>
      <c r="D74" s="10"/>
      <c r="E74" s="10"/>
      <c r="F74" s="50"/>
      <c r="G74" s="10"/>
      <c r="H74" s="59"/>
      <c r="I74" s="59"/>
      <c r="J74" s="59"/>
      <c r="K74" s="59"/>
      <c r="L74" s="59"/>
      <c r="M74" s="62"/>
    </row>
    <row r="75" spans="1:13" x14ac:dyDescent="0.2">
      <c r="A75" s="51"/>
      <c r="B75" s="10"/>
      <c r="C75" s="10"/>
      <c r="D75" s="10"/>
      <c r="E75" s="10"/>
      <c r="F75" s="50"/>
      <c r="G75" s="10"/>
      <c r="H75" s="59"/>
      <c r="I75" s="59"/>
      <c r="J75" s="59"/>
      <c r="K75" s="59"/>
      <c r="L75" s="59"/>
      <c r="M75" s="62"/>
    </row>
    <row r="76" spans="1:13" x14ac:dyDescent="0.2">
      <c r="A76" s="51"/>
      <c r="B76" s="10"/>
      <c r="C76" s="10"/>
      <c r="D76" s="10"/>
      <c r="E76" s="10"/>
      <c r="F76" s="50"/>
      <c r="G76" s="10"/>
      <c r="H76" s="59"/>
      <c r="I76" s="59"/>
      <c r="J76" s="59"/>
      <c r="K76" s="59"/>
      <c r="L76" s="59"/>
      <c r="M76" s="62"/>
    </row>
    <row r="77" spans="1:13" x14ac:dyDescent="0.2">
      <c r="A77" s="51"/>
      <c r="B77" s="10"/>
      <c r="C77" s="10"/>
      <c r="D77" s="10"/>
      <c r="E77" s="10"/>
      <c r="F77" s="50"/>
      <c r="G77" s="10"/>
      <c r="H77" s="59"/>
      <c r="I77" s="59"/>
      <c r="J77" s="59"/>
      <c r="K77" s="59"/>
      <c r="L77" s="59"/>
      <c r="M77" s="62"/>
    </row>
    <row r="78" spans="1:13" x14ac:dyDescent="0.2">
      <c r="A78" s="51"/>
      <c r="B78" s="10"/>
      <c r="C78" s="10"/>
      <c r="D78" s="10"/>
      <c r="E78" s="10"/>
      <c r="F78" s="50"/>
      <c r="G78" s="10"/>
      <c r="H78" s="59"/>
      <c r="I78" s="59"/>
      <c r="J78" s="59"/>
      <c r="K78" s="59"/>
      <c r="L78" s="59"/>
      <c r="M78" s="62"/>
    </row>
    <row r="79" spans="1:13" x14ac:dyDescent="0.2">
      <c r="A79" s="51"/>
      <c r="B79" s="10"/>
      <c r="C79" s="10"/>
      <c r="D79" s="10"/>
      <c r="E79" s="10"/>
      <c r="F79" s="50"/>
      <c r="G79" s="10"/>
      <c r="H79" s="59"/>
      <c r="I79" s="59"/>
      <c r="J79" s="59"/>
      <c r="K79" s="59"/>
      <c r="L79" s="59"/>
      <c r="M79" s="62"/>
    </row>
    <row r="80" spans="1:13" x14ac:dyDescent="0.2">
      <c r="A80" s="51"/>
      <c r="B80" s="10"/>
      <c r="C80" s="10"/>
      <c r="D80" s="10"/>
      <c r="E80" s="10"/>
      <c r="F80" s="50"/>
      <c r="G80" s="10"/>
      <c r="H80" s="59"/>
      <c r="I80" s="59"/>
      <c r="J80" s="59"/>
      <c r="K80" s="59"/>
      <c r="L80" s="59"/>
      <c r="M80" s="62"/>
    </row>
    <row r="81" spans="1:13" x14ac:dyDescent="0.2">
      <c r="A81" s="51"/>
      <c r="B81" s="10"/>
      <c r="C81" s="10"/>
      <c r="D81" s="10"/>
      <c r="E81" s="10"/>
      <c r="F81" s="50"/>
      <c r="G81" s="10"/>
      <c r="H81" s="59"/>
      <c r="I81" s="59"/>
      <c r="J81" s="59"/>
      <c r="K81" s="59"/>
      <c r="L81" s="59"/>
      <c r="M81" s="62"/>
    </row>
    <row r="82" spans="1:13" x14ac:dyDescent="0.2">
      <c r="A82" s="51"/>
      <c r="B82" s="10"/>
      <c r="C82" s="10"/>
      <c r="D82" s="10"/>
      <c r="E82" s="10"/>
      <c r="F82" s="50"/>
      <c r="G82" s="10"/>
      <c r="H82" s="59"/>
      <c r="I82" s="59"/>
      <c r="J82" s="59"/>
      <c r="K82" s="59"/>
      <c r="L82" s="59"/>
      <c r="M82" s="62"/>
    </row>
    <row r="83" spans="1:13" x14ac:dyDescent="0.2">
      <c r="A83" s="51"/>
      <c r="B83" s="10"/>
      <c r="C83" s="10"/>
      <c r="D83" s="10"/>
      <c r="E83" s="10"/>
      <c r="F83" s="50"/>
      <c r="G83" s="10"/>
      <c r="H83" s="59"/>
      <c r="I83" s="59"/>
      <c r="J83" s="59"/>
      <c r="K83" s="59"/>
      <c r="L83" s="59"/>
      <c r="M83" s="62"/>
    </row>
    <row r="84" spans="1:13" x14ac:dyDescent="0.2">
      <c r="A84" s="51"/>
      <c r="B84" s="10"/>
      <c r="C84" s="10"/>
      <c r="D84" s="10"/>
      <c r="E84" s="10"/>
      <c r="F84" s="50"/>
      <c r="G84" s="10"/>
      <c r="H84" s="59"/>
      <c r="I84" s="59"/>
      <c r="J84" s="59"/>
      <c r="K84" s="59"/>
      <c r="L84" s="59"/>
      <c r="M84" s="62"/>
    </row>
    <row r="85" spans="1:13" x14ac:dyDescent="0.2">
      <c r="A85" s="51"/>
      <c r="B85" s="10"/>
      <c r="C85" s="10"/>
      <c r="D85" s="10"/>
      <c r="E85" s="10"/>
      <c r="F85" s="50"/>
      <c r="G85" s="10"/>
      <c r="H85" s="59"/>
      <c r="I85" s="59"/>
      <c r="J85" s="59"/>
      <c r="K85" s="59"/>
      <c r="L85" s="59"/>
      <c r="M85" s="62"/>
    </row>
    <row r="86" spans="1:13" x14ac:dyDescent="0.2">
      <c r="A86" s="51"/>
      <c r="B86" s="10"/>
      <c r="C86" s="10"/>
      <c r="D86" s="10"/>
      <c r="E86" s="10"/>
      <c r="F86" s="50"/>
      <c r="G86" s="10"/>
      <c r="H86" s="59"/>
      <c r="I86" s="59"/>
      <c r="J86" s="59"/>
      <c r="K86" s="59"/>
      <c r="L86" s="59"/>
      <c r="M86" s="62"/>
    </row>
    <row r="87" spans="1:13" x14ac:dyDescent="0.2">
      <c r="A87" s="51"/>
      <c r="B87" s="10"/>
      <c r="C87" s="10"/>
      <c r="D87" s="10"/>
      <c r="E87" s="10"/>
      <c r="F87" s="50"/>
      <c r="G87" s="10"/>
      <c r="H87" s="59"/>
      <c r="I87" s="59"/>
      <c r="J87" s="59"/>
      <c r="K87" s="59"/>
      <c r="L87" s="59"/>
      <c r="M87" s="62"/>
    </row>
    <row r="88" spans="1:13" x14ac:dyDescent="0.2">
      <c r="A88" s="51"/>
      <c r="B88" s="10"/>
      <c r="C88" s="10"/>
      <c r="D88" s="10"/>
      <c r="E88" s="10"/>
      <c r="F88" s="50"/>
      <c r="G88" s="10"/>
      <c r="H88" s="59"/>
      <c r="I88" s="59"/>
      <c r="J88" s="59"/>
      <c r="K88" s="59"/>
      <c r="L88" s="59"/>
      <c r="M88" s="62"/>
    </row>
    <row r="89" spans="1:13" x14ac:dyDescent="0.2">
      <c r="A89" s="51"/>
      <c r="B89" s="10"/>
      <c r="C89" s="10"/>
      <c r="D89" s="10"/>
      <c r="E89" s="10"/>
      <c r="F89" s="50"/>
      <c r="G89" s="10"/>
      <c r="H89" s="59"/>
      <c r="I89" s="59"/>
      <c r="J89" s="59"/>
      <c r="K89" s="59"/>
      <c r="L89" s="59"/>
      <c r="M89" s="62"/>
    </row>
    <row r="90" spans="1:13" x14ac:dyDescent="0.2">
      <c r="A90" s="51"/>
      <c r="B90" s="10"/>
      <c r="C90" s="10"/>
      <c r="D90" s="10"/>
      <c r="E90" s="10"/>
      <c r="F90" s="50"/>
      <c r="G90" s="10"/>
      <c r="H90" s="59"/>
      <c r="I90" s="59"/>
      <c r="J90" s="59"/>
      <c r="K90" s="59"/>
      <c r="L90" s="59"/>
      <c r="M90" s="62"/>
    </row>
    <row r="91" spans="1:13" x14ac:dyDescent="0.2">
      <c r="A91" s="51"/>
      <c r="B91" s="10"/>
      <c r="C91" s="10"/>
      <c r="D91" s="10"/>
      <c r="E91" s="10"/>
      <c r="F91" s="50"/>
      <c r="G91" s="10"/>
      <c r="H91" s="59"/>
      <c r="I91" s="59"/>
      <c r="J91" s="59"/>
      <c r="K91" s="59"/>
      <c r="L91" s="59"/>
      <c r="M91" s="62"/>
    </row>
    <row r="92" spans="1:13" x14ac:dyDescent="0.2">
      <c r="A92" s="51"/>
      <c r="B92" s="10"/>
      <c r="C92" s="10"/>
      <c r="D92" s="10"/>
      <c r="E92" s="10"/>
      <c r="F92" s="50"/>
      <c r="G92" s="10"/>
      <c r="H92" s="59"/>
      <c r="I92" s="59"/>
      <c r="J92" s="59"/>
      <c r="K92" s="59"/>
      <c r="L92" s="59"/>
      <c r="M92" s="62"/>
    </row>
    <row r="93" spans="1:13" x14ac:dyDescent="0.2">
      <c r="A93" s="51"/>
      <c r="B93" s="10"/>
      <c r="C93" s="10"/>
      <c r="D93" s="10"/>
      <c r="E93" s="10"/>
      <c r="F93" s="50"/>
      <c r="G93" s="10"/>
      <c r="H93" s="59"/>
      <c r="I93" s="59"/>
      <c r="J93" s="59"/>
      <c r="K93" s="59"/>
      <c r="L93" s="59"/>
      <c r="M93" s="62"/>
    </row>
    <row r="94" spans="1:13" x14ac:dyDescent="0.2">
      <c r="A94" s="51"/>
      <c r="B94" s="10"/>
      <c r="C94" s="10"/>
      <c r="D94" s="10"/>
      <c r="E94" s="10"/>
      <c r="F94" s="50"/>
      <c r="G94" s="10"/>
      <c r="H94" s="59"/>
      <c r="I94" s="59"/>
      <c r="J94" s="59"/>
      <c r="K94" s="59"/>
      <c r="L94" s="59"/>
      <c r="M94" s="62"/>
    </row>
    <row r="95" spans="1:13" x14ac:dyDescent="0.2">
      <c r="A95" s="51"/>
      <c r="B95" s="10"/>
      <c r="C95" s="10"/>
      <c r="D95" s="10"/>
      <c r="E95" s="10"/>
      <c r="F95" s="50"/>
      <c r="G95" s="10"/>
      <c r="H95" s="59"/>
      <c r="I95" s="59"/>
      <c r="J95" s="59"/>
      <c r="K95" s="59"/>
      <c r="L95" s="59"/>
      <c r="M95" s="62"/>
    </row>
    <row r="96" spans="1:13" x14ac:dyDescent="0.2">
      <c r="A96" s="51"/>
      <c r="B96" s="10"/>
      <c r="C96" s="10"/>
      <c r="D96" s="10"/>
      <c r="E96" s="10"/>
      <c r="F96" s="50"/>
      <c r="G96" s="10"/>
      <c r="H96" s="59"/>
      <c r="I96" s="59"/>
      <c r="J96" s="59"/>
      <c r="K96" s="59"/>
      <c r="L96" s="59"/>
      <c r="M96" s="62"/>
    </row>
    <row r="97" spans="1:13" x14ac:dyDescent="0.2">
      <c r="A97" s="51"/>
      <c r="B97" s="10"/>
      <c r="C97" s="10"/>
      <c r="D97" s="10"/>
      <c r="E97" s="10"/>
      <c r="F97" s="50"/>
      <c r="G97" s="10"/>
      <c r="H97" s="59"/>
      <c r="I97" s="59"/>
      <c r="J97" s="59"/>
      <c r="K97" s="59"/>
      <c r="L97" s="59"/>
      <c r="M97" s="62"/>
    </row>
    <row r="98" spans="1:13" x14ac:dyDescent="0.2">
      <c r="A98" s="51"/>
      <c r="B98" s="10"/>
      <c r="C98" s="10"/>
      <c r="D98" s="10"/>
      <c r="E98" s="10"/>
      <c r="F98" s="50"/>
      <c r="G98" s="10"/>
      <c r="H98" s="59"/>
      <c r="I98" s="59"/>
      <c r="J98" s="59"/>
      <c r="K98" s="59"/>
      <c r="L98" s="59"/>
      <c r="M98" s="62"/>
    </row>
    <row r="99" spans="1:13" x14ac:dyDescent="0.2">
      <c r="A99" s="51"/>
      <c r="B99" s="10"/>
      <c r="C99" s="10"/>
      <c r="D99" s="10"/>
      <c r="E99" s="10"/>
      <c r="F99" s="50"/>
      <c r="G99" s="10"/>
      <c r="H99" s="59"/>
      <c r="I99" s="59"/>
      <c r="J99" s="59"/>
      <c r="K99" s="59"/>
      <c r="L99" s="59"/>
      <c r="M99" s="62"/>
    </row>
    <row r="100" spans="1:13" x14ac:dyDescent="0.2">
      <c r="A100" s="51"/>
      <c r="B100" s="10"/>
      <c r="C100" s="10"/>
      <c r="D100" s="10"/>
      <c r="E100" s="10"/>
      <c r="F100" s="50"/>
      <c r="G100" s="10"/>
      <c r="H100" s="59"/>
      <c r="I100" s="59"/>
      <c r="J100" s="59"/>
      <c r="K100" s="59"/>
      <c r="L100" s="59"/>
      <c r="M100" s="62"/>
    </row>
    <row r="101" spans="1:13" x14ac:dyDescent="0.2">
      <c r="A101" s="51"/>
      <c r="B101" s="10"/>
      <c r="C101" s="10"/>
      <c r="D101" s="10"/>
      <c r="E101" s="10"/>
      <c r="F101" s="50"/>
      <c r="G101" s="10"/>
      <c r="H101" s="59"/>
      <c r="I101" s="59"/>
      <c r="J101" s="59"/>
      <c r="K101" s="59"/>
      <c r="L101" s="59"/>
      <c r="M101" s="62"/>
    </row>
    <row r="102" spans="1:13" x14ac:dyDescent="0.2">
      <c r="A102" s="51"/>
      <c r="B102" s="10"/>
      <c r="C102" s="10"/>
      <c r="D102" s="10"/>
      <c r="E102" s="10"/>
      <c r="F102" s="50"/>
      <c r="G102" s="10"/>
      <c r="H102" s="59"/>
      <c r="I102" s="59"/>
      <c r="J102" s="59"/>
      <c r="K102" s="59"/>
      <c r="L102" s="59"/>
      <c r="M102" s="62"/>
    </row>
    <row r="103" spans="1:13" x14ac:dyDescent="0.2">
      <c r="A103" s="51"/>
      <c r="B103" s="10"/>
      <c r="C103" s="10"/>
      <c r="D103" s="10"/>
      <c r="E103" s="10"/>
      <c r="F103" s="50"/>
      <c r="G103" s="10"/>
      <c r="H103" s="59"/>
      <c r="I103" s="59"/>
      <c r="J103" s="59"/>
      <c r="K103" s="59"/>
      <c r="L103" s="59"/>
      <c r="M103" s="62"/>
    </row>
    <row r="104" spans="1:13" x14ac:dyDescent="0.2">
      <c r="A104" s="51"/>
      <c r="B104" s="10"/>
      <c r="C104" s="10"/>
      <c r="D104" s="10"/>
      <c r="E104" s="10"/>
      <c r="F104" s="50"/>
      <c r="G104" s="10"/>
      <c r="H104" s="59"/>
      <c r="I104" s="59"/>
      <c r="J104" s="59"/>
      <c r="K104" s="59"/>
      <c r="L104" s="59"/>
      <c r="M104" s="62"/>
    </row>
    <row r="105" spans="1:13" x14ac:dyDescent="0.2">
      <c r="A105" s="51"/>
      <c r="B105" s="10"/>
      <c r="C105" s="10"/>
      <c r="D105" s="10"/>
      <c r="E105" s="10"/>
      <c r="F105" s="50"/>
      <c r="G105" s="10"/>
      <c r="H105" s="59"/>
      <c r="I105" s="59"/>
      <c r="J105" s="59"/>
      <c r="K105" s="59"/>
      <c r="L105" s="59"/>
      <c r="M105" s="62"/>
    </row>
    <row r="106" spans="1:13" x14ac:dyDescent="0.2">
      <c r="A106" s="51"/>
      <c r="B106" s="10"/>
      <c r="C106" s="10"/>
      <c r="D106" s="10"/>
      <c r="E106" s="10"/>
      <c r="F106" s="50"/>
      <c r="G106" s="10"/>
      <c r="H106" s="59"/>
      <c r="I106" s="59"/>
      <c r="J106" s="59"/>
      <c r="K106" s="59"/>
      <c r="L106" s="59"/>
      <c r="M106" s="62"/>
    </row>
    <row r="107" spans="1:13" x14ac:dyDescent="0.2">
      <c r="A107" s="51"/>
      <c r="B107" s="10"/>
      <c r="C107" s="10"/>
      <c r="D107" s="10"/>
      <c r="E107" s="10"/>
      <c r="F107" s="50"/>
      <c r="G107" s="10"/>
      <c r="H107" s="59"/>
      <c r="I107" s="59"/>
      <c r="J107" s="59"/>
      <c r="K107" s="59"/>
      <c r="L107" s="59"/>
      <c r="M107" s="62"/>
    </row>
    <row r="108" spans="1:13" x14ac:dyDescent="0.2">
      <c r="A108" s="51"/>
      <c r="B108" s="10"/>
      <c r="C108" s="10"/>
      <c r="D108" s="10"/>
      <c r="E108" s="10"/>
      <c r="F108" s="50"/>
      <c r="G108" s="10"/>
      <c r="H108" s="59"/>
      <c r="I108" s="59"/>
      <c r="J108" s="59"/>
      <c r="K108" s="59"/>
      <c r="L108" s="59"/>
      <c r="M108" s="62"/>
    </row>
    <row r="109" spans="1:13" x14ac:dyDescent="0.2">
      <c r="A109" s="51"/>
      <c r="B109" s="10"/>
      <c r="C109" s="10"/>
      <c r="D109" s="10"/>
      <c r="E109" s="10"/>
      <c r="F109" s="50"/>
      <c r="G109" s="10"/>
      <c r="H109" s="59"/>
      <c r="I109" s="59"/>
      <c r="J109" s="59"/>
      <c r="K109" s="59"/>
      <c r="L109" s="59"/>
      <c r="M109" s="62"/>
    </row>
    <row r="110" spans="1:13" x14ac:dyDescent="0.2">
      <c r="A110" s="51"/>
      <c r="B110" s="10"/>
      <c r="C110" s="10"/>
      <c r="D110" s="10"/>
      <c r="E110" s="10"/>
      <c r="F110" s="50"/>
      <c r="G110" s="10"/>
      <c r="H110" s="59"/>
      <c r="I110" s="59"/>
      <c r="J110" s="59"/>
      <c r="K110" s="59"/>
      <c r="L110" s="59"/>
      <c r="M110" s="62"/>
    </row>
    <row r="111" spans="1:13" x14ac:dyDescent="0.2">
      <c r="A111" s="51"/>
      <c r="B111" s="10"/>
      <c r="C111" s="10"/>
      <c r="D111" s="10"/>
      <c r="E111" s="10"/>
      <c r="F111" s="50"/>
      <c r="G111" s="10"/>
      <c r="H111" s="59"/>
      <c r="I111" s="59"/>
      <c r="J111" s="59"/>
      <c r="K111" s="59"/>
      <c r="L111" s="59"/>
      <c r="M111" s="62"/>
    </row>
    <row r="112" spans="1:13" x14ac:dyDescent="0.2">
      <c r="A112" s="51"/>
      <c r="B112" s="10"/>
      <c r="C112" s="10"/>
      <c r="D112" s="10"/>
      <c r="E112" s="10"/>
      <c r="F112" s="50"/>
      <c r="G112" s="10"/>
      <c r="H112" s="59"/>
      <c r="I112" s="59"/>
      <c r="J112" s="59"/>
      <c r="K112" s="59"/>
      <c r="L112" s="59"/>
      <c r="M112" s="62"/>
    </row>
    <row r="113" spans="1:13" x14ac:dyDescent="0.2">
      <c r="A113" s="51"/>
      <c r="B113" s="10"/>
      <c r="C113" s="10"/>
      <c r="D113" s="10"/>
      <c r="E113" s="10"/>
      <c r="F113" s="50"/>
      <c r="G113" s="10"/>
      <c r="H113" s="59"/>
      <c r="I113" s="59"/>
      <c r="J113" s="59"/>
      <c r="K113" s="59"/>
      <c r="L113" s="59"/>
      <c r="M113" s="62"/>
    </row>
    <row r="114" spans="1:13" x14ac:dyDescent="0.2">
      <c r="A114" s="51"/>
      <c r="B114" s="10"/>
      <c r="C114" s="10"/>
      <c r="D114" s="10"/>
      <c r="E114" s="10"/>
      <c r="F114" s="50"/>
      <c r="G114" s="10"/>
      <c r="H114" s="59"/>
      <c r="I114" s="59"/>
      <c r="J114" s="59"/>
      <c r="K114" s="59"/>
      <c r="L114" s="59"/>
      <c r="M114" s="62"/>
    </row>
    <row r="115" spans="1:13" x14ac:dyDescent="0.2">
      <c r="A115" s="51"/>
      <c r="B115" s="10"/>
      <c r="C115" s="10"/>
      <c r="D115" s="10"/>
      <c r="E115" s="10"/>
      <c r="F115" s="50"/>
      <c r="G115" s="10"/>
      <c r="H115" s="59"/>
      <c r="I115" s="59"/>
      <c r="J115" s="59"/>
      <c r="K115" s="59"/>
      <c r="L115" s="59"/>
      <c r="M115" s="62"/>
    </row>
    <row r="116" spans="1:13" x14ac:dyDescent="0.2">
      <c r="A116" s="51"/>
      <c r="B116" s="10"/>
      <c r="C116" s="10"/>
      <c r="D116" s="10"/>
      <c r="E116" s="10"/>
      <c r="F116" s="50"/>
      <c r="G116" s="10"/>
      <c r="H116" s="59"/>
      <c r="I116" s="59"/>
      <c r="J116" s="59"/>
      <c r="K116" s="59"/>
      <c r="L116" s="59"/>
      <c r="M116" s="62"/>
    </row>
    <row r="117" spans="1:13" x14ac:dyDescent="0.2">
      <c r="A117" s="51"/>
      <c r="B117" s="10"/>
      <c r="C117" s="10"/>
      <c r="D117" s="10"/>
      <c r="E117" s="10"/>
      <c r="F117" s="50"/>
      <c r="G117" s="10"/>
      <c r="H117" s="59"/>
      <c r="I117" s="59"/>
      <c r="J117" s="59"/>
      <c r="K117" s="59"/>
      <c r="L117" s="59"/>
      <c r="M117" s="62"/>
    </row>
    <row r="118" spans="1:13" x14ac:dyDescent="0.2">
      <c r="A118" s="51"/>
      <c r="B118" s="10"/>
      <c r="C118" s="10"/>
      <c r="D118" s="10"/>
      <c r="E118" s="10"/>
      <c r="F118" s="50"/>
      <c r="G118" s="10"/>
      <c r="H118" s="59"/>
      <c r="I118" s="59"/>
      <c r="J118" s="59"/>
      <c r="K118" s="59"/>
      <c r="L118" s="59"/>
      <c r="M118" s="62"/>
    </row>
    <row r="119" spans="1:13" x14ac:dyDescent="0.2">
      <c r="A119" s="51"/>
      <c r="B119" s="10"/>
      <c r="C119" s="10"/>
      <c r="D119" s="10"/>
      <c r="E119" s="10"/>
      <c r="F119" s="50"/>
      <c r="G119" s="10"/>
      <c r="H119" s="59"/>
      <c r="I119" s="59"/>
      <c r="J119" s="59"/>
      <c r="K119" s="59"/>
      <c r="L119" s="59"/>
      <c r="M119" s="62"/>
    </row>
    <row r="120" spans="1:13" x14ac:dyDescent="0.2">
      <c r="A120" s="51"/>
      <c r="B120" s="10"/>
      <c r="C120" s="10"/>
      <c r="D120" s="10"/>
      <c r="E120" s="10"/>
      <c r="F120" s="50"/>
      <c r="G120" s="10"/>
      <c r="H120" s="59"/>
      <c r="I120" s="59"/>
      <c r="J120" s="59"/>
      <c r="K120" s="59"/>
      <c r="L120" s="59"/>
      <c r="M120" s="62"/>
    </row>
    <row r="121" spans="1:13" x14ac:dyDescent="0.2">
      <c r="A121" s="51"/>
      <c r="B121" s="10"/>
      <c r="C121" s="10"/>
      <c r="D121" s="10"/>
      <c r="E121" s="10"/>
      <c r="F121" s="50"/>
      <c r="G121" s="10"/>
      <c r="H121" s="59"/>
      <c r="I121" s="59"/>
      <c r="J121" s="59"/>
      <c r="K121" s="59"/>
      <c r="L121" s="59"/>
      <c r="M121" s="62"/>
    </row>
    <row r="122" spans="1:13" x14ac:dyDescent="0.2">
      <c r="A122" s="51"/>
      <c r="B122" s="10"/>
      <c r="C122" s="10"/>
      <c r="D122" s="10"/>
      <c r="E122" s="10"/>
      <c r="F122" s="50"/>
      <c r="G122" s="10"/>
      <c r="H122" s="59"/>
      <c r="I122" s="59"/>
      <c r="J122" s="59"/>
      <c r="K122" s="59"/>
      <c r="L122" s="59"/>
      <c r="M122" s="62"/>
    </row>
    <row r="123" spans="1:13" x14ac:dyDescent="0.2">
      <c r="A123" s="51"/>
      <c r="B123" s="10"/>
      <c r="C123" s="10"/>
      <c r="D123" s="10"/>
      <c r="E123" s="10"/>
      <c r="F123" s="50"/>
      <c r="G123" s="10"/>
      <c r="H123" s="59"/>
      <c r="I123" s="59"/>
      <c r="J123" s="59"/>
      <c r="K123" s="59"/>
      <c r="L123" s="59"/>
      <c r="M123" s="62"/>
    </row>
    <row r="124" spans="1:13" x14ac:dyDescent="0.2">
      <c r="A124" s="51"/>
      <c r="B124" s="10"/>
      <c r="C124" s="10"/>
      <c r="D124" s="10"/>
      <c r="E124" s="10"/>
      <c r="F124" s="50"/>
      <c r="G124" s="10"/>
      <c r="H124" s="59"/>
      <c r="I124" s="59"/>
      <c r="J124" s="59"/>
      <c r="K124" s="59"/>
      <c r="L124" s="59"/>
      <c r="M124" s="62"/>
    </row>
    <row r="125" spans="1:13" x14ac:dyDescent="0.2">
      <c r="A125" s="51"/>
      <c r="B125" s="10"/>
      <c r="C125" s="10"/>
      <c r="D125" s="10"/>
      <c r="E125" s="10"/>
      <c r="F125" s="50"/>
      <c r="G125" s="10"/>
      <c r="H125" s="59"/>
      <c r="I125" s="59"/>
      <c r="J125" s="59"/>
      <c r="K125" s="59"/>
      <c r="L125" s="59"/>
      <c r="M125" s="62"/>
    </row>
    <row r="126" spans="1:13" x14ac:dyDescent="0.2">
      <c r="A126" s="51"/>
      <c r="B126" s="10"/>
      <c r="C126" s="10"/>
      <c r="D126" s="10"/>
      <c r="E126" s="10"/>
      <c r="F126" s="50"/>
      <c r="G126" s="10"/>
      <c r="H126" s="59"/>
      <c r="I126" s="59"/>
      <c r="J126" s="59"/>
      <c r="K126" s="59"/>
      <c r="L126" s="59"/>
      <c r="M126" s="62"/>
    </row>
    <row r="127" spans="1:13" x14ac:dyDescent="0.2">
      <c r="A127" s="51"/>
      <c r="B127" s="10"/>
      <c r="C127" s="10"/>
      <c r="D127" s="10"/>
      <c r="E127" s="10"/>
      <c r="F127" s="50"/>
      <c r="G127" s="10"/>
      <c r="H127" s="59"/>
      <c r="I127" s="59"/>
      <c r="J127" s="59"/>
      <c r="K127" s="59"/>
      <c r="L127" s="59"/>
      <c r="M127" s="62"/>
    </row>
    <row r="128" spans="1:13" x14ac:dyDescent="0.2">
      <c r="A128" s="51"/>
      <c r="B128" s="10"/>
      <c r="C128" s="10"/>
      <c r="D128" s="10"/>
      <c r="E128" s="10"/>
      <c r="F128" s="50"/>
      <c r="G128" s="10"/>
      <c r="H128" s="59"/>
      <c r="I128" s="59"/>
      <c r="J128" s="59"/>
      <c r="K128" s="59"/>
      <c r="L128" s="59"/>
      <c r="M128" s="62"/>
    </row>
    <row r="129" spans="1:13" x14ac:dyDescent="0.2">
      <c r="A129" s="51"/>
      <c r="B129" s="10"/>
      <c r="C129" s="10"/>
      <c r="D129" s="10"/>
      <c r="E129" s="10"/>
      <c r="F129" s="50"/>
      <c r="G129" s="10"/>
      <c r="H129" s="59"/>
      <c r="I129" s="59"/>
      <c r="J129" s="59"/>
      <c r="K129" s="59"/>
      <c r="L129" s="59"/>
      <c r="M129" s="62"/>
    </row>
    <row r="130" spans="1:13" x14ac:dyDescent="0.2">
      <c r="A130" s="51"/>
      <c r="B130" s="10"/>
      <c r="C130" s="10"/>
      <c r="D130" s="10"/>
      <c r="E130" s="10"/>
      <c r="F130" s="50"/>
      <c r="G130" s="10"/>
      <c r="H130" s="59"/>
      <c r="I130" s="59"/>
      <c r="J130" s="59"/>
      <c r="K130" s="59"/>
      <c r="L130" s="59"/>
      <c r="M130" s="62"/>
    </row>
    <row r="131" spans="1:13" x14ac:dyDescent="0.2">
      <c r="A131" s="51"/>
      <c r="B131" s="10"/>
      <c r="C131" s="10"/>
      <c r="D131" s="10"/>
      <c r="E131" s="10"/>
      <c r="F131" s="50"/>
      <c r="G131" s="10"/>
      <c r="H131" s="59"/>
      <c r="I131" s="59"/>
      <c r="J131" s="59"/>
      <c r="K131" s="59"/>
      <c r="L131" s="59"/>
      <c r="M131" s="62"/>
    </row>
    <row r="132" spans="1:13" x14ac:dyDescent="0.2">
      <c r="A132" s="51"/>
      <c r="B132" s="10"/>
      <c r="C132" s="10"/>
      <c r="D132" s="10"/>
      <c r="E132" s="10"/>
      <c r="F132" s="50"/>
      <c r="G132" s="10"/>
      <c r="H132" s="59"/>
      <c r="I132" s="59"/>
      <c r="J132" s="59"/>
      <c r="K132" s="59"/>
      <c r="L132" s="59"/>
      <c r="M132" s="62"/>
    </row>
    <row r="133" spans="1:13" x14ac:dyDescent="0.2">
      <c r="A133" s="51"/>
      <c r="B133" s="10"/>
      <c r="C133" s="10"/>
      <c r="D133" s="10"/>
      <c r="E133" s="10"/>
      <c r="F133" s="50"/>
      <c r="G133" s="10"/>
      <c r="H133" s="59"/>
      <c r="I133" s="59"/>
      <c r="J133" s="59"/>
      <c r="K133" s="59"/>
      <c r="L133" s="59"/>
      <c r="M133" s="62"/>
    </row>
    <row r="134" spans="1:13" x14ac:dyDescent="0.2">
      <c r="A134" s="51"/>
      <c r="B134" s="10"/>
      <c r="C134" s="10"/>
      <c r="D134" s="10"/>
      <c r="E134" s="10"/>
      <c r="F134" s="50"/>
      <c r="G134" s="10"/>
      <c r="H134" s="59"/>
      <c r="I134" s="59"/>
      <c r="J134" s="59"/>
      <c r="K134" s="59"/>
      <c r="L134" s="59"/>
      <c r="M134" s="62"/>
    </row>
    <row r="135" spans="1:13" x14ac:dyDescent="0.2">
      <c r="A135" s="51"/>
      <c r="B135" s="10"/>
      <c r="C135" s="10"/>
      <c r="D135" s="10"/>
      <c r="E135" s="10"/>
      <c r="F135" s="50"/>
      <c r="G135" s="10"/>
      <c r="H135" s="59"/>
      <c r="I135" s="59"/>
      <c r="J135" s="59"/>
      <c r="K135" s="59"/>
      <c r="L135" s="59"/>
      <c r="M135" s="62"/>
    </row>
    <row r="136" spans="1:13" x14ac:dyDescent="0.2">
      <c r="A136" s="51"/>
      <c r="B136" s="10"/>
      <c r="C136" s="10"/>
      <c r="D136" s="10"/>
      <c r="E136" s="10"/>
      <c r="F136" s="50"/>
      <c r="G136" s="10"/>
      <c r="H136" s="59"/>
      <c r="I136" s="59"/>
      <c r="J136" s="59"/>
      <c r="K136" s="59"/>
      <c r="L136" s="59"/>
      <c r="M136" s="62"/>
    </row>
    <row r="137" spans="1:13" ht="13.5" thickBot="1" x14ac:dyDescent="0.25">
      <c r="A137" s="52"/>
      <c r="B137" s="53"/>
      <c r="C137" s="53"/>
      <c r="D137" s="53"/>
      <c r="E137" s="53"/>
      <c r="F137" s="54"/>
      <c r="G137" s="53"/>
      <c r="H137" s="60"/>
      <c r="I137" s="60"/>
      <c r="J137" s="60"/>
      <c r="K137" s="60"/>
      <c r="L137" s="60"/>
      <c r="M137" s="63"/>
    </row>
  </sheetData>
  <sortState xmlns:xlrd2="http://schemas.microsoft.com/office/spreadsheetml/2017/richdata2" ref="A2:M137">
    <sortCondition ref="A2:A137"/>
    <sortCondition descending="1" ref="M2:M137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4D8FE-D454-4C7A-8D3A-8BD290AEDDCC}">
  <sheetPr codeName="Sheet2"/>
  <dimension ref="A2:J58"/>
  <sheetViews>
    <sheetView workbookViewId="0">
      <selection activeCell="C8" sqref="C8:C9"/>
    </sheetView>
  </sheetViews>
  <sheetFormatPr defaultRowHeight="12.75" x14ac:dyDescent="0.2"/>
  <cols>
    <col min="1" max="1" width="10.109375" bestFit="1" customWidth="1"/>
    <col min="4" max="4" width="10" bestFit="1" customWidth="1"/>
    <col min="5" max="5" width="11" bestFit="1" customWidth="1"/>
    <col min="6" max="6" width="9.77734375" bestFit="1" customWidth="1"/>
    <col min="7" max="7" width="9.5546875" bestFit="1" customWidth="1"/>
    <col min="8" max="8" width="11.5546875" bestFit="1" customWidth="1"/>
    <col min="9" max="9" width="9.44140625" bestFit="1" customWidth="1"/>
    <col min="10" max="10" width="9.88671875" bestFit="1" customWidth="1"/>
  </cols>
  <sheetData>
    <row r="2" spans="1:10" x14ac:dyDescent="0.2">
      <c r="A2" t="s">
        <v>42</v>
      </c>
      <c r="B2" t="s">
        <v>55</v>
      </c>
      <c r="C2" t="s">
        <v>7</v>
      </c>
      <c r="D2" t="s">
        <v>51</v>
      </c>
      <c r="E2" t="s">
        <v>43</v>
      </c>
      <c r="F2" t="s">
        <v>44</v>
      </c>
      <c r="G2" t="s">
        <v>0</v>
      </c>
      <c r="H2" t="s">
        <v>46</v>
      </c>
      <c r="I2" t="s">
        <v>1</v>
      </c>
      <c r="J2" t="s">
        <v>45</v>
      </c>
    </row>
    <row r="3" spans="1:10" x14ac:dyDescent="0.2">
      <c r="A3" s="37">
        <v>44732</v>
      </c>
      <c r="B3" t="str">
        <f>+TEXT(A3,"MMMM")</f>
        <v>junio</v>
      </c>
      <c r="C3" s="65">
        <v>41201045</v>
      </c>
      <c r="D3" s="37" t="str">
        <f>+LEFT(C3,4)</f>
        <v>4120</v>
      </c>
      <c r="E3" s="37" t="s">
        <v>62</v>
      </c>
      <c r="F3" s="64">
        <v>1052</v>
      </c>
      <c r="G3" s="38" t="s">
        <v>49</v>
      </c>
      <c r="H3" s="64">
        <v>819142314</v>
      </c>
      <c r="I3" s="38">
        <v>6619103</v>
      </c>
      <c r="J3" s="64">
        <v>91052</v>
      </c>
    </row>
    <row r="4" spans="1:10" x14ac:dyDescent="0.2">
      <c r="A4" s="37">
        <v>44793</v>
      </c>
      <c r="B4" t="str">
        <f t="shared" ref="B4:B52" si="0">+TEXT(A4,"MMMM")</f>
        <v>agosto</v>
      </c>
      <c r="C4" s="65">
        <v>41151010</v>
      </c>
      <c r="D4" s="37" t="str">
        <f t="shared" ref="D4:D52" si="1">+LEFT(C4,4)</f>
        <v>4115</v>
      </c>
      <c r="E4" s="37" t="s">
        <v>63</v>
      </c>
      <c r="F4" s="64">
        <v>1061</v>
      </c>
      <c r="G4" s="38" t="s">
        <v>64</v>
      </c>
      <c r="H4" s="64">
        <v>813766767</v>
      </c>
      <c r="I4" s="38">
        <v>1929407</v>
      </c>
      <c r="J4" s="64">
        <v>91061</v>
      </c>
    </row>
    <row r="5" spans="1:10" x14ac:dyDescent="0.2">
      <c r="A5" s="37">
        <v>44925</v>
      </c>
      <c r="B5" t="str">
        <f t="shared" si="0"/>
        <v>diciembre</v>
      </c>
      <c r="C5" s="65">
        <v>41201045</v>
      </c>
      <c r="D5" s="37" t="str">
        <f t="shared" si="1"/>
        <v>4120</v>
      </c>
      <c r="E5" s="37" t="s">
        <v>47</v>
      </c>
      <c r="F5" s="64">
        <v>1083</v>
      </c>
      <c r="G5" s="38" t="s">
        <v>48</v>
      </c>
      <c r="H5" s="64">
        <v>899096237</v>
      </c>
      <c r="I5" s="38">
        <v>6685212</v>
      </c>
      <c r="J5" s="64">
        <v>91083</v>
      </c>
    </row>
    <row r="6" spans="1:10" x14ac:dyDescent="0.2">
      <c r="A6" s="37">
        <v>44674</v>
      </c>
      <c r="B6" t="str">
        <f t="shared" si="0"/>
        <v>abril</v>
      </c>
      <c r="C6" s="65">
        <v>41351001</v>
      </c>
      <c r="D6" s="37" t="str">
        <f t="shared" si="1"/>
        <v>4135</v>
      </c>
      <c r="E6" s="37" t="s">
        <v>65</v>
      </c>
      <c r="F6" s="64">
        <v>1051</v>
      </c>
      <c r="G6" s="38" t="s">
        <v>48</v>
      </c>
      <c r="H6" s="64">
        <v>899096237</v>
      </c>
      <c r="I6" s="38">
        <v>5019047</v>
      </c>
      <c r="J6" s="64">
        <v>91051</v>
      </c>
    </row>
    <row r="7" spans="1:10" x14ac:dyDescent="0.2">
      <c r="A7" s="37">
        <v>44638</v>
      </c>
      <c r="B7" t="str">
        <f t="shared" si="0"/>
        <v>marzo</v>
      </c>
      <c r="C7" s="65">
        <v>41351001</v>
      </c>
      <c r="D7" s="37" t="str">
        <f t="shared" si="1"/>
        <v>4135</v>
      </c>
      <c r="E7" s="37" t="s">
        <v>63</v>
      </c>
      <c r="F7" s="64">
        <v>1047</v>
      </c>
      <c r="G7" s="38" t="s">
        <v>66</v>
      </c>
      <c r="H7" s="64">
        <v>842052794</v>
      </c>
      <c r="I7" s="38">
        <v>8982217</v>
      </c>
      <c r="J7" s="64">
        <v>91047</v>
      </c>
    </row>
    <row r="8" spans="1:10" x14ac:dyDescent="0.2">
      <c r="A8" s="37">
        <v>44668</v>
      </c>
      <c r="B8" t="str">
        <f t="shared" si="0"/>
        <v>abril</v>
      </c>
      <c r="C8" s="65">
        <v>41353501</v>
      </c>
      <c r="D8" s="37" t="str">
        <f t="shared" si="1"/>
        <v>4135</v>
      </c>
      <c r="E8" s="37" t="s">
        <v>67</v>
      </c>
      <c r="F8" s="64">
        <v>1050</v>
      </c>
      <c r="G8" s="38" t="s">
        <v>64</v>
      </c>
      <c r="H8" s="64">
        <v>813766767</v>
      </c>
      <c r="I8" s="38">
        <v>1429973</v>
      </c>
      <c r="J8" s="64">
        <v>91050</v>
      </c>
    </row>
    <row r="9" spans="1:10" x14ac:dyDescent="0.2">
      <c r="A9" s="37">
        <v>44810</v>
      </c>
      <c r="B9" t="str">
        <f t="shared" si="0"/>
        <v>septiembre</v>
      </c>
      <c r="C9" s="65">
        <v>41351001</v>
      </c>
      <c r="D9" s="37" t="str">
        <f t="shared" si="1"/>
        <v>4135</v>
      </c>
      <c r="E9" s="37" t="s">
        <v>65</v>
      </c>
      <c r="F9" s="64">
        <v>1063</v>
      </c>
      <c r="G9" s="38" t="s">
        <v>48</v>
      </c>
      <c r="H9" s="64">
        <v>899096237</v>
      </c>
      <c r="I9" s="38">
        <v>6903849</v>
      </c>
      <c r="J9" s="64">
        <v>91063</v>
      </c>
    </row>
    <row r="10" spans="1:10" x14ac:dyDescent="0.2">
      <c r="A10" s="37">
        <v>44925</v>
      </c>
      <c r="B10" t="str">
        <f t="shared" si="0"/>
        <v>diciembre</v>
      </c>
      <c r="C10" s="65">
        <v>41351001</v>
      </c>
      <c r="D10" s="37" t="str">
        <f t="shared" si="1"/>
        <v>4135</v>
      </c>
      <c r="E10" s="37" t="s">
        <v>47</v>
      </c>
      <c r="F10" s="64">
        <v>1082</v>
      </c>
      <c r="G10" s="38" t="s">
        <v>49</v>
      </c>
      <c r="H10" s="64">
        <v>819142314</v>
      </c>
      <c r="I10" s="38">
        <v>7819265</v>
      </c>
      <c r="J10" s="64">
        <v>91082</v>
      </c>
    </row>
    <row r="11" spans="1:10" x14ac:dyDescent="0.2">
      <c r="A11" s="37">
        <v>44826</v>
      </c>
      <c r="B11" t="str">
        <f t="shared" si="0"/>
        <v>septiembre</v>
      </c>
      <c r="C11" s="65">
        <v>41353501</v>
      </c>
      <c r="D11" s="37" t="str">
        <f t="shared" si="1"/>
        <v>4135</v>
      </c>
      <c r="E11" s="37" t="s">
        <v>63</v>
      </c>
      <c r="F11" s="64">
        <v>1065</v>
      </c>
      <c r="G11" s="38" t="s">
        <v>68</v>
      </c>
      <c r="H11" s="64">
        <v>845853444</v>
      </c>
      <c r="I11" s="38">
        <v>6975871</v>
      </c>
      <c r="J11" s="64">
        <v>91065</v>
      </c>
    </row>
    <row r="12" spans="1:10" x14ac:dyDescent="0.2">
      <c r="A12" s="37">
        <v>44908</v>
      </c>
      <c r="B12" t="str">
        <f t="shared" si="0"/>
        <v>diciembre</v>
      </c>
      <c r="C12" s="65">
        <v>41353501</v>
      </c>
      <c r="D12" s="37" t="str">
        <f t="shared" si="1"/>
        <v>4135</v>
      </c>
      <c r="E12" s="37" t="s">
        <v>67</v>
      </c>
      <c r="F12" s="64">
        <v>1080</v>
      </c>
      <c r="G12" s="38" t="s">
        <v>49</v>
      </c>
      <c r="H12" s="64">
        <v>819142314</v>
      </c>
      <c r="I12" s="38">
        <v>8618952</v>
      </c>
      <c r="J12" s="64">
        <v>91080</v>
      </c>
    </row>
    <row r="13" spans="1:10" x14ac:dyDescent="0.2">
      <c r="A13" s="37">
        <v>44849</v>
      </c>
      <c r="B13" t="str">
        <f t="shared" si="0"/>
        <v>octubre</v>
      </c>
      <c r="C13" s="65">
        <v>41351001</v>
      </c>
      <c r="D13" s="37" t="str">
        <f t="shared" si="1"/>
        <v>4135</v>
      </c>
      <c r="E13" s="37" t="s">
        <v>47</v>
      </c>
      <c r="F13" s="64">
        <v>1069</v>
      </c>
      <c r="G13" s="38" t="s">
        <v>69</v>
      </c>
      <c r="H13" s="64">
        <v>870262053</v>
      </c>
      <c r="I13" s="38">
        <v>8211942</v>
      </c>
      <c r="J13" s="64">
        <v>91069</v>
      </c>
    </row>
    <row r="14" spans="1:10" x14ac:dyDescent="0.2">
      <c r="A14" s="37">
        <v>44900</v>
      </c>
      <c r="B14" t="str">
        <f t="shared" si="0"/>
        <v>diciembre</v>
      </c>
      <c r="C14" s="65">
        <v>41351001</v>
      </c>
      <c r="D14" s="37" t="str">
        <f t="shared" si="1"/>
        <v>4135</v>
      </c>
      <c r="E14" s="37" t="s">
        <v>62</v>
      </c>
      <c r="F14" s="64">
        <v>1074</v>
      </c>
      <c r="G14" s="38" t="s">
        <v>48</v>
      </c>
      <c r="H14" s="64">
        <v>899096237</v>
      </c>
      <c r="I14" s="38">
        <v>4511228</v>
      </c>
      <c r="J14" s="64">
        <v>91074</v>
      </c>
    </row>
    <row r="15" spans="1:10" x14ac:dyDescent="0.2">
      <c r="A15" s="37">
        <v>44803</v>
      </c>
      <c r="B15" t="str">
        <f t="shared" si="0"/>
        <v>agosto</v>
      </c>
      <c r="C15" s="65">
        <v>41351010</v>
      </c>
      <c r="D15" s="37" t="str">
        <f t="shared" si="1"/>
        <v>4135</v>
      </c>
      <c r="E15" s="37" t="s">
        <v>62</v>
      </c>
      <c r="F15" s="64">
        <v>1062</v>
      </c>
      <c r="G15" s="38" t="s">
        <v>48</v>
      </c>
      <c r="H15" s="64">
        <v>899096237</v>
      </c>
      <c r="I15" s="38">
        <v>8458223</v>
      </c>
      <c r="J15" s="64">
        <v>91062</v>
      </c>
    </row>
    <row r="16" spans="1:10" x14ac:dyDescent="0.2">
      <c r="A16" s="37">
        <v>44603</v>
      </c>
      <c r="B16" t="str">
        <f t="shared" si="0"/>
        <v>febrero</v>
      </c>
      <c r="C16" s="65">
        <v>41351010</v>
      </c>
      <c r="D16" s="37" t="str">
        <f t="shared" si="1"/>
        <v>4135</v>
      </c>
      <c r="E16" s="37" t="s">
        <v>62</v>
      </c>
      <c r="F16" s="64">
        <v>1042</v>
      </c>
      <c r="G16" s="38" t="s">
        <v>49</v>
      </c>
      <c r="H16" s="64">
        <v>819142314</v>
      </c>
      <c r="I16" s="38">
        <v>6244264</v>
      </c>
      <c r="J16" s="64">
        <v>91042</v>
      </c>
    </row>
    <row r="17" spans="1:10" x14ac:dyDescent="0.2">
      <c r="A17" s="37">
        <v>44779</v>
      </c>
      <c r="B17" t="str">
        <f t="shared" si="0"/>
        <v>agosto</v>
      </c>
      <c r="C17" s="65">
        <v>41353501</v>
      </c>
      <c r="D17" s="37" t="str">
        <f t="shared" si="1"/>
        <v>4135</v>
      </c>
      <c r="E17" s="37" t="s">
        <v>65</v>
      </c>
      <c r="F17" s="64">
        <v>1060</v>
      </c>
      <c r="G17" s="38" t="s">
        <v>49</v>
      </c>
      <c r="H17" s="64">
        <v>819142314</v>
      </c>
      <c r="I17" s="38">
        <v>4302318</v>
      </c>
      <c r="J17" s="64">
        <v>91060</v>
      </c>
    </row>
    <row r="18" spans="1:10" x14ac:dyDescent="0.2">
      <c r="A18" s="37">
        <v>44907</v>
      </c>
      <c r="B18" t="str">
        <f t="shared" si="0"/>
        <v>diciembre</v>
      </c>
      <c r="C18" s="65">
        <v>41351010</v>
      </c>
      <c r="D18" s="37" t="str">
        <f t="shared" si="1"/>
        <v>4135</v>
      </c>
      <c r="E18" s="37" t="s">
        <v>65</v>
      </c>
      <c r="F18" s="64">
        <v>1079</v>
      </c>
      <c r="G18" s="38" t="s">
        <v>70</v>
      </c>
      <c r="H18" s="64">
        <v>831890235</v>
      </c>
      <c r="I18" s="38">
        <v>7422525</v>
      </c>
      <c r="J18" s="64">
        <v>91079</v>
      </c>
    </row>
    <row r="19" spans="1:10" x14ac:dyDescent="0.2">
      <c r="A19" s="37">
        <v>44590</v>
      </c>
      <c r="B19" t="str">
        <f t="shared" si="0"/>
        <v>enero</v>
      </c>
      <c r="C19" s="65">
        <v>41351001</v>
      </c>
      <c r="D19" s="37" t="str">
        <f t="shared" si="1"/>
        <v>4135</v>
      </c>
      <c r="E19" s="37" t="s">
        <v>63</v>
      </c>
      <c r="F19" s="64">
        <v>1038</v>
      </c>
      <c r="G19" s="38" t="s">
        <v>49</v>
      </c>
      <c r="H19" s="64">
        <v>819142314</v>
      </c>
      <c r="I19" s="38">
        <v>5585230</v>
      </c>
      <c r="J19" s="64">
        <v>91038</v>
      </c>
    </row>
    <row r="20" spans="1:10" x14ac:dyDescent="0.2">
      <c r="A20" s="37">
        <v>44636</v>
      </c>
      <c r="B20" t="str">
        <f t="shared" si="0"/>
        <v>marzo</v>
      </c>
      <c r="C20" s="65">
        <v>41201045</v>
      </c>
      <c r="D20" s="37" t="str">
        <f t="shared" si="1"/>
        <v>4120</v>
      </c>
      <c r="E20" s="37" t="s">
        <v>47</v>
      </c>
      <c r="F20" s="64">
        <v>1046</v>
      </c>
      <c r="G20" s="38" t="s">
        <v>70</v>
      </c>
      <c r="H20" s="64">
        <v>831890235</v>
      </c>
      <c r="I20" s="38">
        <v>3868144</v>
      </c>
      <c r="J20" s="64">
        <v>91046</v>
      </c>
    </row>
    <row r="21" spans="1:10" x14ac:dyDescent="0.2">
      <c r="A21" s="37">
        <v>44611</v>
      </c>
      <c r="B21" t="str">
        <f t="shared" si="0"/>
        <v>febrero</v>
      </c>
      <c r="C21" s="65">
        <v>41351001</v>
      </c>
      <c r="D21" s="37" t="str">
        <f t="shared" si="1"/>
        <v>4135</v>
      </c>
      <c r="E21" s="37" t="s">
        <v>62</v>
      </c>
      <c r="F21" s="64">
        <v>1045</v>
      </c>
      <c r="G21" s="38" t="s">
        <v>69</v>
      </c>
      <c r="H21" s="64">
        <v>870262053</v>
      </c>
      <c r="I21" s="38">
        <v>4687074</v>
      </c>
      <c r="J21" s="64">
        <v>91045</v>
      </c>
    </row>
    <row r="22" spans="1:10" x14ac:dyDescent="0.2">
      <c r="A22" s="37">
        <v>44579</v>
      </c>
      <c r="B22" t="str">
        <f t="shared" si="0"/>
        <v>enero</v>
      </c>
      <c r="C22" s="65">
        <v>41353501</v>
      </c>
      <c r="D22" s="37" t="str">
        <f t="shared" si="1"/>
        <v>4135</v>
      </c>
      <c r="E22" s="37" t="s">
        <v>65</v>
      </c>
      <c r="F22" s="64">
        <v>1037</v>
      </c>
      <c r="G22" s="38" t="s">
        <v>49</v>
      </c>
      <c r="H22" s="64">
        <v>819142314</v>
      </c>
      <c r="I22" s="38">
        <v>2129063</v>
      </c>
      <c r="J22" s="64">
        <v>91037</v>
      </c>
    </row>
    <row r="23" spans="1:10" x14ac:dyDescent="0.2">
      <c r="A23" s="37">
        <v>44825</v>
      </c>
      <c r="B23" t="str">
        <f t="shared" si="0"/>
        <v>septiembre</v>
      </c>
      <c r="C23" s="65">
        <v>41351010</v>
      </c>
      <c r="D23" s="37" t="str">
        <f t="shared" si="1"/>
        <v>4135</v>
      </c>
      <c r="E23" s="37" t="s">
        <v>65</v>
      </c>
      <c r="F23" s="64">
        <v>1064</v>
      </c>
      <c r="G23" s="38" t="s">
        <v>68</v>
      </c>
      <c r="H23" s="64">
        <v>845853444</v>
      </c>
      <c r="I23" s="38">
        <v>3596518</v>
      </c>
      <c r="J23" s="64">
        <v>91064</v>
      </c>
    </row>
    <row r="24" spans="1:10" x14ac:dyDescent="0.2">
      <c r="A24" s="37">
        <v>44661</v>
      </c>
      <c r="B24" t="str">
        <f t="shared" si="0"/>
        <v>abril</v>
      </c>
      <c r="C24" s="65">
        <v>41151010</v>
      </c>
      <c r="D24" s="37" t="str">
        <f t="shared" si="1"/>
        <v>4115</v>
      </c>
      <c r="E24" s="37" t="s">
        <v>63</v>
      </c>
      <c r="F24" s="64">
        <v>1049</v>
      </c>
      <c r="G24" s="38" t="s">
        <v>49</v>
      </c>
      <c r="H24" s="64">
        <v>819142314</v>
      </c>
      <c r="I24" s="38">
        <v>5757576</v>
      </c>
      <c r="J24" s="64">
        <v>91049</v>
      </c>
    </row>
    <row r="25" spans="1:10" x14ac:dyDescent="0.2">
      <c r="A25" s="37">
        <v>44604</v>
      </c>
      <c r="B25" t="str">
        <f t="shared" si="0"/>
        <v>febrero</v>
      </c>
      <c r="C25" s="65">
        <v>41151010</v>
      </c>
      <c r="D25" s="37" t="str">
        <f t="shared" si="1"/>
        <v>4115</v>
      </c>
      <c r="E25" s="37" t="s">
        <v>63</v>
      </c>
      <c r="F25" s="64">
        <v>1043</v>
      </c>
      <c r="G25" s="38" t="s">
        <v>69</v>
      </c>
      <c r="H25" s="64">
        <v>870262053</v>
      </c>
      <c r="I25" s="38">
        <v>1361120</v>
      </c>
      <c r="J25" s="64">
        <v>91043</v>
      </c>
    </row>
    <row r="26" spans="1:10" x14ac:dyDescent="0.2">
      <c r="A26" s="37">
        <v>44845</v>
      </c>
      <c r="B26" t="str">
        <f t="shared" si="0"/>
        <v>octubre</v>
      </c>
      <c r="C26" s="65">
        <v>41351001</v>
      </c>
      <c r="D26" s="37" t="str">
        <f t="shared" si="1"/>
        <v>4135</v>
      </c>
      <c r="E26" s="37" t="s">
        <v>47</v>
      </c>
      <c r="F26" s="64">
        <v>1068</v>
      </c>
      <c r="G26" s="38" t="s">
        <v>68</v>
      </c>
      <c r="H26" s="64">
        <v>845853444</v>
      </c>
      <c r="I26" s="38">
        <v>6764799</v>
      </c>
      <c r="J26" s="64">
        <v>91068</v>
      </c>
    </row>
    <row r="27" spans="1:10" x14ac:dyDescent="0.2">
      <c r="A27" s="37">
        <v>44773</v>
      </c>
      <c r="B27" t="str">
        <f t="shared" si="0"/>
        <v>julio</v>
      </c>
      <c r="C27" s="65">
        <v>41353501</v>
      </c>
      <c r="D27" s="37" t="str">
        <f t="shared" si="1"/>
        <v>4135</v>
      </c>
      <c r="E27" s="37" t="s">
        <v>67</v>
      </c>
      <c r="F27" s="64">
        <v>1059</v>
      </c>
      <c r="G27" s="38" t="s">
        <v>69</v>
      </c>
      <c r="H27" s="64">
        <v>870262053</v>
      </c>
      <c r="I27" s="38">
        <v>5071350</v>
      </c>
      <c r="J27" s="64">
        <v>91059</v>
      </c>
    </row>
    <row r="28" spans="1:10" x14ac:dyDescent="0.2">
      <c r="A28" s="37">
        <v>44744</v>
      </c>
      <c r="B28" t="str">
        <f t="shared" si="0"/>
        <v>julio</v>
      </c>
      <c r="C28" s="65">
        <v>41201045</v>
      </c>
      <c r="D28" s="37" t="str">
        <f t="shared" si="1"/>
        <v>4120</v>
      </c>
      <c r="E28" s="37" t="s">
        <v>62</v>
      </c>
      <c r="F28" s="64">
        <v>1055</v>
      </c>
      <c r="G28" s="38" t="s">
        <v>64</v>
      </c>
      <c r="H28" s="64">
        <v>813766767</v>
      </c>
      <c r="I28" s="38">
        <v>4995340</v>
      </c>
      <c r="J28" s="64">
        <v>91055</v>
      </c>
    </row>
    <row r="29" spans="1:10" x14ac:dyDescent="0.2">
      <c r="A29" s="37">
        <v>44745</v>
      </c>
      <c r="B29" t="str">
        <f t="shared" si="0"/>
        <v>julio</v>
      </c>
      <c r="C29" s="65">
        <v>41201045</v>
      </c>
      <c r="D29" s="37" t="str">
        <f t="shared" si="1"/>
        <v>4120</v>
      </c>
      <c r="E29" s="37" t="s">
        <v>65</v>
      </c>
      <c r="F29" s="64">
        <v>1056</v>
      </c>
      <c r="G29" s="38" t="s">
        <v>49</v>
      </c>
      <c r="H29" s="64">
        <v>819142314</v>
      </c>
      <c r="I29" s="38">
        <v>6426764</v>
      </c>
      <c r="J29" s="64">
        <v>91056</v>
      </c>
    </row>
    <row r="30" spans="1:10" x14ac:dyDescent="0.2">
      <c r="A30" s="37">
        <v>44576</v>
      </c>
      <c r="B30" t="str">
        <f t="shared" si="0"/>
        <v>enero</v>
      </c>
      <c r="C30" s="65">
        <v>41351010</v>
      </c>
      <c r="D30" s="37" t="str">
        <f t="shared" si="1"/>
        <v>4135</v>
      </c>
      <c r="E30" s="37" t="s">
        <v>62</v>
      </c>
      <c r="F30" s="64">
        <v>1036</v>
      </c>
      <c r="G30" s="38" t="s">
        <v>64</v>
      </c>
      <c r="H30" s="64">
        <v>813766767</v>
      </c>
      <c r="I30" s="38">
        <v>7479537</v>
      </c>
      <c r="J30" s="64">
        <v>91036</v>
      </c>
    </row>
    <row r="31" spans="1:10" x14ac:dyDescent="0.2">
      <c r="A31" s="37">
        <v>44895</v>
      </c>
      <c r="B31" t="str">
        <f t="shared" si="0"/>
        <v>noviembre</v>
      </c>
      <c r="C31" s="65">
        <v>41201045</v>
      </c>
      <c r="D31" s="37" t="str">
        <f t="shared" si="1"/>
        <v>4120</v>
      </c>
      <c r="E31" s="37" t="s">
        <v>67</v>
      </c>
      <c r="F31" s="64">
        <v>1073</v>
      </c>
      <c r="G31" s="38" t="s">
        <v>64</v>
      </c>
      <c r="H31" s="64">
        <v>813766767</v>
      </c>
      <c r="I31" s="38">
        <v>5149689</v>
      </c>
      <c r="J31" s="64">
        <v>91073</v>
      </c>
    </row>
    <row r="32" spans="1:10" x14ac:dyDescent="0.2">
      <c r="A32" s="37">
        <v>44732</v>
      </c>
      <c r="B32" t="str">
        <f t="shared" si="0"/>
        <v>junio</v>
      </c>
      <c r="C32" s="65">
        <v>41201045</v>
      </c>
      <c r="D32" s="37" t="str">
        <f t="shared" si="1"/>
        <v>4120</v>
      </c>
      <c r="E32" s="37" t="s">
        <v>63</v>
      </c>
      <c r="F32" s="64">
        <v>1053</v>
      </c>
      <c r="G32" s="38" t="s">
        <v>64</v>
      </c>
      <c r="H32" s="64">
        <v>813766767</v>
      </c>
      <c r="I32" s="38">
        <v>7469049</v>
      </c>
      <c r="J32" s="64">
        <v>91053</v>
      </c>
    </row>
    <row r="33" spans="1:10" x14ac:dyDescent="0.2">
      <c r="A33" s="37">
        <v>44869</v>
      </c>
      <c r="B33" t="str">
        <f t="shared" si="0"/>
        <v>noviembre</v>
      </c>
      <c r="C33" s="65">
        <v>41162005</v>
      </c>
      <c r="D33" s="37" t="str">
        <f t="shared" si="1"/>
        <v>4116</v>
      </c>
      <c r="E33" s="37" t="s">
        <v>47</v>
      </c>
      <c r="F33" s="64">
        <v>1070</v>
      </c>
      <c r="G33" s="38" t="s">
        <v>71</v>
      </c>
      <c r="H33" s="64">
        <v>837983767</v>
      </c>
      <c r="I33" s="38">
        <v>3296973</v>
      </c>
      <c r="J33" s="64">
        <v>91070</v>
      </c>
    </row>
    <row r="34" spans="1:10" x14ac:dyDescent="0.2">
      <c r="A34" s="37">
        <v>44607</v>
      </c>
      <c r="B34" t="str">
        <f t="shared" si="0"/>
        <v>febrero</v>
      </c>
      <c r="C34" s="65">
        <v>41351010</v>
      </c>
      <c r="D34" s="37" t="str">
        <f t="shared" si="1"/>
        <v>4135</v>
      </c>
      <c r="E34" s="37" t="s">
        <v>63</v>
      </c>
      <c r="F34" s="64">
        <v>1044</v>
      </c>
      <c r="G34" s="38" t="s">
        <v>68</v>
      </c>
      <c r="H34" s="64">
        <v>845853444</v>
      </c>
      <c r="I34" s="38">
        <v>4437626</v>
      </c>
      <c r="J34" s="64">
        <v>91044</v>
      </c>
    </row>
    <row r="35" spans="1:10" x14ac:dyDescent="0.2">
      <c r="A35" s="37">
        <v>44836</v>
      </c>
      <c r="B35" t="str">
        <f t="shared" si="0"/>
        <v>octubre</v>
      </c>
      <c r="C35" s="65">
        <v>41162005</v>
      </c>
      <c r="D35" s="37" t="str">
        <f t="shared" si="1"/>
        <v>4116</v>
      </c>
      <c r="E35" s="37" t="s">
        <v>67</v>
      </c>
      <c r="F35" s="64">
        <v>1066</v>
      </c>
      <c r="G35" s="38" t="s">
        <v>71</v>
      </c>
      <c r="H35" s="64">
        <v>837983767</v>
      </c>
      <c r="I35" s="38">
        <v>7278431</v>
      </c>
      <c r="J35" s="64">
        <v>91066</v>
      </c>
    </row>
    <row r="36" spans="1:10" x14ac:dyDescent="0.2">
      <c r="A36" s="37">
        <v>44599</v>
      </c>
      <c r="B36" t="str">
        <f t="shared" si="0"/>
        <v>febrero</v>
      </c>
      <c r="C36" s="65">
        <v>41351010</v>
      </c>
      <c r="D36" s="37" t="str">
        <f t="shared" si="1"/>
        <v>4135</v>
      </c>
      <c r="E36" s="37" t="s">
        <v>65</v>
      </c>
      <c r="F36" s="64">
        <v>1041</v>
      </c>
      <c r="G36" s="38" t="s">
        <v>48</v>
      </c>
      <c r="H36" s="64">
        <v>899096237</v>
      </c>
      <c r="I36" s="38">
        <v>2604294</v>
      </c>
      <c r="J36" s="64">
        <v>91041</v>
      </c>
    </row>
    <row r="37" spans="1:10" x14ac:dyDescent="0.2">
      <c r="A37" s="37">
        <v>44888</v>
      </c>
      <c r="B37" t="str">
        <f t="shared" si="0"/>
        <v>noviembre</v>
      </c>
      <c r="C37" s="65">
        <v>41162005</v>
      </c>
      <c r="D37" s="37" t="str">
        <f t="shared" si="1"/>
        <v>4116</v>
      </c>
      <c r="E37" s="37" t="s">
        <v>47</v>
      </c>
      <c r="F37" s="64">
        <v>1072</v>
      </c>
      <c r="G37" s="38" t="s">
        <v>68</v>
      </c>
      <c r="H37" s="64">
        <v>845853444</v>
      </c>
      <c r="I37" s="38">
        <v>6219802</v>
      </c>
      <c r="J37" s="64">
        <v>91072</v>
      </c>
    </row>
    <row r="38" spans="1:10" x14ac:dyDescent="0.2">
      <c r="A38" s="37">
        <v>44739</v>
      </c>
      <c r="B38" t="str">
        <f t="shared" si="0"/>
        <v>junio</v>
      </c>
      <c r="C38" s="65">
        <v>41353501</v>
      </c>
      <c r="D38" s="37" t="str">
        <f t="shared" si="1"/>
        <v>4135</v>
      </c>
      <c r="E38" s="37" t="s">
        <v>65</v>
      </c>
      <c r="F38" s="64">
        <v>1054</v>
      </c>
      <c r="G38" s="38" t="s">
        <v>64</v>
      </c>
      <c r="H38" s="64">
        <v>813766767</v>
      </c>
      <c r="I38" s="38">
        <v>7789037</v>
      </c>
      <c r="J38" s="64">
        <v>91054</v>
      </c>
    </row>
    <row r="39" spans="1:10" x14ac:dyDescent="0.2">
      <c r="A39" s="37">
        <v>44902</v>
      </c>
      <c r="B39" t="str">
        <f t="shared" si="0"/>
        <v>diciembre</v>
      </c>
      <c r="C39" s="65">
        <v>41201045</v>
      </c>
      <c r="D39" s="37" t="str">
        <f t="shared" si="1"/>
        <v>4120</v>
      </c>
      <c r="E39" s="37" t="s">
        <v>62</v>
      </c>
      <c r="F39" s="64">
        <v>1076</v>
      </c>
      <c r="G39" s="38" t="s">
        <v>69</v>
      </c>
      <c r="H39" s="64">
        <v>870262053</v>
      </c>
      <c r="I39" s="38">
        <v>8462624</v>
      </c>
      <c r="J39" s="64">
        <v>91076</v>
      </c>
    </row>
    <row r="40" spans="1:10" x14ac:dyDescent="0.2">
      <c r="A40" s="37">
        <v>44901</v>
      </c>
      <c r="B40" t="str">
        <f t="shared" si="0"/>
        <v>diciembre</v>
      </c>
      <c r="C40" s="65">
        <v>41351010</v>
      </c>
      <c r="D40" s="37" t="str">
        <f t="shared" si="1"/>
        <v>4135</v>
      </c>
      <c r="E40" s="37" t="s">
        <v>63</v>
      </c>
      <c r="F40" s="64">
        <v>1075</v>
      </c>
      <c r="G40" s="38" t="s">
        <v>68</v>
      </c>
      <c r="H40" s="64">
        <v>845853444</v>
      </c>
      <c r="I40" s="38">
        <v>7924202</v>
      </c>
      <c r="J40" s="64">
        <v>91075</v>
      </c>
    </row>
    <row r="41" spans="1:10" x14ac:dyDescent="0.2">
      <c r="A41" s="37">
        <v>44755</v>
      </c>
      <c r="B41" t="str">
        <f t="shared" si="0"/>
        <v>julio</v>
      </c>
      <c r="C41" s="65">
        <v>41151010</v>
      </c>
      <c r="D41" s="37" t="str">
        <f t="shared" si="1"/>
        <v>4115</v>
      </c>
      <c r="E41" s="37" t="s">
        <v>65</v>
      </c>
      <c r="F41" s="64">
        <v>1057</v>
      </c>
      <c r="G41" s="38" t="s">
        <v>71</v>
      </c>
      <c r="H41" s="64">
        <v>837983767</v>
      </c>
      <c r="I41" s="38">
        <v>9479945</v>
      </c>
      <c r="J41" s="64">
        <v>91057</v>
      </c>
    </row>
    <row r="42" spans="1:10" x14ac:dyDescent="0.2">
      <c r="A42" s="37">
        <v>44592</v>
      </c>
      <c r="B42" t="str">
        <f t="shared" si="0"/>
        <v>enero</v>
      </c>
      <c r="C42" s="65">
        <v>41353501</v>
      </c>
      <c r="D42" s="37" t="str">
        <f t="shared" si="1"/>
        <v>4135</v>
      </c>
      <c r="E42" s="37" t="s">
        <v>67</v>
      </c>
      <c r="F42" s="64">
        <v>1040</v>
      </c>
      <c r="G42" s="38" t="s">
        <v>69</v>
      </c>
      <c r="H42" s="64">
        <v>870262053</v>
      </c>
      <c r="I42" s="38">
        <v>2701800</v>
      </c>
      <c r="J42" s="64">
        <v>91040</v>
      </c>
    </row>
    <row r="43" spans="1:10" x14ac:dyDescent="0.2">
      <c r="A43" s="37">
        <v>44571</v>
      </c>
      <c r="B43" t="str">
        <f t="shared" si="0"/>
        <v>enero</v>
      </c>
      <c r="C43" s="65">
        <v>41151010</v>
      </c>
      <c r="D43" s="37" t="str">
        <f t="shared" si="1"/>
        <v>4115</v>
      </c>
      <c r="E43" s="37" t="s">
        <v>47</v>
      </c>
      <c r="F43" s="64">
        <v>1034</v>
      </c>
      <c r="G43" s="38" t="s">
        <v>48</v>
      </c>
      <c r="H43" s="64">
        <v>899096237</v>
      </c>
      <c r="I43" s="38">
        <v>7723246</v>
      </c>
      <c r="J43" s="64">
        <v>91034</v>
      </c>
    </row>
    <row r="44" spans="1:10" x14ac:dyDescent="0.2">
      <c r="A44" s="37">
        <v>44590</v>
      </c>
      <c r="B44" t="str">
        <f t="shared" si="0"/>
        <v>enero</v>
      </c>
      <c r="C44" s="65">
        <v>41353501</v>
      </c>
      <c r="D44" s="37" t="str">
        <f t="shared" si="1"/>
        <v>4135</v>
      </c>
      <c r="E44" s="37" t="s">
        <v>67</v>
      </c>
      <c r="F44" s="64">
        <v>1039</v>
      </c>
      <c r="G44" s="38" t="s">
        <v>64</v>
      </c>
      <c r="H44" s="64">
        <v>813766767</v>
      </c>
      <c r="I44" s="38">
        <v>2906593</v>
      </c>
      <c r="J44" s="64">
        <v>91039</v>
      </c>
    </row>
    <row r="45" spans="1:10" x14ac:dyDescent="0.2">
      <c r="A45" s="37">
        <v>44906</v>
      </c>
      <c r="B45" t="str">
        <f t="shared" si="0"/>
        <v>diciembre</v>
      </c>
      <c r="C45" s="65">
        <v>41162005</v>
      </c>
      <c r="D45" s="37" t="str">
        <f t="shared" si="1"/>
        <v>4116</v>
      </c>
      <c r="E45" s="37" t="s">
        <v>62</v>
      </c>
      <c r="F45" s="64">
        <v>1078</v>
      </c>
      <c r="G45" s="38" t="s">
        <v>66</v>
      </c>
      <c r="H45" s="64">
        <v>842052794</v>
      </c>
      <c r="I45" s="38">
        <v>1155187</v>
      </c>
      <c r="J45" s="64">
        <v>91078</v>
      </c>
    </row>
    <row r="46" spans="1:10" x14ac:dyDescent="0.2">
      <c r="A46" s="37">
        <v>44912</v>
      </c>
      <c r="B46" t="str">
        <f t="shared" si="0"/>
        <v>diciembre</v>
      </c>
      <c r="C46" s="65">
        <v>41353501</v>
      </c>
      <c r="D46" s="37" t="str">
        <f t="shared" si="1"/>
        <v>4135</v>
      </c>
      <c r="E46" s="37" t="s">
        <v>67</v>
      </c>
      <c r="F46" s="64">
        <v>1081</v>
      </c>
      <c r="G46" s="38" t="s">
        <v>48</v>
      </c>
      <c r="H46" s="64">
        <v>899096237</v>
      </c>
      <c r="I46" s="38">
        <v>8730184</v>
      </c>
      <c r="J46" s="64">
        <v>91081</v>
      </c>
    </row>
    <row r="47" spans="1:10" x14ac:dyDescent="0.2">
      <c r="A47" s="37">
        <v>44575</v>
      </c>
      <c r="B47" t="str">
        <f t="shared" si="0"/>
        <v>enero</v>
      </c>
      <c r="C47" s="65">
        <v>41201045</v>
      </c>
      <c r="D47" s="37" t="str">
        <f t="shared" si="1"/>
        <v>4120</v>
      </c>
      <c r="E47" s="37" t="s">
        <v>67</v>
      </c>
      <c r="F47" s="64">
        <v>1035</v>
      </c>
      <c r="G47" s="38" t="s">
        <v>64</v>
      </c>
      <c r="H47" s="64">
        <v>813766767</v>
      </c>
      <c r="I47" s="38">
        <v>6214538</v>
      </c>
      <c r="J47" s="64">
        <v>91035</v>
      </c>
    </row>
    <row r="48" spans="1:10" x14ac:dyDescent="0.2">
      <c r="A48" s="37">
        <v>44903</v>
      </c>
      <c r="B48" t="str">
        <f t="shared" si="0"/>
        <v>diciembre</v>
      </c>
      <c r="C48" s="65">
        <v>41351010</v>
      </c>
      <c r="D48" s="37" t="str">
        <f t="shared" si="1"/>
        <v>4135</v>
      </c>
      <c r="E48" s="37" t="s">
        <v>62</v>
      </c>
      <c r="F48" s="64">
        <v>1077</v>
      </c>
      <c r="G48" s="38" t="s">
        <v>71</v>
      </c>
      <c r="H48" s="64">
        <v>837983767</v>
      </c>
      <c r="I48" s="38">
        <v>5868991</v>
      </c>
      <c r="J48" s="64">
        <v>91077</v>
      </c>
    </row>
    <row r="49" spans="1:10" x14ac:dyDescent="0.2">
      <c r="A49" s="37">
        <v>44769</v>
      </c>
      <c r="B49" t="str">
        <f t="shared" si="0"/>
        <v>julio</v>
      </c>
      <c r="C49" s="65">
        <v>41351010</v>
      </c>
      <c r="D49" s="37" t="str">
        <f t="shared" si="1"/>
        <v>4135</v>
      </c>
      <c r="E49" s="37" t="s">
        <v>67</v>
      </c>
      <c r="F49" s="64">
        <v>1058</v>
      </c>
      <c r="G49" s="38" t="s">
        <v>68</v>
      </c>
      <c r="H49" s="64">
        <v>845853444</v>
      </c>
      <c r="I49" s="38">
        <v>8981027</v>
      </c>
      <c r="J49" s="64">
        <v>91058</v>
      </c>
    </row>
    <row r="50" spans="1:10" x14ac:dyDescent="0.2">
      <c r="A50" s="37">
        <v>44873</v>
      </c>
      <c r="B50" t="str">
        <f t="shared" si="0"/>
        <v>noviembre</v>
      </c>
      <c r="C50" s="65">
        <v>41201045</v>
      </c>
      <c r="D50" s="37" t="str">
        <f t="shared" si="1"/>
        <v>4120</v>
      </c>
      <c r="E50" s="37" t="s">
        <v>63</v>
      </c>
      <c r="F50" s="64">
        <v>1071</v>
      </c>
      <c r="G50" s="38" t="s">
        <v>66</v>
      </c>
      <c r="H50" s="64">
        <v>842052794</v>
      </c>
      <c r="I50" s="38">
        <v>3656564</v>
      </c>
      <c r="J50" s="64">
        <v>91071</v>
      </c>
    </row>
    <row r="51" spans="1:10" x14ac:dyDescent="0.2">
      <c r="A51" s="37">
        <v>44642</v>
      </c>
      <c r="B51" t="str">
        <f t="shared" si="0"/>
        <v>marzo</v>
      </c>
      <c r="C51" s="65">
        <v>41351001</v>
      </c>
      <c r="D51" s="37" t="str">
        <f t="shared" si="1"/>
        <v>4135</v>
      </c>
      <c r="E51" s="37" t="s">
        <v>47</v>
      </c>
      <c r="F51" s="64">
        <v>1048</v>
      </c>
      <c r="G51" s="38" t="s">
        <v>69</v>
      </c>
      <c r="H51" s="64">
        <v>870262053</v>
      </c>
      <c r="I51" s="38">
        <v>7734849</v>
      </c>
      <c r="J51" s="64">
        <v>91048</v>
      </c>
    </row>
    <row r="52" spans="1:10" x14ac:dyDescent="0.2">
      <c r="A52" s="37">
        <v>44842</v>
      </c>
      <c r="B52" t="str">
        <f t="shared" si="0"/>
        <v>octubre</v>
      </c>
      <c r="C52" s="65">
        <v>41162005</v>
      </c>
      <c r="D52" s="37" t="str">
        <f t="shared" si="1"/>
        <v>4116</v>
      </c>
      <c r="E52" s="37" t="s">
        <v>47</v>
      </c>
      <c r="F52" s="64">
        <v>1067</v>
      </c>
      <c r="G52" s="38" t="s">
        <v>70</v>
      </c>
      <c r="H52" s="64">
        <v>831890235</v>
      </c>
      <c r="I52" s="38">
        <v>1836069</v>
      </c>
      <c r="J52" s="64">
        <v>91067</v>
      </c>
    </row>
    <row r="56" spans="1:10" x14ac:dyDescent="0.2">
      <c r="E56" s="38"/>
    </row>
    <row r="57" spans="1:10" x14ac:dyDescent="0.2">
      <c r="D57" s="37"/>
      <c r="E57" s="38"/>
    </row>
    <row r="58" spans="1:10" x14ac:dyDescent="0.2">
      <c r="D58" s="3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ACBB4-A69E-472C-ADD3-5AA2C1E4A386}">
  <sheetPr codeName="Sheet5"/>
  <dimension ref="B2:K28"/>
  <sheetViews>
    <sheetView showGridLines="0" zoomScaleNormal="100" workbookViewId="0">
      <selection activeCell="H13" sqref="H13"/>
    </sheetView>
  </sheetViews>
  <sheetFormatPr defaultRowHeight="12.75" x14ac:dyDescent="0.2"/>
  <cols>
    <col min="1" max="1" width="3.5546875" style="2" customWidth="1"/>
    <col min="2" max="2" width="8.88671875" style="2" customWidth="1"/>
    <col min="3" max="3" width="9.6640625" style="2" bestFit="1" customWidth="1"/>
    <col min="4" max="4" width="9.88671875" style="18" bestFit="1" customWidth="1"/>
    <col min="5" max="5" width="9.6640625" style="18" bestFit="1" customWidth="1"/>
    <col min="6" max="6" width="16.33203125" style="2" bestFit="1" customWidth="1"/>
    <col min="7" max="7" width="3.44140625" style="2" customWidth="1"/>
    <col min="8" max="11" width="8.88671875" style="2"/>
    <col min="12" max="12" width="2.88671875" style="2" customWidth="1"/>
    <col min="13" max="13" width="8.88671875" style="2"/>
    <col min="14" max="14" width="6" style="2" customWidth="1"/>
    <col min="15" max="16384" width="8.88671875" style="2"/>
  </cols>
  <sheetData>
    <row r="2" spans="2:11" ht="13.5" thickBot="1" x14ac:dyDescent="0.25">
      <c r="H2" s="4" t="s">
        <v>20</v>
      </c>
    </row>
    <row r="3" spans="2:11" ht="15.75" thickBot="1" x14ac:dyDescent="0.25">
      <c r="B3" s="19" t="s">
        <v>18</v>
      </c>
      <c r="H3" s="101" t="str">
        <f>+IFERROR(IF(E20&lt;=20%,"Dominio bajo de Excel",IF(E20&lt;=40%,"Dominio básico de Excel",IF(E20&lt;=60%,"Buen dominio de Excel",IF(E20&lt;=80%,"Dominio sobresaliente de Excel","Avanzado dominio de Excel"))))," ")</f>
        <v>Dominio bajo de Excel</v>
      </c>
      <c r="I3" s="102"/>
      <c r="J3" s="102"/>
      <c r="K3" s="103"/>
    </row>
    <row r="4" spans="2:11" x14ac:dyDescent="0.2">
      <c r="B4" s="2" t="str">
        <f>"Sr/Sra "&amp;Inicio!C11&amp;" "&amp;Inicio!F11</f>
        <v xml:space="preserve">Sr/Sra  </v>
      </c>
    </row>
    <row r="5" spans="2:11" x14ac:dyDescent="0.2">
      <c r="D5" s="20" t="s">
        <v>21</v>
      </c>
      <c r="E5" s="20" t="s">
        <v>17</v>
      </c>
      <c r="F5" s="4" t="s">
        <v>22</v>
      </c>
      <c r="G5" s="4"/>
    </row>
    <row r="6" spans="2:11" x14ac:dyDescent="0.2">
      <c r="B6" s="104" t="s">
        <v>11</v>
      </c>
      <c r="C6" s="10" t="s">
        <v>12</v>
      </c>
      <c r="D6" s="23">
        <f>+IFERROR(COUNTIF(Prueba!$G$11:$H$13,"Aprobado"),"")</f>
        <v>0</v>
      </c>
      <c r="E6" s="24">
        <f>+IFERROR(D6/(SUM($D$6:$D$7)),0)</f>
        <v>0</v>
      </c>
      <c r="F6" s="105" t="s">
        <v>130</v>
      </c>
      <c r="G6" s="44"/>
    </row>
    <row r="7" spans="2:11" x14ac:dyDescent="0.2">
      <c r="B7" s="104"/>
      <c r="C7" s="10" t="s">
        <v>13</v>
      </c>
      <c r="D7" s="23">
        <f>+IFERROR(COUNTIF(Prueba!$G$11:$H$13,"Reprobado"),"")</f>
        <v>6</v>
      </c>
      <c r="E7" s="24">
        <f>+IFERROR(D7/(SUM($D$6:$D$7)),0)</f>
        <v>1</v>
      </c>
      <c r="F7" s="106"/>
      <c r="G7" s="44"/>
    </row>
    <row r="8" spans="2:11" x14ac:dyDescent="0.2">
      <c r="E8" s="21"/>
      <c r="F8" s="22"/>
      <c r="G8" s="22"/>
    </row>
    <row r="9" spans="2:11" x14ac:dyDescent="0.2">
      <c r="B9" s="104" t="s">
        <v>14</v>
      </c>
      <c r="C9" s="10" t="s">
        <v>12</v>
      </c>
      <c r="D9" s="23">
        <f>+IFERROR(COUNTIF(Prueba!$E$21:$E$24,"Aprobado"),"")</f>
        <v>0</v>
      </c>
      <c r="E9" s="24">
        <f>+IFERROR(D9/(SUM($D$9:$D$10)),0)</f>
        <v>0</v>
      </c>
      <c r="F9" s="106" t="s">
        <v>131</v>
      </c>
      <c r="G9" s="44"/>
    </row>
    <row r="10" spans="2:11" x14ac:dyDescent="0.2">
      <c r="B10" s="104"/>
      <c r="C10" s="10" t="s">
        <v>13</v>
      </c>
      <c r="D10" s="23">
        <f>+IFERROR(COUNTIF(Prueba!$E$21:$E$24,"Reprobado"),"")</f>
        <v>4</v>
      </c>
      <c r="E10" s="24">
        <f>+IFERROR(D10/(SUM($D$9:$D$10)),0)</f>
        <v>1</v>
      </c>
      <c r="F10" s="106"/>
      <c r="G10" s="44"/>
    </row>
    <row r="11" spans="2:11" x14ac:dyDescent="0.2">
      <c r="F11" s="22"/>
      <c r="G11" s="22"/>
    </row>
    <row r="12" spans="2:11" x14ac:dyDescent="0.2">
      <c r="B12" s="104" t="s">
        <v>15</v>
      </c>
      <c r="C12" s="10" t="s">
        <v>12</v>
      </c>
      <c r="D12" s="23">
        <f>+IFERROR(COUNTIF(Prueba!$F$30:$G$32,"Aprobado"),"")</f>
        <v>0</v>
      </c>
      <c r="E12" s="24">
        <f>+IFERROR(D12/(SUM($D$12:$D$13)),0)</f>
        <v>0</v>
      </c>
      <c r="F12" s="106" t="s">
        <v>132</v>
      </c>
      <c r="G12" s="44"/>
    </row>
    <row r="13" spans="2:11" x14ac:dyDescent="0.2">
      <c r="B13" s="104"/>
      <c r="C13" s="10" t="s">
        <v>13</v>
      </c>
      <c r="D13" s="23">
        <f>+IFERROR(COUNTIF(Prueba!$F$30:$G$32,"Reprobado"),"")</f>
        <v>6</v>
      </c>
      <c r="E13" s="24">
        <f>+IFERROR(D13/(SUM($D$12:$D$13)),0)</f>
        <v>1</v>
      </c>
      <c r="F13" s="106"/>
      <c r="G13" s="44"/>
    </row>
    <row r="14" spans="2:11" x14ac:dyDescent="0.2">
      <c r="E14" s="21"/>
      <c r="F14" s="22"/>
      <c r="G14" s="22"/>
    </row>
    <row r="15" spans="2:11" x14ac:dyDescent="0.2">
      <c r="B15" s="104" t="s">
        <v>16</v>
      </c>
      <c r="C15" s="10" t="s">
        <v>12</v>
      </c>
      <c r="D15" s="23">
        <f>+IFERROR(COUNTIF(Prueba!$C$60:$C$61,"Aprobado"),"")</f>
        <v>0</v>
      </c>
      <c r="E15" s="24">
        <f>+IFERROR(D15/(SUM($D$15:$D$16)),0)</f>
        <v>0</v>
      </c>
      <c r="F15" s="106" t="s">
        <v>133</v>
      </c>
      <c r="G15" s="44"/>
    </row>
    <row r="16" spans="2:11" x14ac:dyDescent="0.2">
      <c r="B16" s="104"/>
      <c r="C16" s="10" t="s">
        <v>13</v>
      </c>
      <c r="D16" s="23">
        <f>+IFERROR(COUNTIF(Prueba!$C$60:$C$61,"Reprobado"),"")</f>
        <v>2</v>
      </c>
      <c r="E16" s="24">
        <f>+IFERROR(D16/(SUM($D$15:$D$16)),0)</f>
        <v>1</v>
      </c>
      <c r="F16" s="106"/>
      <c r="G16" s="44"/>
    </row>
    <row r="17" spans="2:7" x14ac:dyDescent="0.2">
      <c r="E17" s="21"/>
      <c r="F17" s="22"/>
      <c r="G17" s="22"/>
    </row>
    <row r="20" spans="2:7" x14ac:dyDescent="0.2">
      <c r="B20" s="100" t="s">
        <v>19</v>
      </c>
      <c r="C20" s="4" t="s">
        <v>12</v>
      </c>
      <c r="D20" s="20">
        <f>+IFERROR(SUMIF($C$6:$C$17,C20,$D$6:$D$17)," ")</f>
        <v>0</v>
      </c>
      <c r="E20" s="21">
        <f>+IFERROR(D20/(SUM($D$20:$D$21)),0)</f>
        <v>0</v>
      </c>
    </row>
    <row r="21" spans="2:7" x14ac:dyDescent="0.2">
      <c r="B21" s="100"/>
      <c r="C21" s="4" t="s">
        <v>13</v>
      </c>
      <c r="D21" s="20">
        <f>+IFERROR(SUMIF($C$6:$C$17,C21,$D$6:$D$17)," ")</f>
        <v>18</v>
      </c>
      <c r="E21" s="21">
        <f>+IFERROR(D21/(SUM($D$20:$D$21)),0)</f>
        <v>1</v>
      </c>
    </row>
    <row r="24" spans="2:7" x14ac:dyDescent="0.2">
      <c r="C24" s="2" t="s">
        <v>23</v>
      </c>
      <c r="D24" s="13" t="s">
        <v>28</v>
      </c>
    </row>
    <row r="25" spans="2:7" x14ac:dyDescent="0.2">
      <c r="C25" s="2" t="s">
        <v>24</v>
      </c>
      <c r="D25" s="13" t="s">
        <v>38</v>
      </c>
    </row>
    <row r="26" spans="2:7" x14ac:dyDescent="0.2">
      <c r="C26" s="2" t="s">
        <v>25</v>
      </c>
      <c r="D26" s="13" t="s">
        <v>39</v>
      </c>
    </row>
    <row r="27" spans="2:7" x14ac:dyDescent="0.2">
      <c r="C27" s="2" t="s">
        <v>26</v>
      </c>
      <c r="D27" s="13" t="s">
        <v>40</v>
      </c>
    </row>
    <row r="28" spans="2:7" x14ac:dyDescent="0.2">
      <c r="C28" s="25" t="s">
        <v>27</v>
      </c>
      <c r="D28" s="13" t="s">
        <v>41</v>
      </c>
    </row>
  </sheetData>
  <mergeCells count="10">
    <mergeCell ref="B20:B21"/>
    <mergeCell ref="H3:K3"/>
    <mergeCell ref="B12:B13"/>
    <mergeCell ref="B6:B7"/>
    <mergeCell ref="B9:B10"/>
    <mergeCell ref="B15:B16"/>
    <mergeCell ref="F6:F7"/>
    <mergeCell ref="F9:F10"/>
    <mergeCell ref="F12:F13"/>
    <mergeCell ref="F15:F16"/>
  </mergeCells>
  <conditionalFormatting sqref="C20:E20">
    <cfRule type="expression" dxfId="16" priority="17">
      <formula>$E$20&gt;50%</formula>
    </cfRule>
  </conditionalFormatting>
  <conditionalFormatting sqref="C21:E21">
    <cfRule type="expression" dxfId="15" priority="16">
      <formula>$E$21&gt;50%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4D889-C105-47EA-8C3C-F7A50BA5C521}">
  <sheetPr codeName="Sheet7"/>
  <dimension ref="A1:J7"/>
  <sheetViews>
    <sheetView showGridLines="0" zoomScaleNormal="100" workbookViewId="0">
      <selection sqref="A1:J1"/>
    </sheetView>
  </sheetViews>
  <sheetFormatPr defaultRowHeight="12.75" x14ac:dyDescent="0.2"/>
  <sheetData>
    <row r="1" spans="1:10" ht="74.25" x14ac:dyDescent="0.95">
      <c r="A1" s="107" t="s">
        <v>35</v>
      </c>
      <c r="B1" s="107"/>
      <c r="C1" s="107"/>
      <c r="D1" s="107"/>
      <c r="E1" s="107"/>
      <c r="F1" s="107"/>
      <c r="G1" s="107"/>
      <c r="H1" s="107"/>
      <c r="I1" s="107"/>
      <c r="J1" s="107"/>
    </row>
    <row r="3" spans="1:10" ht="18" x14ac:dyDescent="0.25">
      <c r="A3" s="108" t="str">
        <f>Inicio!$C$11&amp;" "&amp;Inicio!$F$11</f>
        <v xml:space="preserve"> </v>
      </c>
      <c r="B3" s="108"/>
      <c r="C3" s="108"/>
      <c r="D3" s="108"/>
      <c r="E3" s="108"/>
      <c r="F3" s="108"/>
      <c r="G3" s="108"/>
      <c r="H3" s="108"/>
      <c r="I3" s="108"/>
      <c r="J3" s="108"/>
    </row>
    <row r="6" spans="1:10" ht="18" x14ac:dyDescent="0.25">
      <c r="A6" s="108" t="s">
        <v>36</v>
      </c>
      <c r="B6" s="108"/>
      <c r="C6" s="108"/>
      <c r="D6" s="108"/>
      <c r="E6" s="108"/>
      <c r="F6" s="108"/>
      <c r="G6" s="108"/>
      <c r="H6" s="108"/>
      <c r="I6" s="108"/>
      <c r="J6" s="108"/>
    </row>
    <row r="7" spans="1:10" x14ac:dyDescent="0.2">
      <c r="J7" s="2"/>
    </row>
  </sheetData>
  <sheetProtection algorithmName="SHA-1" hashValue="q3oWddcxUr3NalkCb6eCe3geP5w=" saltValue="R5EVtHkB54gBEC8lANX+aw==" spinCount="100000" sheet="1" objects="1" scenarios="1"/>
  <mergeCells count="3">
    <mergeCell ref="A1:J1"/>
    <mergeCell ref="A3:J3"/>
    <mergeCell ref="A6:J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C0180-9F47-4152-8A4C-1BA4D3F81826}">
  <sheetPr codeName="Sheet9"/>
  <dimension ref="B1:Q62"/>
  <sheetViews>
    <sheetView showGridLines="0" zoomScaleNormal="100" workbookViewId="0">
      <selection activeCell="F11" sqref="F11:F13"/>
    </sheetView>
  </sheetViews>
  <sheetFormatPr defaultRowHeight="12.75" x14ac:dyDescent="0.2"/>
  <cols>
    <col min="1" max="1" width="3.33203125" style="2" customWidth="1"/>
    <col min="2" max="2" width="3" style="28" bestFit="1" customWidth="1"/>
    <col min="3" max="3" width="14.109375" style="2" customWidth="1"/>
    <col min="4" max="4" width="15" style="2" bestFit="1" customWidth="1"/>
    <col min="5" max="5" width="10.88671875" style="2" bestFit="1" customWidth="1"/>
    <col min="6" max="6" width="11.33203125" style="2" bestFit="1" customWidth="1"/>
    <col min="7" max="7" width="12.21875" style="2" customWidth="1"/>
    <col min="8" max="8" width="11.109375" style="2" bestFit="1" customWidth="1"/>
    <col min="9" max="9" width="11" style="2" bestFit="1" customWidth="1"/>
    <col min="10" max="10" width="11.88671875" style="2" bestFit="1" customWidth="1"/>
    <col min="11" max="11" width="10.88671875" style="2" bestFit="1" customWidth="1"/>
    <col min="12" max="12" width="9.44140625" style="2" bestFit="1" customWidth="1"/>
    <col min="13" max="13" width="9" style="2" bestFit="1" customWidth="1"/>
    <col min="14" max="14" width="10" style="2" bestFit="1" customWidth="1"/>
    <col min="15" max="16384" width="8.88671875" style="2"/>
  </cols>
  <sheetData>
    <row r="1" spans="2:10" s="28" customFormat="1" ht="26.25" customHeight="1" x14ac:dyDescent="0.2">
      <c r="E1" s="32" t="s">
        <v>33</v>
      </c>
      <c r="F1" s="29"/>
      <c r="G1" s="30" t="s">
        <v>34</v>
      </c>
      <c r="H1" s="31"/>
    </row>
    <row r="2" spans="2:10" ht="18" x14ac:dyDescent="0.25">
      <c r="C2" s="16" t="s">
        <v>2</v>
      </c>
      <c r="E2" s="14"/>
      <c r="H2" s="27"/>
    </row>
    <row r="3" spans="2:10" x14ac:dyDescent="0.2">
      <c r="E3" s="14"/>
    </row>
    <row r="4" spans="2:10" x14ac:dyDescent="0.2">
      <c r="C4" s="6" t="s">
        <v>128</v>
      </c>
      <c r="E4" s="14"/>
    </row>
    <row r="6" spans="2:10" ht="56.25" customHeight="1" x14ac:dyDescent="0.2">
      <c r="B6" s="12" t="s">
        <v>3</v>
      </c>
      <c r="C6" s="92" t="s">
        <v>121</v>
      </c>
      <c r="D6" s="92"/>
      <c r="E6" s="92"/>
      <c r="F6" s="92"/>
      <c r="G6" s="92"/>
      <c r="H6" s="92"/>
      <c r="I6" s="92"/>
    </row>
    <row r="7" spans="2:10" x14ac:dyDescent="0.2">
      <c r="B7" s="12"/>
      <c r="C7" s="6"/>
    </row>
    <row r="8" spans="2:10" x14ac:dyDescent="0.2">
      <c r="B8" s="12"/>
      <c r="C8" s="4" t="s">
        <v>52</v>
      </c>
      <c r="D8" s="4"/>
      <c r="E8" s="4"/>
      <c r="F8" s="45"/>
    </row>
    <row r="10" spans="2:10" ht="25.5" x14ac:dyDescent="0.2">
      <c r="C10" s="9" t="s">
        <v>119</v>
      </c>
      <c r="D10" s="9" t="s">
        <v>56</v>
      </c>
      <c r="E10" s="8" t="s">
        <v>120</v>
      </c>
      <c r="F10" s="9" t="s">
        <v>115</v>
      </c>
    </row>
    <row r="11" spans="2:10" x14ac:dyDescent="0.2">
      <c r="C11" s="10" t="s">
        <v>81</v>
      </c>
      <c r="D11" s="10" t="s">
        <v>58</v>
      </c>
      <c r="E11" s="35" t="s">
        <v>82</v>
      </c>
      <c r="F11" s="76">
        <v>2435639.2800000003</v>
      </c>
    </row>
    <row r="12" spans="2:10" x14ac:dyDescent="0.2">
      <c r="C12" s="10" t="s">
        <v>77</v>
      </c>
      <c r="D12" s="10" t="s">
        <v>105</v>
      </c>
      <c r="E12" s="35" t="s">
        <v>78</v>
      </c>
      <c r="F12" s="76">
        <v>2557256.84</v>
      </c>
      <c r="I12" s="7"/>
      <c r="J12" s="7"/>
    </row>
    <row r="13" spans="2:10" x14ac:dyDescent="0.2">
      <c r="C13" s="10" t="s">
        <v>79</v>
      </c>
      <c r="D13" s="10" t="s">
        <v>59</v>
      </c>
      <c r="E13" s="35" t="s">
        <v>80</v>
      </c>
      <c r="F13" s="76">
        <v>1346878.1600000001</v>
      </c>
    </row>
    <row r="14" spans="2:10" x14ac:dyDescent="0.2">
      <c r="G14" s="2" t="s">
        <v>54</v>
      </c>
    </row>
    <row r="15" spans="2:10" x14ac:dyDescent="0.2">
      <c r="C15" s="4"/>
      <c r="D15" s="5"/>
    </row>
    <row r="16" spans="2:10" ht="37.5" customHeight="1" x14ac:dyDescent="0.2">
      <c r="B16" s="12" t="s">
        <v>5</v>
      </c>
      <c r="C16" s="95" t="s">
        <v>122</v>
      </c>
      <c r="D16" s="95"/>
      <c r="E16" s="95"/>
      <c r="F16" s="95"/>
      <c r="G16" s="95"/>
      <c r="H16" s="95"/>
      <c r="I16" s="95"/>
    </row>
    <row r="17" spans="2:15" x14ac:dyDescent="0.2">
      <c r="E17" s="14"/>
    </row>
    <row r="18" spans="2:15" x14ac:dyDescent="0.2">
      <c r="C18" s="4" t="s">
        <v>52</v>
      </c>
      <c r="D18" s="4"/>
      <c r="E18" s="14"/>
      <c r="F18" s="45"/>
    </row>
    <row r="19" spans="2:15" x14ac:dyDescent="0.2">
      <c r="E19" s="14"/>
    </row>
    <row r="20" spans="2:15" x14ac:dyDescent="0.2">
      <c r="C20" s="11" t="s">
        <v>53</v>
      </c>
      <c r="D20" s="11" t="s">
        <v>57</v>
      </c>
      <c r="E20" s="14"/>
    </row>
    <row r="21" spans="2:15" x14ac:dyDescent="0.2">
      <c r="C21" s="40" t="s">
        <v>87</v>
      </c>
      <c r="D21" s="36">
        <v>11</v>
      </c>
      <c r="E21" s="17"/>
      <c r="F21" s="1"/>
      <c r="G21" s="1"/>
      <c r="H21" s="1"/>
      <c r="I21" s="1"/>
      <c r="J21" s="1"/>
      <c r="K21" s="1"/>
      <c r="L21" s="1"/>
      <c r="M21" s="1"/>
      <c r="N21" s="1"/>
    </row>
    <row r="22" spans="2:15" x14ac:dyDescent="0.2">
      <c r="C22" s="40" t="s">
        <v>97</v>
      </c>
      <c r="D22" s="36">
        <v>12</v>
      </c>
      <c r="E22" s="17"/>
      <c r="F22" s="1"/>
      <c r="G22" s="1"/>
      <c r="H22" s="1"/>
      <c r="I22" s="1"/>
      <c r="J22" s="1"/>
      <c r="K22" s="1"/>
      <c r="L22" s="1"/>
      <c r="M22" s="1"/>
      <c r="N22" s="1"/>
    </row>
    <row r="23" spans="2:15" x14ac:dyDescent="0.2">
      <c r="C23" s="40" t="s">
        <v>83</v>
      </c>
      <c r="D23" s="36">
        <v>12</v>
      </c>
      <c r="E23" s="17"/>
      <c r="F23" s="1"/>
      <c r="G23" s="1"/>
      <c r="H23" s="1"/>
      <c r="I23" s="1"/>
      <c r="J23" s="1"/>
      <c r="K23" s="1"/>
      <c r="L23" s="1"/>
      <c r="M23" s="1"/>
      <c r="N23" s="1"/>
    </row>
    <row r="24" spans="2:15" x14ac:dyDescent="0.2">
      <c r="C24" s="40" t="s">
        <v>95</v>
      </c>
      <c r="D24" s="36">
        <v>8</v>
      </c>
      <c r="E24" s="17"/>
      <c r="F24" s="1"/>
      <c r="G24" s="1"/>
      <c r="H24" s="1"/>
      <c r="I24" s="1"/>
      <c r="J24" s="1"/>
      <c r="K24" s="1"/>
      <c r="L24" s="1"/>
      <c r="M24" s="1"/>
      <c r="N24" s="1"/>
    </row>
    <row r="25" spans="2:15" x14ac:dyDescent="0.2">
      <c r="C25" s="41" t="s">
        <v>4</v>
      </c>
      <c r="D25" s="41"/>
      <c r="E25" s="46"/>
      <c r="F25" s="1"/>
      <c r="G25" s="1"/>
      <c r="H25" s="1"/>
      <c r="I25" s="1"/>
      <c r="J25" s="1"/>
      <c r="K25" s="1"/>
      <c r="L25" s="1"/>
      <c r="M25" s="1"/>
      <c r="N25" s="1"/>
      <c r="O25" s="1"/>
    </row>
    <row r="26" spans="2:15" x14ac:dyDescent="0.2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</row>
    <row r="27" spans="2:15" ht="30" customHeight="1" x14ac:dyDescent="0.2">
      <c r="B27" s="12" t="s">
        <v>6</v>
      </c>
      <c r="C27" s="109" t="s">
        <v>123</v>
      </c>
      <c r="D27" s="109"/>
      <c r="E27" s="109"/>
      <c r="F27" s="109"/>
      <c r="G27" s="109"/>
      <c r="H27" s="109"/>
      <c r="I27" s="109"/>
      <c r="J27" s="42"/>
      <c r="K27" s="42"/>
      <c r="L27" s="1"/>
      <c r="M27" s="1"/>
      <c r="N27" s="1"/>
      <c r="O27" s="1"/>
    </row>
    <row r="28" spans="2:15" x14ac:dyDescent="0.2">
      <c r="B28" s="1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2:15" x14ac:dyDescent="0.2">
      <c r="B29" s="12"/>
      <c r="C29" s="40" t="s">
        <v>0</v>
      </c>
      <c r="D29" s="40">
        <v>41201045</v>
      </c>
      <c r="E29" s="40">
        <v>41351010</v>
      </c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2:15" x14ac:dyDescent="0.2">
      <c r="B30" s="12"/>
      <c r="C30" s="43" t="s">
        <v>49</v>
      </c>
      <c r="D30" s="50">
        <v>13045867</v>
      </c>
      <c r="E30" s="50">
        <v>6244264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x14ac:dyDescent="0.2">
      <c r="B31" s="12"/>
      <c r="C31" s="43" t="s">
        <v>68</v>
      </c>
      <c r="D31" s="50">
        <v>0</v>
      </c>
      <c r="E31" s="50">
        <v>24939373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x14ac:dyDescent="0.2">
      <c r="B32" s="12"/>
      <c r="C32" s="43" t="s">
        <v>71</v>
      </c>
      <c r="D32" s="50">
        <v>0</v>
      </c>
      <c r="E32" s="50">
        <v>5868991</v>
      </c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3:15" x14ac:dyDescent="0.2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3:15" x14ac:dyDescent="0.2">
      <c r="C34" s="2" t="s">
        <v>125</v>
      </c>
      <c r="D34" s="2" t="s">
        <v>124</v>
      </c>
      <c r="K34" s="1"/>
      <c r="L34" s="1"/>
      <c r="M34" s="1"/>
      <c r="N34" s="1"/>
      <c r="O34" s="1"/>
    </row>
    <row r="35" spans="3:15" x14ac:dyDescent="0.2">
      <c r="C35" s="2" t="s">
        <v>9</v>
      </c>
      <c r="D35" s="2">
        <v>41151010</v>
      </c>
      <c r="E35" s="2">
        <v>41162005</v>
      </c>
      <c r="F35" s="2">
        <v>41201045</v>
      </c>
      <c r="G35" s="2">
        <v>41351001</v>
      </c>
      <c r="H35" s="2">
        <v>41351010</v>
      </c>
      <c r="I35" s="2">
        <v>41353501</v>
      </c>
      <c r="J35" s="2" t="s">
        <v>10</v>
      </c>
    </row>
    <row r="36" spans="3:15" x14ac:dyDescent="0.2">
      <c r="C36" s="13" t="s">
        <v>48</v>
      </c>
      <c r="D36" s="66">
        <v>7723246</v>
      </c>
      <c r="E36" s="66"/>
      <c r="F36" s="66">
        <v>6685212</v>
      </c>
      <c r="G36" s="66">
        <v>16434124</v>
      </c>
      <c r="H36" s="66">
        <v>11062517</v>
      </c>
      <c r="I36" s="66">
        <v>8730184</v>
      </c>
      <c r="J36" s="66">
        <v>50635283</v>
      </c>
    </row>
    <row r="37" spans="3:15" x14ac:dyDescent="0.2">
      <c r="C37" s="13" t="s">
        <v>64</v>
      </c>
      <c r="D37" s="66">
        <v>1929407</v>
      </c>
      <c r="E37" s="66"/>
      <c r="F37" s="66">
        <v>23828616</v>
      </c>
      <c r="G37" s="66"/>
      <c r="H37" s="66">
        <v>7479537</v>
      </c>
      <c r="I37" s="66">
        <v>12125603</v>
      </c>
      <c r="J37" s="66">
        <v>45363163</v>
      </c>
    </row>
    <row r="38" spans="3:15" x14ac:dyDescent="0.2">
      <c r="C38" s="13" t="s">
        <v>49</v>
      </c>
      <c r="D38" s="66">
        <v>5757576</v>
      </c>
      <c r="E38" s="66"/>
      <c r="F38" s="66">
        <v>13045867</v>
      </c>
      <c r="G38" s="66">
        <v>13404495</v>
      </c>
      <c r="H38" s="66">
        <v>6244264</v>
      </c>
      <c r="I38" s="66">
        <v>15050333</v>
      </c>
      <c r="J38" s="66">
        <v>53502535</v>
      </c>
    </row>
    <row r="39" spans="3:15" x14ac:dyDescent="0.2">
      <c r="C39" s="13" t="s">
        <v>69</v>
      </c>
      <c r="D39" s="66">
        <v>1361120</v>
      </c>
      <c r="E39" s="66"/>
      <c r="F39" s="66">
        <v>8462624</v>
      </c>
      <c r="G39" s="66">
        <v>20633865</v>
      </c>
      <c r="H39" s="66"/>
      <c r="I39" s="66">
        <v>7773150</v>
      </c>
      <c r="J39" s="66">
        <v>38230759</v>
      </c>
    </row>
    <row r="40" spans="3:15" x14ac:dyDescent="0.2">
      <c r="C40" s="13" t="s">
        <v>68</v>
      </c>
      <c r="D40" s="66"/>
      <c r="E40" s="66">
        <v>6219802</v>
      </c>
      <c r="F40" s="66"/>
      <c r="G40" s="66">
        <v>6764799</v>
      </c>
      <c r="H40" s="66">
        <v>24939373</v>
      </c>
      <c r="I40" s="66">
        <v>6975871</v>
      </c>
      <c r="J40" s="66">
        <v>44899845</v>
      </c>
    </row>
    <row r="41" spans="3:15" x14ac:dyDescent="0.2">
      <c r="C41" s="13" t="s">
        <v>71</v>
      </c>
      <c r="D41" s="66">
        <v>9479945</v>
      </c>
      <c r="E41" s="66">
        <v>10575404</v>
      </c>
      <c r="F41" s="66"/>
      <c r="G41" s="66"/>
      <c r="H41" s="66">
        <v>5868991</v>
      </c>
      <c r="I41" s="66"/>
      <c r="J41" s="66">
        <v>25924340</v>
      </c>
    </row>
    <row r="42" spans="3:15" x14ac:dyDescent="0.2">
      <c r="C42" s="13" t="s">
        <v>66</v>
      </c>
      <c r="D42" s="66"/>
      <c r="E42" s="66">
        <v>1155187</v>
      </c>
      <c r="F42" s="66">
        <v>3656564</v>
      </c>
      <c r="G42" s="66">
        <v>8982217</v>
      </c>
      <c r="H42" s="66"/>
      <c r="I42" s="66"/>
      <c r="J42" s="66">
        <v>13793968</v>
      </c>
    </row>
    <row r="43" spans="3:15" x14ac:dyDescent="0.2">
      <c r="C43" s="13" t="s">
        <v>70</v>
      </c>
      <c r="D43" s="66"/>
      <c r="E43" s="66">
        <v>1836069</v>
      </c>
      <c r="F43" s="66">
        <v>3868144</v>
      </c>
      <c r="G43" s="66"/>
      <c r="H43" s="66">
        <v>7422525</v>
      </c>
      <c r="I43" s="66"/>
      <c r="J43" s="66">
        <v>13126738</v>
      </c>
    </row>
    <row r="44" spans="3:15" x14ac:dyDescent="0.2">
      <c r="C44" s="13" t="s">
        <v>10</v>
      </c>
      <c r="D44" s="66">
        <v>26251294</v>
      </c>
      <c r="E44" s="66">
        <v>19786462</v>
      </c>
      <c r="F44" s="66">
        <v>59547027</v>
      </c>
      <c r="G44" s="66">
        <v>66219500</v>
      </c>
      <c r="H44" s="66">
        <v>63017207</v>
      </c>
      <c r="I44" s="66">
        <v>50655141</v>
      </c>
      <c r="J44" s="66">
        <v>285476631</v>
      </c>
    </row>
    <row r="45" spans="3:15" x14ac:dyDescent="0.2">
      <c r="C45"/>
      <c r="D45"/>
      <c r="E45"/>
      <c r="F45" s="14"/>
      <c r="G45" s="14"/>
      <c r="H45" s="14"/>
      <c r="I45" s="14"/>
    </row>
    <row r="46" spans="3:15" x14ac:dyDescent="0.2">
      <c r="C46"/>
      <c r="D46"/>
      <c r="E46"/>
      <c r="F46" s="14"/>
      <c r="G46" s="14"/>
      <c r="H46" s="14"/>
      <c r="I46" s="14"/>
    </row>
    <row r="47" spans="3:15" x14ac:dyDescent="0.2">
      <c r="C47"/>
      <c r="D47"/>
      <c r="E47"/>
      <c r="F47" s="14"/>
      <c r="G47" s="14"/>
      <c r="H47" s="14"/>
      <c r="I47" s="14"/>
    </row>
    <row r="48" spans="3:15" x14ac:dyDescent="0.2">
      <c r="C48"/>
      <c r="D48"/>
      <c r="E48"/>
      <c r="F48" s="14"/>
      <c r="G48" s="14"/>
      <c r="H48" s="14"/>
      <c r="I48" s="14"/>
    </row>
    <row r="49" spans="2:17" x14ac:dyDescent="0.2">
      <c r="C49"/>
      <c r="D49"/>
      <c r="E49"/>
      <c r="F49" s="14"/>
      <c r="G49" s="14"/>
      <c r="H49" s="14"/>
      <c r="I49" s="14"/>
    </row>
    <row r="50" spans="2:17" x14ac:dyDescent="0.2">
      <c r="C50"/>
      <c r="D50"/>
      <c r="E50"/>
      <c r="F50" s="14"/>
      <c r="G50" s="14"/>
      <c r="H50" s="14"/>
      <c r="I50" s="14"/>
    </row>
    <row r="51" spans="2:17" x14ac:dyDescent="0.2">
      <c r="C51"/>
      <c r="D51"/>
      <c r="E51"/>
      <c r="F51" s="14"/>
      <c r="G51" s="14"/>
      <c r="H51" s="14"/>
      <c r="I51" s="14"/>
    </row>
    <row r="52" spans="2:17" x14ac:dyDescent="0.2">
      <c r="C52" s="13"/>
      <c r="D52" s="14"/>
      <c r="E52" s="14"/>
      <c r="F52" s="14"/>
      <c r="G52" s="14"/>
      <c r="H52" s="14"/>
      <c r="I52" s="14"/>
    </row>
    <row r="54" spans="2:17" ht="42" customHeight="1" x14ac:dyDescent="0.2">
      <c r="B54" s="12" t="s">
        <v>8</v>
      </c>
      <c r="C54" s="95" t="s">
        <v>126</v>
      </c>
      <c r="D54" s="95"/>
      <c r="E54" s="95"/>
      <c r="F54" s="95"/>
      <c r="G54" s="95"/>
      <c r="H54" s="95"/>
      <c r="I54" s="95"/>
      <c r="J54" s="95"/>
      <c r="K54" s="95"/>
    </row>
    <row r="56" spans="2:17" ht="38.25" x14ac:dyDescent="0.2">
      <c r="C56" s="67" t="s">
        <v>119</v>
      </c>
      <c r="D56" s="67" t="s">
        <v>127</v>
      </c>
      <c r="E56" s="68" t="s">
        <v>120</v>
      </c>
      <c r="F56" s="68" t="s">
        <v>73</v>
      </c>
      <c r="G56" s="68" t="s">
        <v>56</v>
      </c>
      <c r="H56" s="67" t="s">
        <v>110</v>
      </c>
      <c r="I56" s="67" t="s">
        <v>99</v>
      </c>
      <c r="J56" s="67" t="s">
        <v>116</v>
      </c>
      <c r="K56" s="67" t="s">
        <v>111</v>
      </c>
      <c r="L56" s="67" t="s">
        <v>112</v>
      </c>
      <c r="M56" s="67" t="s">
        <v>113</v>
      </c>
      <c r="N56" s="67" t="s">
        <v>114</v>
      </c>
      <c r="O56" s="67" t="s">
        <v>115</v>
      </c>
      <c r="P56" s="15"/>
      <c r="Q56" s="15"/>
    </row>
    <row r="57" spans="2:17" x14ac:dyDescent="0.2">
      <c r="C57" s="70" t="s">
        <v>91</v>
      </c>
      <c r="D57" s="70">
        <v>1005</v>
      </c>
      <c r="E57" s="70" t="s">
        <v>92</v>
      </c>
      <c r="F57" s="70" t="s">
        <v>74</v>
      </c>
      <c r="G57" s="70" t="s">
        <v>58</v>
      </c>
      <c r="H57" s="69">
        <v>10000000</v>
      </c>
      <c r="I57" s="70">
        <v>30</v>
      </c>
      <c r="J57" s="69">
        <f>+(H57/30)*I57</f>
        <v>10000000</v>
      </c>
      <c r="K57" s="69">
        <f>+J57*4%</f>
        <v>400000</v>
      </c>
      <c r="L57" s="69">
        <f>+J57*4%</f>
        <v>400000</v>
      </c>
      <c r="M57" s="69">
        <f>+IF(H57&gt;5000000,J57*1%,0)</f>
        <v>100000</v>
      </c>
      <c r="N57" s="69">
        <f>+IF(H57&gt;6000000,J57*2%,0)</f>
        <v>200000</v>
      </c>
      <c r="O57" s="69">
        <f>+J57-K57-L57-M57-N57</f>
        <v>8900000</v>
      </c>
      <c r="P57" s="39"/>
      <c r="Q57" s="39"/>
    </row>
    <row r="58" spans="2:17" x14ac:dyDescent="0.2">
      <c r="C58" s="70" t="s">
        <v>75</v>
      </c>
      <c r="D58" s="70">
        <v>1085</v>
      </c>
      <c r="E58" s="70" t="s">
        <v>76</v>
      </c>
      <c r="F58" s="70" t="s">
        <v>74</v>
      </c>
      <c r="G58" s="70" t="s">
        <v>106</v>
      </c>
      <c r="H58" s="69">
        <v>1775644</v>
      </c>
      <c r="I58" s="70">
        <v>28</v>
      </c>
      <c r="J58" s="69">
        <f>+(H58/30)*I58</f>
        <v>1657267.7333333334</v>
      </c>
      <c r="K58" s="69">
        <f>+J58*4%</f>
        <v>66290.709333333332</v>
      </c>
      <c r="L58" s="69">
        <f>+J58*4%</f>
        <v>66290.709333333332</v>
      </c>
      <c r="M58" s="69">
        <f>+IF(H58&gt;5000000,J58*1%,0)</f>
        <v>0</v>
      </c>
      <c r="N58" s="69">
        <f>+IF(H58&gt;6000000,J58*2%,0)</f>
        <v>0</v>
      </c>
      <c r="O58" s="69">
        <f>+J58-K58-L58-M58-N58</f>
        <v>1524686.3146666666</v>
      </c>
      <c r="P58" s="39"/>
      <c r="Q58" s="39"/>
    </row>
    <row r="61" spans="2:17" x14ac:dyDescent="0.2">
      <c r="C61" s="47"/>
    </row>
    <row r="62" spans="2:17" x14ac:dyDescent="0.2">
      <c r="C62" s="47"/>
    </row>
  </sheetData>
  <sheetProtection pivotTables="0"/>
  <mergeCells count="4">
    <mergeCell ref="C6:I6"/>
    <mergeCell ref="C16:I16"/>
    <mergeCell ref="C27:I27"/>
    <mergeCell ref="C54:K54"/>
  </mergeCells>
  <conditionalFormatting sqref="G11:H13">
    <cfRule type="expression" dxfId="14" priority="7">
      <formula>$G$11="Aprobado"</formula>
    </cfRule>
    <cfRule type="expression" dxfId="13" priority="8">
      <formula>$G$11="Reprobado"</formula>
    </cfRule>
  </conditionalFormatting>
  <conditionalFormatting sqref="E21:E24">
    <cfRule type="expression" dxfId="12" priority="5">
      <formula>$E$21="aprobado"</formula>
    </cfRule>
    <cfRule type="expression" dxfId="11" priority="6">
      <formula>$E$21="Reprobado"</formula>
    </cfRule>
  </conditionalFormatting>
  <conditionalFormatting sqref="F30:G32">
    <cfRule type="expression" dxfId="10" priority="3">
      <formula>$F$30="Aprobado"</formula>
    </cfRule>
    <cfRule type="expression" dxfId="9" priority="4">
      <formula>$F$30="Reprobado"</formula>
    </cfRule>
  </conditionalFormatting>
  <conditionalFormatting sqref="C61:C62">
    <cfRule type="expression" dxfId="8" priority="1">
      <formula>$C$61="Aprobado"</formula>
    </cfRule>
    <cfRule type="expression" dxfId="7" priority="2">
      <formula>$C$61="Reprobado"</formula>
    </cfRule>
  </conditionalFormatting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Inicio</vt:lpstr>
      <vt:lpstr>CeldaCorreo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Joaquin Elias Gomez Zuniga</dc:creator>
  <cp:lastModifiedBy>Joaquin Elias Gomez Zuniga</cp:lastModifiedBy>
  <dcterms:created xsi:type="dcterms:W3CDTF">2023-04-13T23:07:55Z</dcterms:created>
  <dcterms:modified xsi:type="dcterms:W3CDTF">2023-05-13T04:52:12Z</dcterms:modified>
</cp:coreProperties>
</file>