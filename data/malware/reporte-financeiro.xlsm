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29B4F5C2-7DBB-45BF-BE35-C4CD25C2A995}" xr6:coauthVersionLast="47" xr6:coauthVersionMax="47" xr10:uidLastSave="{00000000-0000-0000-0000-000000000000}"/>
  <bookViews>
    <workbookView xWindow="-98" yWindow="-98" windowWidth="26116" windowHeight="15675" activeTab="1" xr2:uid="{00000000-000D-0000-FFFF-FFFF00000000}"/>
  </bookViews>
  <sheets>
    <sheet name="Summary" sheetId="4" r:id="rId1"/>
    <sheet name="Assets" sheetId="1" r:id="rId2"/>
    <sheet name="Liabilities and owner's equity" sheetId="2" r:id="rId3"/>
  </sheets>
  <functionGroups builtInGroupCount="19"/>
  <definedNames>
    <definedName name="Current_Year">Summary!$D$3</definedName>
    <definedName name="Preceding_Year">Summary!$C$3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4" l="1"/>
  <c r="D3" i="4"/>
  <c r="D2" i="1" s="1"/>
  <c r="C3" i="4"/>
  <c r="C2" i="1" s="1"/>
  <c r="C19" i="2"/>
  <c r="D19" i="2"/>
  <c r="C14" i="2"/>
  <c r="D14" i="2"/>
  <c r="C10" i="2"/>
  <c r="D10" i="2"/>
  <c r="C21" i="1"/>
  <c r="D21" i="1"/>
  <c r="C17" i="1"/>
  <c r="D17" i="1"/>
  <c r="C10" i="1"/>
  <c r="D10" i="1"/>
  <c r="C5" i="4" l="1"/>
  <c r="D6" i="4"/>
  <c r="D5" i="4"/>
  <c r="D2" i="2"/>
  <c r="C2" i="2"/>
  <c r="C7" i="4" l="1"/>
  <c r="D7" i="4"/>
</calcChain>
</file>

<file path=xl/sharedStrings.xml><?xml version="1.0" encoding="utf-8"?>
<sst xmlns="http://schemas.openxmlformats.org/spreadsheetml/2006/main" count="57" uniqueCount="42">
  <si>
    <t xml:space="preserve"> </t>
  </si>
  <si>
    <t>Cash</t>
  </si>
  <si>
    <t>Investments</t>
  </si>
  <si>
    <t>Inventories</t>
  </si>
  <si>
    <t>Accounts receivable</t>
  </si>
  <si>
    <t>Pre-paid expenses</t>
  </si>
  <si>
    <t>Other</t>
  </si>
  <si>
    <t>Property and equipment</t>
  </si>
  <si>
    <t>Leasehold improvements</t>
  </si>
  <si>
    <t>Equity and other investments</t>
  </si>
  <si>
    <t>Less accumulated depreciation</t>
  </si>
  <si>
    <t>Total Fixed Assets</t>
  </si>
  <si>
    <t>Total Other Assets</t>
  </si>
  <si>
    <t>Accounts payable</t>
  </si>
  <si>
    <t>Accrued wages</t>
  </si>
  <si>
    <t>Accrued compensation</t>
  </si>
  <si>
    <t>Income taxes payable</t>
  </si>
  <si>
    <t>Unearned revenue</t>
  </si>
  <si>
    <t>Mortgage payable</t>
  </si>
  <si>
    <t>Investment capital</t>
  </si>
  <si>
    <t>Accumulated retained earnings</t>
  </si>
  <si>
    <t>Balance</t>
  </si>
  <si>
    <t>Year 1</t>
  </si>
  <si>
    <t>Year 2</t>
  </si>
  <si>
    <t>Balance summary</t>
  </si>
  <si>
    <t>Total assets</t>
  </si>
  <si>
    <t>Total liabilities and owner's equity</t>
  </si>
  <si>
    <t>Current assets</t>
  </si>
  <si>
    <t>Total current assets</t>
  </si>
  <si>
    <t>Fixed assets</t>
  </si>
  <si>
    <t>Other assets</t>
  </si>
  <si>
    <t>Goodwill assets</t>
  </si>
  <si>
    <t>Current liabilities</t>
  </si>
  <si>
    <t>Long-term liabilities</t>
  </si>
  <si>
    <t>Total current liabilities</t>
  </si>
  <si>
    <t>Total long-term liabilities</t>
  </si>
  <si>
    <t>Owner's equity</t>
  </si>
  <si>
    <t>Total owner's equity</t>
  </si>
  <si>
    <t>Balance Sheet</t>
  </si>
  <si>
    <t>Assets</t>
  </si>
  <si>
    <t>Liabilities and owner's equity</t>
  </si>
  <si>
    <t>Altice International S.à r.l.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</si>
</sst>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1" x14ac:knownFonts="1">
    <font>
      <sz val="11"/>
      <color theme="1"/>
      <name val="Franklin Gothic Book"/>
      <family val="2"/>
      <scheme val="minor"/>
    </font>
    <font>
      <sz val="11"/>
      <color theme="3"/>
      <name val="Franklin Gothic Book"/>
      <family val="2"/>
      <scheme val="minor"/>
    </font>
    <font>
      <sz val="11"/>
      <color theme="3"/>
      <name val="Constantia"/>
      <family val="2"/>
      <scheme val="major"/>
    </font>
    <font>
      <sz val="11"/>
      <name val="Franklin Gothic Book"/>
      <family val="2"/>
      <scheme val="minor"/>
    </font>
    <font>
      <sz val="12"/>
      <color theme="5"/>
      <name val="Franklin Gothic Book"/>
      <family val="2"/>
      <scheme val="minor"/>
    </font>
    <font>
      <b/>
      <sz val="12"/>
      <color theme="1"/>
      <name val="Franklin Gothic Book"/>
      <family val="2"/>
      <scheme val="minor"/>
    </font>
    <font>
      <sz val="11"/>
      <color theme="0"/>
      <name val="Franklin Gothic Book"/>
      <family val="2"/>
      <scheme val="minor"/>
    </font>
    <font>
      <sz val="11"/>
      <color theme="5"/>
      <name val="Franklin Gothic Book"/>
      <family val="2"/>
      <scheme val="minor"/>
    </font>
    <font>
      <sz val="18"/>
      <color theme="8" tint="0.59999389629810485"/>
      <name val="Constantia"/>
      <family val="1"/>
      <scheme val="major"/>
    </font>
    <font>
      <b/>
      <sz val="45"/>
      <color theme="0"/>
      <name val="Constantia"/>
      <family val="1"/>
      <scheme val="major"/>
    </font>
    <font>
      <sz val="28"/>
      <color theme="8" tint="0.59999389629810485"/>
      <name val="Constant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599963377788628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theme="6" tint="0.79998168889431442"/>
      </bottom>
      <diagonal/>
    </border>
    <border>
      <left/>
      <right/>
      <top/>
      <bottom style="thin">
        <color theme="5" tint="0.79998168889431442"/>
      </bottom>
      <diagonal/>
    </border>
    <border>
      <left/>
      <right/>
      <top style="thin">
        <color theme="6" tint="0.79995117038483843"/>
      </top>
      <bottom/>
      <diagonal/>
    </border>
    <border>
      <left style="thin">
        <color theme="5"/>
      </left>
      <right/>
      <top/>
      <bottom/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5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5"/>
      </left>
      <right style="thin">
        <color theme="8" tint="0.39994506668294322"/>
      </right>
      <top style="thin">
        <color theme="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5"/>
      </right>
      <top style="thin">
        <color theme="5"/>
      </top>
      <bottom style="thin">
        <color theme="8" tint="0.39994506668294322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 style="thin">
        <color theme="5"/>
      </left>
      <right/>
      <top/>
      <bottom style="thin">
        <color theme="5"/>
      </bottom>
      <diagonal/>
    </border>
    <border>
      <left/>
      <right/>
      <top/>
      <bottom style="thick">
        <color theme="5"/>
      </bottom>
      <diagonal/>
    </border>
    <border>
      <left style="thin">
        <color theme="5"/>
      </left>
      <right style="thin">
        <color theme="8" tint="0.39994506668294322"/>
      </right>
      <top style="thin">
        <color theme="8" tint="0.39994506668294322"/>
      </top>
      <bottom style="thick">
        <color theme="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ck">
        <color theme="5"/>
      </bottom>
      <diagonal/>
    </border>
    <border>
      <left style="thin">
        <color theme="8" tint="0.39994506668294322"/>
      </left>
      <right style="thin">
        <color theme="5"/>
      </right>
      <top style="thin">
        <color theme="8" tint="0.39994506668294322"/>
      </top>
      <bottom style="thick">
        <color theme="5"/>
      </bottom>
      <diagonal/>
    </border>
    <border>
      <left style="thin">
        <color theme="5"/>
      </left>
      <right style="thin">
        <color theme="5"/>
      </right>
      <top/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 vertical="center" indent="2"/>
    </xf>
    <xf numFmtId="0" fontId="2" fillId="0" borderId="2" xfId="0" applyFont="1" applyBorder="1" applyAlignment="1">
      <alignment horizontal="left" indent="2"/>
    </xf>
    <xf numFmtId="0" fontId="0" fillId="0" borderId="4" xfId="0" applyBorder="1" applyAlignment="1">
      <alignment horizontal="left" vertical="center" indent="2"/>
    </xf>
    <xf numFmtId="0" fontId="0" fillId="2" borderId="4" xfId="0" applyFill="1" applyBorder="1" applyAlignment="1">
      <alignment horizontal="left" vertical="center" indent="2"/>
    </xf>
    <xf numFmtId="0" fontId="0" fillId="3" borderId="0" xfId="0" applyFill="1" applyAlignment="1">
      <alignment horizontal="right" vertical="center" indent="2"/>
    </xf>
    <xf numFmtId="0" fontId="4" fillId="0" borderId="2" xfId="0" applyFont="1" applyBorder="1" applyAlignment="1">
      <alignment horizontal="right" indent="2"/>
    </xf>
    <xf numFmtId="0" fontId="0" fillId="0" borderId="0" xfId="0" applyAlignment="1">
      <alignment horizontal="right" vertical="center" indent="2"/>
    </xf>
    <xf numFmtId="164" fontId="0" fillId="0" borderId="0" xfId="0" applyNumberFormat="1" applyAlignment="1">
      <alignment horizontal="right" vertical="center" indent="2"/>
    </xf>
    <xf numFmtId="164" fontId="0" fillId="0" borderId="5" xfId="0" applyNumberFormat="1" applyBorder="1" applyAlignment="1">
      <alignment horizontal="right" vertical="center" indent="2"/>
    </xf>
    <xf numFmtId="164" fontId="0" fillId="2" borderId="0" xfId="0" applyNumberFormat="1" applyFill="1" applyAlignment="1">
      <alignment horizontal="right" vertical="center" indent="2"/>
    </xf>
    <xf numFmtId="164" fontId="0" fillId="2" borderId="5" xfId="0" applyNumberFormat="1" applyFill="1" applyBorder="1" applyAlignment="1">
      <alignment horizontal="right" vertical="center" indent="2"/>
    </xf>
    <xf numFmtId="0" fontId="1" fillId="3" borderId="0" xfId="0" applyFont="1" applyFill="1" applyAlignment="1">
      <alignment horizontal="right" vertical="center" indent="2"/>
    </xf>
    <xf numFmtId="0" fontId="4" fillId="0" borderId="3" xfId="0" applyFont="1" applyBorder="1" applyAlignment="1">
      <alignment horizontal="right" vertical="center" indent="2"/>
    </xf>
    <xf numFmtId="0" fontId="6" fillId="3" borderId="2" xfId="0" applyFont="1" applyFill="1" applyBorder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0" fontId="5" fillId="0" borderId="5" xfId="0" applyFont="1" applyBorder="1" applyAlignment="1">
      <alignment horizontal="left" vertical="center" indent="2"/>
    </xf>
    <xf numFmtId="0" fontId="7" fillId="0" borderId="19" xfId="0" applyFont="1" applyBorder="1" applyAlignment="1">
      <alignment horizontal="right" vertical="center" indent="2"/>
    </xf>
    <xf numFmtId="0" fontId="7" fillId="0" borderId="4" xfId="0" applyFont="1" applyBorder="1" applyAlignment="1">
      <alignment horizontal="right" vertical="center" indent="2"/>
    </xf>
    <xf numFmtId="164" fontId="0" fillId="0" borderId="15" xfId="0" applyNumberFormat="1" applyBorder="1" applyAlignment="1">
      <alignment horizontal="right" vertical="center" indent="2"/>
    </xf>
    <xf numFmtId="164" fontId="0" fillId="4" borderId="0" xfId="0" applyNumberFormat="1" applyFill="1" applyAlignment="1">
      <alignment horizontal="right" vertical="center" indent="2"/>
    </xf>
    <xf numFmtId="164" fontId="0" fillId="4" borderId="5" xfId="0" applyNumberFormat="1" applyFill="1" applyBorder="1" applyAlignment="1">
      <alignment horizontal="right" vertical="center" indent="2"/>
    </xf>
    <xf numFmtId="0" fontId="8" fillId="3" borderId="0" xfId="0" applyFont="1" applyFill="1" applyAlignment="1">
      <alignment horizontal="left" vertical="center" indent="2"/>
    </xf>
    <xf numFmtId="0" fontId="9" fillId="3" borderId="0" xfId="0" applyFont="1" applyFill="1" applyAlignment="1">
      <alignment horizontal="left" vertical="center" indent="1"/>
    </xf>
    <xf numFmtId="0" fontId="10" fillId="3" borderId="2" xfId="0" applyFont="1" applyFill="1" applyBorder="1" applyAlignment="1">
      <alignment horizontal="left" indent="1"/>
    </xf>
    <xf numFmtId="0" fontId="10" fillId="3" borderId="1" xfId="0" applyFont="1" applyFill="1" applyBorder="1" applyAlignment="1">
      <alignment horizontal="left" indent="1"/>
    </xf>
    <xf numFmtId="0" fontId="5" fillId="0" borderId="12" xfId="0" applyFont="1" applyBorder="1" applyAlignment="1">
      <alignment horizontal="left" vertical="center" indent="2"/>
    </xf>
    <xf numFmtId="0" fontId="7" fillId="0" borderId="13" xfId="0" applyFont="1" applyBorder="1" applyAlignment="1">
      <alignment horizontal="right" vertical="center" indent="2"/>
    </xf>
    <xf numFmtId="0" fontId="7" fillId="0" borderId="14" xfId="0" applyFont="1" applyBorder="1" applyAlignment="1">
      <alignment horizontal="right" vertical="center" indent="2"/>
    </xf>
    <xf numFmtId="0" fontId="0" fillId="0" borderId="15" xfId="0" applyBorder="1" applyAlignment="1">
      <alignment horizontal="left" vertical="center" indent="2"/>
    </xf>
    <xf numFmtId="0" fontId="0" fillId="0" borderId="9" xfId="0" applyBorder="1" applyAlignment="1">
      <alignment horizontal="left" vertical="center" indent="2"/>
    </xf>
    <xf numFmtId="164" fontId="0" fillId="0" borderId="10" xfId="0" applyNumberFormat="1" applyBorder="1" applyAlignment="1">
      <alignment horizontal="right" vertical="center" indent="2"/>
    </xf>
    <xf numFmtId="164" fontId="0" fillId="0" borderId="11" xfId="0" applyNumberFormat="1" applyBorder="1" applyAlignment="1">
      <alignment horizontal="right" vertical="center" indent="2"/>
    </xf>
    <xf numFmtId="0" fontId="0" fillId="0" borderId="6" xfId="0" applyBorder="1" applyAlignment="1">
      <alignment horizontal="left" vertical="center" indent="2"/>
    </xf>
    <xf numFmtId="164" fontId="0" fillId="0" borderId="7" xfId="0" applyNumberFormat="1" applyBorder="1" applyAlignment="1">
      <alignment horizontal="right" vertical="center" indent="2"/>
    </xf>
    <xf numFmtId="164" fontId="0" fillId="0" borderId="8" xfId="0" applyNumberFormat="1" applyBorder="1" applyAlignment="1">
      <alignment horizontal="right" vertical="center" indent="2"/>
    </xf>
    <xf numFmtId="0" fontId="3" fillId="0" borderId="16" xfId="0" applyFont="1" applyBorder="1" applyAlignment="1">
      <alignment horizontal="left" vertical="center" indent="2"/>
    </xf>
    <xf numFmtId="164" fontId="3" fillId="0" borderId="17" xfId="0" applyNumberFormat="1" applyFont="1" applyBorder="1" applyAlignment="1">
      <alignment horizontal="right" vertical="center" indent="2"/>
    </xf>
    <xf numFmtId="164" fontId="3" fillId="0" borderId="18" xfId="0" applyNumberFormat="1" applyFont="1" applyBorder="1" applyAlignment="1">
      <alignment horizontal="right" vertical="center" indent="2"/>
    </xf>
    <xf numFmtId="0" fontId="0" fillId="0" borderId="16" xfId="0" applyBorder="1" applyAlignment="1">
      <alignment horizontal="left" vertical="center" indent="2"/>
    </xf>
    <xf numFmtId="164" fontId="0" fillId="0" borderId="17" xfId="0" applyNumberFormat="1" applyBorder="1" applyAlignment="1">
      <alignment horizontal="right" vertical="center" indent="2"/>
    </xf>
    <xf numFmtId="164" fontId="0" fillId="0" borderId="18" xfId="0" applyNumberFormat="1" applyBorder="1" applyAlignment="1">
      <alignment horizontal="right" vertical="center" indent="2"/>
    </xf>
  </cellXfs>
  <cellStyles count="1">
    <cellStyle name="Normal" xfId="0" builtinId="0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2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>
        <bottom style="thin">
          <color theme="5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2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>
        <bottom style="thin">
          <color theme="5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2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>
        <bottom style="thin">
          <color theme="5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border diagonalUp="0" diagonalDown="0" outline="0">
        <left style="thin">
          <color theme="8" tint="0.3999450666829432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border diagonalUp="0" diagonalDown="0" outline="0">
        <left style="thin">
          <color theme="8" tint="0.39994506668294322"/>
        </left>
        <right style="thin">
          <color theme="5"/>
        </right>
        <top style="thin">
          <color theme="8" tint="0.39994506668294322"/>
        </top>
        <bottom style="thin">
          <color theme="8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2" justifyLastLine="0" shrinkToFit="0" readingOrder="0"/>
      <border diagonalUp="0" diagonalDown="0" outline="0">
        <left/>
        <right style="thin">
          <color theme="8" tint="0.3999450666829432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2" justifyLastLine="0" shrinkToFit="0" readingOrder="0"/>
      <border diagonalUp="0" diagonalDown="0" outline="0">
        <left style="thin">
          <color theme="5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border>
        <top style="thin">
          <color theme="8" tint="0.39994506668294322"/>
        </top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8" tint="0.39994506668294322"/>
        </left>
        <right style="thin">
          <color theme="8" tint="0.39994506668294322"/>
        </right>
        <top/>
        <bottom/>
      </border>
    </dxf>
    <dxf>
      <fill>
        <patternFill patternType="none">
          <fgColor indexed="64"/>
          <bgColor auto="1"/>
        </patternFill>
      </fill>
    </dxf>
    <dxf>
      <border>
        <bottom style="thin">
          <color theme="5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border diagonalUp="0" diagonalDown="0" outline="0">
        <left style="thin">
          <color theme="8" tint="0.3999450666829432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border diagonalUp="0" diagonalDown="0" outline="0">
        <left style="thin">
          <color theme="8" tint="0.39994506668294322"/>
        </left>
        <right style="thin">
          <color theme="5"/>
        </right>
        <top style="thin">
          <color theme="8" tint="0.39994506668294322"/>
        </top>
        <bottom style="thin">
          <color theme="8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2" justifyLastLine="0" shrinkToFit="0" readingOrder="0"/>
      <border diagonalUp="0" diagonalDown="0" outline="0">
        <left/>
        <right style="thin">
          <color theme="8" tint="0.3999450666829432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2" justifyLastLine="0" shrinkToFit="0" readingOrder="0"/>
      <border diagonalUp="0" diagonalDown="0" outline="0">
        <left style="thin">
          <color theme="5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border>
        <top style="thin">
          <color theme="8" tint="0.39994506668294322"/>
        </top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theme="8" tint="0.39994506668294322"/>
        </left>
        <right style="thin">
          <color theme="8" tint="0.39994506668294322"/>
        </right>
        <top/>
        <bottom/>
      </border>
    </dxf>
    <dxf>
      <fill>
        <patternFill patternType="none">
          <fgColor indexed="64"/>
          <bgColor auto="1"/>
        </patternFill>
      </fill>
    </dxf>
    <dxf>
      <border>
        <bottom style="thin">
          <color theme="5"/>
        </bottom>
      </border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border diagonalUp="0" diagonalDown="0" outline="0">
        <left style="thin">
          <color theme="8" tint="0.39994506668294322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name val="Franklin Gothic Book"/>
      </font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border diagonalUp="0" diagonalDown="0" outline="0">
        <left style="thin">
          <color theme="8" tint="0.39994506668294322"/>
        </left>
        <right style="thin">
          <color theme="5"/>
        </right>
        <top style="thin">
          <color theme="8" tint="0.39994506668294322"/>
        </top>
        <bottom style="thin">
          <color theme="8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4" formatCode="&quot;$&quot;#,##0.00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Franklin Gothic Book"/>
      </font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border diagonalUp="0" diagonalDown="0" outline="0"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2" justifyLastLine="0" shrinkToFit="0" readingOrder="0"/>
      <border diagonalUp="0" diagonalDown="0" outline="0">
        <left/>
        <right style="thin">
          <color theme="8" tint="0.39994506668294322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Franklin Gothic Book"/>
      </font>
      <fill>
        <patternFill patternType="none">
          <fgColor indexed="64"/>
          <bgColor auto="1"/>
        </patternFill>
      </fill>
      <alignment horizontal="left" textRotation="0" wrapText="0" indent="2" justifyLastLine="0" shrinkToFit="0" readingOrder="0"/>
      <border diagonalUp="0" diagonalDown="0" outline="0">
        <left style="thin">
          <color theme="5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</border>
    </dxf>
    <dxf>
      <border>
        <top style="thin">
          <color theme="8" tint="0.39994506668294322"/>
        </top>
      </border>
    </dxf>
    <dxf>
      <font>
        <strike val="0"/>
        <outline val="0"/>
        <shadow val="0"/>
        <u val="none"/>
        <vertAlign val="baseline"/>
        <sz val="11"/>
        <color auto="1"/>
        <name val="Franklin Gothic Book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8" tint="0.39994506668294322"/>
        </left>
        <right style="thin">
          <color theme="8" tint="0.39994506668294322"/>
        </right>
        <top/>
        <bottom/>
      </border>
    </dxf>
    <dxf>
      <font>
        <strike val="0"/>
        <outline val="0"/>
        <shadow val="0"/>
        <u val="none"/>
        <vertAlign val="baseline"/>
        <sz val="11"/>
        <name val="Franklin Gothic Book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border>
        <bottom style="thin">
          <color theme="5"/>
        </bottom>
      </border>
    </dxf>
    <dxf>
      <font>
        <strike val="0"/>
        <outline val="0"/>
        <shadow val="0"/>
        <u val="none"/>
        <vertAlign val="baseline"/>
        <sz val="11"/>
        <name val="Franklin Gothic Book"/>
      </font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numFmt numFmtId="164" formatCode="&quot;$&quot;#,##0.00"/>
      <fill>
        <patternFill patternType="solid">
          <fgColor indexed="64"/>
          <bgColor theme="8" tint="0.59996337778862885"/>
        </patternFill>
      </fill>
      <alignment horizontal="right" vertical="center" textRotation="0" wrapText="0" indent="2" justifyLastLine="0" shrinkToFit="0" readingOrder="0"/>
      <border diagonalUp="0" diagonalDown="0" outline="0">
        <left/>
        <right style="thin">
          <color theme="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alignment horizontal="right" vertical="center" textRotation="0" wrapText="0" indent="2" justifyLastLine="0" shrinkToFit="0" readingOrder="0"/>
      <border diagonalUp="0" diagonalDown="0">
        <left/>
        <right style="thin">
          <color theme="5"/>
        </right>
        <top/>
        <bottom/>
        <vertical/>
        <horizontal/>
      </border>
    </dxf>
    <dxf>
      <numFmt numFmtId="164" formatCode="&quot;$&quot;#,##0.00"/>
      <fill>
        <patternFill patternType="solid">
          <fgColor indexed="64"/>
          <bgColor theme="8" tint="0.59996337778862885"/>
        </patternFill>
      </fill>
      <alignment horizontal="right" vertical="center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numFmt numFmtId="164" formatCode="&quot;$&quot;#,##0.00"/>
      <alignment horizontal="right" vertical="center" textRotation="0" wrapText="0" indent="2" justifyLastLine="0" shrinkToFit="0" readingOrder="0"/>
    </dxf>
    <dxf>
      <alignment horizontal="left" vertical="center" textRotation="0" wrapText="0" indent="2" justifyLastLine="0" shrinkToFit="0" readingOrder="0"/>
      <border diagonalUp="0" diagonalDown="0" outline="0">
        <left style="thin">
          <color theme="5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scheme val="minor"/>
      </font>
      <alignment horizontal="left" vertical="center" textRotation="0" wrapText="0" indent="2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4" tint="0.59996337778862885"/>
        </patternFill>
      </fill>
      <border>
        <bottom style="thick">
          <color theme="5"/>
        </bottom>
      </border>
    </dxf>
    <dxf>
      <font>
        <b val="0"/>
        <i val="0"/>
        <strike val="0"/>
        <color theme="0"/>
      </font>
      <fill>
        <patternFill patternType="solid">
          <fgColor theme="3"/>
          <bgColor theme="5"/>
        </patternFill>
      </fill>
      <border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5" tint="0.59996337778862885"/>
        </vertical>
        <horizontal style="thin">
          <color theme="3"/>
        </horizontal>
      </border>
    </dxf>
    <dxf>
      <border>
        <left style="thin">
          <color theme="5"/>
        </left>
        <right style="thin">
          <color theme="5"/>
        </right>
        <top style="thin">
          <color theme="5"/>
        </top>
        <bottom style="thick">
          <color theme="5"/>
        </bottom>
        <vertical style="thin">
          <color theme="8" tint="0.39994506668294322"/>
        </vertical>
        <horizontal style="thin">
          <color theme="8" tint="0.39994506668294322"/>
        </horizontal>
      </border>
    </dxf>
  </dxfs>
  <tableStyles count="1" defaultTableStyle="TableStyleMedium2" defaultPivotStyle="PivotStyleLight16">
    <tableStyle name="Business Table" pivot="0" count="4" xr9:uid="{00000000-0011-0000-FFFF-FFFF00000000}">
      <tableStyleElement type="wholeTable" dxfId="72"/>
      <tableStyleElement type="headerRow" dxfId="71"/>
      <tableStyleElement type="totalRow" dxfId="70"/>
      <tableStyleElement type="secondRowStripe" dxfId="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accent2"/>
                </a:solidFill>
                <a:latin typeface="+mj-lt"/>
                <a:ea typeface="+mn-ea"/>
                <a:cs typeface="+mn-cs"/>
              </a:defRPr>
            </a:pPr>
            <a:r>
              <a:rPr lang="en-US" sz="1000" b="1">
                <a:solidFill>
                  <a:schemeClr val="accent2"/>
                </a:solidFill>
                <a:latin typeface="+mj-lt"/>
              </a:rPr>
              <a:t>Assets</a:t>
            </a:r>
          </a:p>
        </c:rich>
      </c:tx>
      <c:layout>
        <c:manualLayout>
          <c:xMode val="edge"/>
          <c:yMode val="edge"/>
          <c:x val="1.2538232720909868E-2"/>
          <c:y val="2.59740259740259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accent2"/>
              </a:solidFill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6318122697570812"/>
          <c:y val="0.17336401131676724"/>
          <c:w val="0.67404923791054305"/>
          <c:h val="0.797696765177080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Summary!$C$3</c:f>
              <c:strCache>
                <c:ptCount val="1"/>
                <c:pt idx="0">
                  <c:v>Year 2023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(Assets!$B$4:$B$10,Assets!$B$13:$B$16,Assets!$B$20)</c:f>
              <c:strCache>
                <c:ptCount val="12"/>
                <c:pt idx="0">
                  <c:v>Cash</c:v>
                </c:pt>
                <c:pt idx="1">
                  <c:v>Investments</c:v>
                </c:pt>
                <c:pt idx="2">
                  <c:v>Inventories</c:v>
                </c:pt>
                <c:pt idx="3">
                  <c:v>Accounts receivable</c:v>
                </c:pt>
                <c:pt idx="4">
                  <c:v>Pre-paid expenses</c:v>
                </c:pt>
                <c:pt idx="5">
                  <c:v>Other</c:v>
                </c:pt>
                <c:pt idx="6">
                  <c:v>Total current assets</c:v>
                </c:pt>
                <c:pt idx="7">
                  <c:v>Property and equipment</c:v>
                </c:pt>
                <c:pt idx="8">
                  <c:v>Leasehold improvements</c:v>
                </c:pt>
                <c:pt idx="9">
                  <c:v>Equity and other investments</c:v>
                </c:pt>
                <c:pt idx="10">
                  <c:v>Less accumulated depreciation</c:v>
                </c:pt>
                <c:pt idx="11">
                  <c:v>Goodwill assets</c:v>
                </c:pt>
              </c:strCache>
            </c:strRef>
          </c:cat>
          <c:val>
            <c:numRef>
              <c:f>(Assets!$C$4:$C$10,Assets!$C$13:$C$16,Assets!$C$20)</c:f>
              <c:numCache>
                <c:formatCode>"$"#,##0.00</c:formatCode>
                <c:ptCount val="12"/>
                <c:pt idx="0">
                  <c:v>1000</c:v>
                </c:pt>
                <c:pt idx="1">
                  <c:v>1500</c:v>
                </c:pt>
                <c:pt idx="2">
                  <c:v>650</c:v>
                </c:pt>
                <c:pt idx="3">
                  <c:v>150</c:v>
                </c:pt>
                <c:pt idx="4">
                  <c:v>1230</c:v>
                </c:pt>
                <c:pt idx="5">
                  <c:v>120</c:v>
                </c:pt>
                <c:pt idx="6">
                  <c:v>4650</c:v>
                </c:pt>
                <c:pt idx="7">
                  <c:v>2500</c:v>
                </c:pt>
                <c:pt idx="8">
                  <c:v>450</c:v>
                </c:pt>
                <c:pt idx="9">
                  <c:v>1250</c:v>
                </c:pt>
                <c:pt idx="10">
                  <c:v>545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DC-427F-AC9A-071D13E99426}"/>
            </c:ext>
          </c:extLst>
        </c:ser>
        <c:ser>
          <c:idx val="1"/>
          <c:order val="1"/>
          <c:tx>
            <c:strRef>
              <c:f>Summary!$D$3</c:f>
              <c:strCache>
                <c:ptCount val="1"/>
                <c:pt idx="0">
                  <c:v>Year 2024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(Assets!$B$4:$B$10,Assets!$B$13:$B$16,Assets!$B$20)</c:f>
              <c:strCache>
                <c:ptCount val="12"/>
                <c:pt idx="0">
                  <c:v>Cash</c:v>
                </c:pt>
                <c:pt idx="1">
                  <c:v>Investments</c:v>
                </c:pt>
                <c:pt idx="2">
                  <c:v>Inventories</c:v>
                </c:pt>
                <c:pt idx="3">
                  <c:v>Accounts receivable</c:v>
                </c:pt>
                <c:pt idx="4">
                  <c:v>Pre-paid expenses</c:v>
                </c:pt>
                <c:pt idx="5">
                  <c:v>Other</c:v>
                </c:pt>
                <c:pt idx="6">
                  <c:v>Total current assets</c:v>
                </c:pt>
                <c:pt idx="7">
                  <c:v>Property and equipment</c:v>
                </c:pt>
                <c:pt idx="8">
                  <c:v>Leasehold improvements</c:v>
                </c:pt>
                <c:pt idx="9">
                  <c:v>Equity and other investments</c:v>
                </c:pt>
                <c:pt idx="10">
                  <c:v>Less accumulated depreciation</c:v>
                </c:pt>
                <c:pt idx="11">
                  <c:v>Goodwill assets</c:v>
                </c:pt>
              </c:strCache>
            </c:strRef>
          </c:cat>
          <c:val>
            <c:numRef>
              <c:f>(Assets!$D$4:$D$10,Assets!$D$13:$D$16,Assets!$D$20)</c:f>
              <c:numCache>
                <c:formatCode>"$"#,##0.00</c:formatCode>
                <c:ptCount val="12"/>
                <c:pt idx="0">
                  <c:v>1700</c:v>
                </c:pt>
                <c:pt idx="1">
                  <c:v>2550</c:v>
                </c:pt>
                <c:pt idx="2">
                  <c:v>1250</c:v>
                </c:pt>
                <c:pt idx="3">
                  <c:v>230</c:v>
                </c:pt>
                <c:pt idx="4">
                  <c:v>950</c:v>
                </c:pt>
                <c:pt idx="5">
                  <c:v>120</c:v>
                </c:pt>
                <c:pt idx="6">
                  <c:v>6800</c:v>
                </c:pt>
                <c:pt idx="7">
                  <c:v>2500</c:v>
                </c:pt>
                <c:pt idx="8">
                  <c:v>350</c:v>
                </c:pt>
                <c:pt idx="9">
                  <c:v>1600</c:v>
                </c:pt>
                <c:pt idx="10">
                  <c:v>1295</c:v>
                </c:pt>
                <c:pt idx="11">
                  <c:v>190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C-427F-AC9A-071D13E99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506775480"/>
        <c:axId val="506775808"/>
      </c:barChart>
      <c:catAx>
        <c:axId val="50677548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75808"/>
        <c:crosses val="autoZero"/>
        <c:auto val="1"/>
        <c:lblAlgn val="ctr"/>
        <c:lblOffset val="100"/>
        <c:noMultiLvlLbl val="0"/>
      </c:catAx>
      <c:valAx>
        <c:axId val="50677580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775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855658598230779"/>
          <c:y val="1.1631046119235095E-2"/>
          <c:w val="0.24841652571206377"/>
          <c:h val="7.6680539932508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accent2"/>
                </a:solidFill>
                <a:latin typeface="+mj-lt"/>
                <a:ea typeface="+mn-ea"/>
                <a:cs typeface="+mn-cs"/>
              </a:defRPr>
            </a:pPr>
            <a:r>
              <a:rPr lang="en-US" sz="1000" b="1">
                <a:solidFill>
                  <a:schemeClr val="accent2"/>
                </a:solidFill>
                <a:effectLst/>
                <a:latin typeface="+mj-lt"/>
              </a:rPr>
              <a:t>Liabilities and owner's equity</a:t>
            </a:r>
          </a:p>
        </c:rich>
      </c:tx>
      <c:layout>
        <c:manualLayout>
          <c:xMode val="edge"/>
          <c:yMode val="edge"/>
          <c:x val="1.3441897540585192E-2"/>
          <c:y val="2.59740259740259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accent2"/>
              </a:solidFill>
              <a:latin typeface="+mj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446680276076601"/>
          <c:y val="0.18341036915840064"/>
          <c:w val="0.70742957130358708"/>
          <c:h val="0.768480417220574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Summary!$C$3</c:f>
              <c:strCache>
                <c:ptCount val="1"/>
                <c:pt idx="0">
                  <c:v>Year 2023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('Liabilities and owner''s equity'!$B$4:$B$9,'Liabilities and owner''s equity'!$B$13,'Liabilities and owner''s equity'!$B$17:$B$18)</c:f>
              <c:strCache>
                <c:ptCount val="9"/>
                <c:pt idx="0">
                  <c:v>Accounts payable</c:v>
                </c:pt>
                <c:pt idx="1">
                  <c:v>Accrued wages</c:v>
                </c:pt>
                <c:pt idx="2">
                  <c:v>Accrued compensation</c:v>
                </c:pt>
                <c:pt idx="3">
                  <c:v>Income taxes payable</c:v>
                </c:pt>
                <c:pt idx="4">
                  <c:v>Unearned revenue</c:v>
                </c:pt>
                <c:pt idx="5">
                  <c:v>Other</c:v>
                </c:pt>
                <c:pt idx="6">
                  <c:v>Mortgage payable</c:v>
                </c:pt>
                <c:pt idx="7">
                  <c:v>Investment capital</c:v>
                </c:pt>
                <c:pt idx="8">
                  <c:v>Accumulated retained earnings</c:v>
                </c:pt>
              </c:strCache>
            </c:strRef>
          </c:cat>
          <c:val>
            <c:numRef>
              <c:f>('Liabilities and owner''s equity'!$C$4:$C$9,'Liabilities and owner''s equity'!$C$13,'Liabilities and owner''s equity'!$C$17:$C$18)</c:f>
              <c:numCache>
                <c:formatCode>"$"#,##0.00</c:formatCode>
                <c:ptCount val="9"/>
                <c:pt idx="0">
                  <c:v>180</c:v>
                </c:pt>
                <c:pt idx="1">
                  <c:v>250</c:v>
                </c:pt>
                <c:pt idx="2">
                  <c:v>240</c:v>
                </c:pt>
                <c:pt idx="3">
                  <c:v>120</c:v>
                </c:pt>
                <c:pt idx="4">
                  <c:v>0</c:v>
                </c:pt>
                <c:pt idx="5">
                  <c:v>250</c:v>
                </c:pt>
                <c:pt idx="6">
                  <c:v>1500</c:v>
                </c:pt>
                <c:pt idx="7">
                  <c:v>5500</c:v>
                </c:pt>
                <c:pt idx="8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24-482D-817D-30AE983C480C}"/>
            </c:ext>
          </c:extLst>
        </c:ser>
        <c:ser>
          <c:idx val="1"/>
          <c:order val="1"/>
          <c:tx>
            <c:strRef>
              <c:f>Summary!$D$3</c:f>
              <c:strCache>
                <c:ptCount val="1"/>
                <c:pt idx="0">
                  <c:v>Year 2024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('Liabilities and owner''s equity'!$B$4:$B$9,'Liabilities and owner''s equity'!$B$13,'Liabilities and owner''s equity'!$B$17:$B$18)</c:f>
              <c:strCache>
                <c:ptCount val="9"/>
                <c:pt idx="0">
                  <c:v>Accounts payable</c:v>
                </c:pt>
                <c:pt idx="1">
                  <c:v>Accrued wages</c:v>
                </c:pt>
                <c:pt idx="2">
                  <c:v>Accrued compensation</c:v>
                </c:pt>
                <c:pt idx="3">
                  <c:v>Income taxes payable</c:v>
                </c:pt>
                <c:pt idx="4">
                  <c:v>Unearned revenue</c:v>
                </c:pt>
                <c:pt idx="5">
                  <c:v>Other</c:v>
                </c:pt>
                <c:pt idx="6">
                  <c:v>Mortgage payable</c:v>
                </c:pt>
                <c:pt idx="7">
                  <c:v>Investment capital</c:v>
                </c:pt>
                <c:pt idx="8">
                  <c:v>Accumulated retained earnings</c:v>
                </c:pt>
              </c:strCache>
            </c:strRef>
          </c:cat>
          <c:val>
            <c:numRef>
              <c:f>('Liabilities and owner''s equity'!$D$4:$D$9,'Liabilities and owner''s equity'!$D$13,'Liabilities and owner''s equity'!$D$17:$D$18)</c:f>
              <c:numCache>
                <c:formatCode>"$"#,##0.00</c:formatCode>
                <c:ptCount val="9"/>
                <c:pt idx="0">
                  <c:v>252</c:v>
                </c:pt>
                <c:pt idx="1">
                  <c:v>370</c:v>
                </c:pt>
                <c:pt idx="2">
                  <c:v>190</c:v>
                </c:pt>
                <c:pt idx="3">
                  <c:v>130</c:v>
                </c:pt>
                <c:pt idx="4">
                  <c:v>0</c:v>
                </c:pt>
                <c:pt idx="5">
                  <c:v>235</c:v>
                </c:pt>
                <c:pt idx="6">
                  <c:v>1900</c:v>
                </c:pt>
                <c:pt idx="7">
                  <c:v>2500</c:v>
                </c:pt>
                <c:pt idx="8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24-482D-817D-30AE983C4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417355752"/>
        <c:axId val="417357392"/>
      </c:barChart>
      <c:catAx>
        <c:axId val="41735575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57392"/>
        <c:crosses val="autoZero"/>
        <c:auto val="1"/>
        <c:lblAlgn val="ctr"/>
        <c:lblOffset val="100"/>
        <c:noMultiLvlLbl val="0"/>
      </c:catAx>
      <c:valAx>
        <c:axId val="41735739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355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73132302906581"/>
          <c:y val="1.5960050448239425E-2"/>
          <c:w val="0.24808943326528629"/>
          <c:h val="7.66805399325084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5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4</xdr:col>
      <xdr:colOff>0</xdr:colOff>
      <xdr:row>19</xdr:row>
      <xdr:rowOff>0</xdr:rowOff>
    </xdr:to>
    <xdr:graphicFrame macro="">
      <xdr:nvGraphicFramePr>
        <xdr:cNvPr id="5" name="Chart 4" descr="Assets Chart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20</xdr:row>
      <xdr:rowOff>0</xdr:rowOff>
    </xdr:from>
    <xdr:to>
      <xdr:col>4</xdr:col>
      <xdr:colOff>0</xdr:colOff>
      <xdr:row>31</xdr:row>
      <xdr:rowOff>0</xdr:rowOff>
    </xdr:to>
    <xdr:graphicFrame macro="">
      <xdr:nvGraphicFramePr>
        <xdr:cNvPr id="7" name="Chart 6" descr="Liabilities and Owner's Equity char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0000000}" name="Table_Summary" displayName="Table_Summary" ref="B4:D7" totalsRowCount="1">
  <tableColumns count="3">
    <tableColumn id="1" xr3:uid="{00000000-0010-0000-0000-000001000000}" name="Balance summary" totalsRowLabel="Balance" dataDxfId="68" totalsRowDxfId="67"/>
    <tableColumn id="2" xr3:uid="{00000000-0010-0000-0000-000002000000}" name="Year 1" totalsRowFunction="custom" dataDxfId="66" totalsRowDxfId="65">
      <totalsRowFormula>C5-C6</totalsRowFormula>
    </tableColumn>
    <tableColumn id="3" xr3:uid="{00000000-0010-0000-0000-000003000000}" name="Year 2" totalsRowFunction="custom" dataDxfId="64" totalsRowDxfId="63">
      <totalsRowFormula>D5-D6</totalsRowFormula>
    </tableColumn>
  </tableColumns>
  <tableStyleInfo name="Business Tab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CurrentAssets" displayName="Table_CurrentAssets" ref="B3:D10" totalsRowCount="1" headerRowDxfId="62" dataDxfId="60" totalsRowDxfId="59" headerRowBorderDxfId="61" totalsRowBorderDxfId="58">
  <tableColumns count="3">
    <tableColumn id="1" xr3:uid="{00000000-0010-0000-0100-000001000000}" name="Current assets" totalsRowLabel="Total current assets" dataDxfId="57" totalsRowDxfId="56"/>
    <tableColumn id="2" xr3:uid="{00000000-0010-0000-0100-000002000000}" name="Year 1" totalsRowFunction="sum" dataDxfId="55" totalsRowDxfId="54"/>
    <tableColumn id="3" xr3:uid="{00000000-0010-0000-0100-000003000000}" name="Year 2" totalsRowFunction="sum" dataDxfId="53" totalsRowDxfId="52"/>
  </tableColumns>
  <tableStyleInfo name="Business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FixedAssets" displayName="Table_FixedAssets" ref="B12:D17" totalsRowCount="1" headerRowDxfId="51" dataDxfId="49" totalsRowDxfId="48" headerRowBorderDxfId="50" totalsRowBorderDxfId="47">
  <tableColumns count="3">
    <tableColumn id="1" xr3:uid="{00000000-0010-0000-0200-000001000000}" name="Fixed assets" totalsRowLabel="Total Fixed Assets" dataDxfId="46" totalsRowDxfId="45"/>
    <tableColumn id="2" xr3:uid="{00000000-0010-0000-0200-000002000000}" name="Year 1" totalsRowFunction="sum" dataDxfId="44" totalsRowDxfId="43"/>
    <tableColumn id="3" xr3:uid="{00000000-0010-0000-0200-000003000000}" name="Year 2" totalsRowFunction="sum" dataDxfId="42" totalsRowDxfId="41"/>
  </tableColumns>
  <tableStyleInfo name="Business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OtherAssets" displayName="Table_OtherAssets" ref="B19:D21" totalsRowCount="1" headerRowDxfId="40" dataDxfId="38" totalsRowDxfId="37" headerRowBorderDxfId="39" totalsRowBorderDxfId="36">
  <tableColumns count="3">
    <tableColumn id="1" xr3:uid="{00000000-0010-0000-0300-000001000000}" name="Other assets" totalsRowLabel="Total Other Assets" dataDxfId="35" totalsRowDxfId="34"/>
    <tableColumn id="2" xr3:uid="{00000000-0010-0000-0300-000002000000}" name="Year 1" totalsRowFunction="sum" dataDxfId="33" totalsRowDxfId="32"/>
    <tableColumn id="3" xr3:uid="{00000000-0010-0000-0300-000003000000}" name="Year 2" totalsRowFunction="sum" dataDxfId="31" totalsRowDxfId="30"/>
  </tableColumns>
  <tableStyleInfo name="Business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e_CurrentLiabilities" displayName="Table_CurrentLiabilities" ref="B3:D10" totalsRowCount="1" headerRowDxfId="29" dataDxfId="27" totalsRowDxfId="26" headerRowBorderDxfId="28">
  <tableColumns count="3">
    <tableColumn id="1" xr3:uid="{00000000-0010-0000-0400-000001000000}" name="Current liabilities" totalsRowLabel="Total current liabilities" dataDxfId="25" totalsRowDxfId="24"/>
    <tableColumn id="2" xr3:uid="{00000000-0010-0000-0400-000002000000}" name="Year 1" totalsRowFunction="sum" dataDxfId="23" totalsRowDxfId="22"/>
    <tableColumn id="3" xr3:uid="{00000000-0010-0000-0400-000003000000}" name="Year 2" totalsRowFunction="sum" dataDxfId="21" totalsRowDxfId="20"/>
  </tableColumns>
  <tableStyleInfo name="Business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Table_LongTermLiabilities" displayName="Table_LongTermLiabilities" ref="B12:D14" totalsRowCount="1" headerRowDxfId="19" dataDxfId="17" totalsRowDxfId="16" headerRowBorderDxfId="18">
  <tableColumns count="3">
    <tableColumn id="1" xr3:uid="{00000000-0010-0000-0500-000001000000}" name="Long-term liabilities" totalsRowLabel="Total long-term liabilities" dataDxfId="15" totalsRowDxfId="14"/>
    <tableColumn id="2" xr3:uid="{00000000-0010-0000-0500-000002000000}" name="Year 1" totalsRowFunction="sum" dataDxfId="13" totalsRowDxfId="12"/>
    <tableColumn id="3" xr3:uid="{00000000-0010-0000-0500-000003000000}" name="Year 2" totalsRowFunction="sum" dataDxfId="11" totalsRowDxfId="10"/>
  </tableColumns>
  <tableStyleInfo name="Business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6000000}" name="Table_OwnersEquity" displayName="Table_OwnersEquity" ref="B16:D19" totalsRowCount="1" headerRowDxfId="9" dataDxfId="7" totalsRowDxfId="6" headerRowBorderDxfId="8">
  <tableColumns count="3">
    <tableColumn id="1" xr3:uid="{00000000-0010-0000-0600-000001000000}" name="Owner's equity" totalsRowLabel="Total owner's equity" dataDxfId="5" totalsRowDxfId="4"/>
    <tableColumn id="2" xr3:uid="{00000000-0010-0000-0600-000002000000}" name="Year 1" totalsRowFunction="sum" dataDxfId="3" totalsRowDxfId="2"/>
    <tableColumn id="3" xr3:uid="{00000000-0010-0000-0600-000003000000}" name="Year 2" totalsRowFunction="sum" dataDxfId="1" totalsRowDxfId="0"/>
  </tableColumns>
  <tableStyleInfo name="Business Table" showFirstColumn="0" showLastColumn="0" showRowStripes="1" showColumnStripes="0"/>
</table>
</file>

<file path=xl/theme/theme1.xml><?xml version="1.0" encoding="utf-8"?>
<a:theme xmlns:a="http://schemas.openxmlformats.org/drawingml/2006/main" name="Business Templates Theme">
  <a:themeElements>
    <a:clrScheme name="tf44461500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79AFE0"/>
      </a:accent1>
      <a:accent2>
        <a:srgbClr val="173C61"/>
      </a:accent2>
      <a:accent3>
        <a:srgbClr val="E0BE1F"/>
      </a:accent3>
      <a:accent4>
        <a:srgbClr val="279CA1"/>
      </a:accent4>
      <a:accent5>
        <a:srgbClr val="79AFE0"/>
      </a:accent5>
      <a:accent6>
        <a:srgbClr val="5981A6"/>
      </a:accent6>
      <a:hlink>
        <a:srgbClr val="0563C1"/>
      </a:hlink>
      <a:folHlink>
        <a:srgbClr val="954F72"/>
      </a:folHlink>
    </a:clrScheme>
    <a:fontScheme name="BUS_Activity Based Cost Tracker">
      <a:majorFont>
        <a:latin typeface="Constantia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39"/>
  <sheetViews>
    <sheetView showGridLines="0" zoomScaleNormal="100" workbookViewId="0">
      <selection activeCell="C7" sqref="C7"/>
    </sheetView>
  </sheetViews>
  <sheetFormatPr defaultColWidth="9" defaultRowHeight="21" customHeight="1" x14ac:dyDescent="0.5"/>
  <cols>
    <col min="1" max="1" width="1.8203125" style="1" customWidth="1"/>
    <col min="2" max="2" width="50.8203125" style="2" customWidth="1"/>
    <col min="3" max="4" width="25.8203125" style="8" customWidth="1"/>
    <col min="5" max="5" width="1.8203125" style="1" customWidth="1"/>
    <col min="6" max="16384" width="9" style="1"/>
  </cols>
  <sheetData>
    <row r="1" spans="2:5" ht="71.45" customHeight="1" x14ac:dyDescent="0.5">
      <c r="B1" s="24" t="s">
        <v>38</v>
      </c>
      <c r="C1" s="6"/>
      <c r="D1" s="6"/>
      <c r="E1" s="1" t="s">
        <v>0</v>
      </c>
    </row>
    <row r="2" spans="2:5" ht="23.45" customHeight="1" x14ac:dyDescent="0.5">
      <c r="B2" s="23" t="s">
        <v>41</v>
      </c>
      <c r="C2" s="6"/>
      <c r="D2" s="6"/>
    </row>
    <row r="3" spans="2:5" ht="25.05" customHeight="1" x14ac:dyDescent="0.45">
      <c r="B3" s="3"/>
      <c r="C3" s="7" t="str">
        <f ca="1">"Year " &amp; YEAR(TODAY())-1</f>
        <v>Year 2023</v>
      </c>
      <c r="D3" s="7" t="str">
        <f ca="1">"Year " &amp; YEAR(TODAY())</f>
        <v>Year 2024</v>
      </c>
    </row>
    <row r="4" spans="2:5" ht="25.05" customHeight="1" x14ac:dyDescent="0.5">
      <c r="B4" s="17" t="s">
        <v>24</v>
      </c>
      <c r="C4" s="18" t="s">
        <v>22</v>
      </c>
      <c r="D4" s="19" t="s">
        <v>23</v>
      </c>
    </row>
    <row r="5" spans="2:5" ht="25.05" customHeight="1" x14ac:dyDescent="0.5">
      <c r="B5" s="4" t="s">
        <v>25</v>
      </c>
      <c r="C5" s="9">
        <f>Table_CurrentAssets[[#Totals],[Year 1]]+Table_FixedAssets[[#Totals],[Year 1]]+Table_OtherAssets[[#Totals],[Year 1]]</f>
        <v>9545</v>
      </c>
      <c r="D5" s="10">
        <f>Table_CurrentAssets[[#Totals],[Year 2]]+Table_FixedAssets[[#Totals],[Year 2]]+Table_OtherAssets[[#Totals],[Year 2]]</f>
        <v>12735</v>
      </c>
    </row>
    <row r="6" spans="2:5" ht="25.05" customHeight="1" x14ac:dyDescent="0.5">
      <c r="B6" s="5" t="s">
        <v>26</v>
      </c>
      <c r="C6" s="11">
        <f>Table_CurrentLiabilities[[#Totals],[Year 1]]+Table_LongTermLiabilities[[#Totals],[Year 1]]+Table_OwnersEquity[[#Totals],[Year 1]]</f>
        <v>8540</v>
      </c>
      <c r="D6" s="12">
        <f>Table_CurrentLiabilities[[#Totals],[Year 2]]+Table_LongTermLiabilities[[#Totals],[Year 2]]+Table_OwnersEquity[[#Totals],[Year 2]]</f>
        <v>6227</v>
      </c>
    </row>
    <row r="7" spans="2:5" ht="25.05" customHeight="1" x14ac:dyDescent="0.5">
      <c r="B7" s="4" t="s">
        <v>21</v>
      </c>
      <c r="C7" s="21">
        <f>C5-C6</f>
        <v>1005</v>
      </c>
      <c r="D7" s="22">
        <f>D5-D6</f>
        <v>6508</v>
      </c>
    </row>
    <row r="8" spans="2:5" ht="25.05" customHeight="1" x14ac:dyDescent="0.5"/>
    <row r="9" spans="2:5" ht="25.05" customHeight="1" x14ac:dyDescent="0.5"/>
    <row r="10" spans="2:5" ht="25.05" customHeight="1" x14ac:dyDescent="0.5"/>
    <row r="11" spans="2:5" ht="25.05" customHeight="1" x14ac:dyDescent="0.5"/>
    <row r="12" spans="2:5" ht="25.05" customHeight="1" x14ac:dyDescent="0.5"/>
    <row r="13" spans="2:5" ht="25.05" customHeight="1" x14ac:dyDescent="0.5"/>
    <row r="14" spans="2:5" ht="25.05" customHeight="1" x14ac:dyDescent="0.5"/>
    <row r="15" spans="2:5" ht="25.05" customHeight="1" x14ac:dyDescent="0.5"/>
    <row r="16" spans="2:5" ht="25.05" customHeight="1" x14ac:dyDescent="0.5"/>
    <row r="17" ht="25.05" customHeight="1" x14ac:dyDescent="0.5"/>
    <row r="18" ht="25.05" customHeight="1" x14ac:dyDescent="0.5"/>
    <row r="19" ht="25.05" customHeight="1" x14ac:dyDescent="0.5"/>
    <row r="20" ht="25.05" customHeight="1" x14ac:dyDescent="0.5"/>
    <row r="21" ht="25.05" customHeight="1" x14ac:dyDescent="0.5"/>
    <row r="22" ht="25.05" customHeight="1" x14ac:dyDescent="0.5"/>
    <row r="23" ht="25.05" customHeight="1" x14ac:dyDescent="0.5"/>
    <row r="24" ht="25.05" customHeight="1" x14ac:dyDescent="0.5"/>
    <row r="25" ht="25.05" customHeight="1" x14ac:dyDescent="0.5"/>
    <row r="26" ht="25.05" customHeight="1" x14ac:dyDescent="0.5"/>
    <row r="27" ht="25.05" customHeight="1" x14ac:dyDescent="0.5"/>
    <row r="28" ht="25.05" customHeight="1" x14ac:dyDescent="0.5"/>
    <row r="29" ht="25.05" customHeight="1" x14ac:dyDescent="0.5"/>
    <row r="30" ht="25.05" customHeight="1" x14ac:dyDescent="0.5"/>
    <row r="31" ht="25.05" customHeight="1" x14ac:dyDescent="0.5"/>
    <row r="32" ht="25.05" customHeight="1" x14ac:dyDescent="0.5"/>
    <row r="33" ht="25.05" customHeight="1" x14ac:dyDescent="0.5"/>
    <row r="34" ht="25.05" customHeight="1" x14ac:dyDescent="0.5"/>
    <row r="35" ht="25.05" customHeight="1" x14ac:dyDescent="0.5"/>
    <row r="36" ht="25.05" customHeight="1" x14ac:dyDescent="0.5"/>
    <row r="37" ht="25.05" customHeight="1" x14ac:dyDescent="0.5"/>
    <row r="38" ht="25.05" customHeight="1" x14ac:dyDescent="0.5"/>
    <row r="39" ht="25.05" customHeight="1" x14ac:dyDescent="0.5"/>
  </sheetData>
  <dataValidations count="5">
    <dataValidation allowBlank="1" showInputMessage="1" showErrorMessage="1" promptTitle="Balance Sheet" prompt="Enter preceding year in cell C2 and the current year in cell D2. _x000a__x000a_Enter Assets and Liabilities and Owner's Equity details on the next tabs. Balance Summary and Year on Year charts in this tab are automatically updated._x000a_" sqref="A2" xr:uid="{00000000-0002-0000-0000-000000000000}"/>
    <dataValidation allowBlank="1" showInputMessage="1" showErrorMessage="1" prompt="Enter preceding year in this cell" sqref="C3" xr:uid="{00000000-0002-0000-0000-000001000000}"/>
    <dataValidation allowBlank="1" showInputMessage="1" showErrorMessage="1" prompt="Enter current year in this cell" sqref="D3" xr:uid="{00000000-0002-0000-0000-000002000000}"/>
    <dataValidation allowBlank="1" showInputMessage="1" showErrorMessage="1" prompt="This table is automatically updated from data in Assets and Liabilities and Owner's Equity tabs." sqref="B4" xr:uid="{00000000-0002-0000-0000-000003000000}"/>
    <dataValidation allowBlank="1" showInputMessage="1" showErrorMessage="1" promptTitle="Balance Sheet" prompt="Enter preceding year in cell C3 and the current year in cell D3. _x000a__x000a_Enter Assets and Liabilities and Owner's Equity details on the next tabs. Balance Summary and Year on Year charts in this tab are automatically updated._x000a_" sqref="A1" xr:uid="{7C0FCC41-DA27-4997-B505-D111131DCFAB}"/>
  </dataValidations>
  <printOptions horizontalCentered="1"/>
  <pageMargins left="0.7" right="0.7" top="0.75" bottom="0.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25"/>
  <sheetViews>
    <sheetView showGridLines="0" tabSelected="1" zoomScaleNormal="100" workbookViewId="0">
      <selection activeCell="D4" sqref="D4"/>
    </sheetView>
  </sheetViews>
  <sheetFormatPr defaultColWidth="9" defaultRowHeight="21" customHeight="1" x14ac:dyDescent="0.5"/>
  <cols>
    <col min="1" max="1" width="1.8203125" style="1" customWidth="1"/>
    <col min="2" max="2" width="38.8203125" style="2" customWidth="1"/>
    <col min="3" max="3" width="18.8203125" style="8" customWidth="1"/>
    <col min="4" max="4" width="17.46875" style="8" customWidth="1"/>
    <col min="5" max="9" width="1.8203125" style="1" customWidth="1"/>
    <col min="10" max="16384" width="9" style="1"/>
  </cols>
  <sheetData>
    <row r="1" spans="2:5" ht="75" customHeight="1" x14ac:dyDescent="1.05">
      <c r="B1" s="26" t="s">
        <v>39</v>
      </c>
      <c r="C1" s="13"/>
      <c r="D1" s="13"/>
      <c r="E1" s="1" t="s">
        <v>0</v>
      </c>
    </row>
    <row r="2" spans="2:5" ht="25.05" customHeight="1" x14ac:dyDescent="0.5">
      <c r="C2" s="14" t="str">
        <f ca="1">Preceding_Year</f>
        <v>Year 2023</v>
      </c>
      <c r="D2" s="14" t="str">
        <f ca="1">Current_Year</f>
        <v>Year 2024</v>
      </c>
    </row>
    <row r="3" spans="2:5" ht="25.05" customHeight="1" x14ac:dyDescent="0.5">
      <c r="B3" s="27" t="s">
        <v>27</v>
      </c>
      <c r="C3" s="28" t="s">
        <v>22</v>
      </c>
      <c r="D3" s="29" t="s">
        <v>23</v>
      </c>
    </row>
    <row r="4" spans="2:5" ht="25.05" customHeight="1" x14ac:dyDescent="0.5">
      <c r="B4" s="31" t="s">
        <v>1</v>
      </c>
      <c r="C4" s="32">
        <v>1000</v>
      </c>
      <c r="D4" s="33">
        <v>1700</v>
      </c>
    </row>
    <row r="5" spans="2:5" ht="25.05" customHeight="1" x14ac:dyDescent="0.5">
      <c r="B5" s="34" t="s">
        <v>2</v>
      </c>
      <c r="C5" s="35">
        <v>1500</v>
      </c>
      <c r="D5" s="36">
        <v>2550</v>
      </c>
    </row>
    <row r="6" spans="2:5" ht="25.05" customHeight="1" x14ac:dyDescent="0.5">
      <c r="B6" s="34" t="s">
        <v>3</v>
      </c>
      <c r="C6" s="35">
        <v>650</v>
      </c>
      <c r="D6" s="36">
        <v>1250</v>
      </c>
    </row>
    <row r="7" spans="2:5" ht="25.05" customHeight="1" x14ac:dyDescent="0.5">
      <c r="B7" s="34" t="s">
        <v>4</v>
      </c>
      <c r="C7" s="35">
        <v>150</v>
      </c>
      <c r="D7" s="36">
        <v>230</v>
      </c>
    </row>
    <row r="8" spans="2:5" ht="25.05" customHeight="1" x14ac:dyDescent="0.5">
      <c r="B8" s="34" t="s">
        <v>5</v>
      </c>
      <c r="C8" s="35">
        <v>1230</v>
      </c>
      <c r="D8" s="36">
        <v>950</v>
      </c>
    </row>
    <row r="9" spans="2:5" ht="25.05" customHeight="1" x14ac:dyDescent="0.5">
      <c r="B9" s="34" t="s">
        <v>6</v>
      </c>
      <c r="C9" s="35">
        <v>120</v>
      </c>
      <c r="D9" s="36">
        <v>120</v>
      </c>
    </row>
    <row r="10" spans="2:5" ht="25.05" customHeight="1" thickBot="1" x14ac:dyDescent="0.55000000000000004">
      <c r="B10" s="37" t="s">
        <v>28</v>
      </c>
      <c r="C10" s="38">
        <f>SUBTOTAL(109,Table_CurrentAssets[Year 1])</f>
        <v>4650</v>
      </c>
      <c r="D10" s="39">
        <f>SUBTOTAL(109,Table_CurrentAssets[Year 2])</f>
        <v>6800</v>
      </c>
    </row>
    <row r="11" spans="2:5" ht="25.05" customHeight="1" thickTop="1" x14ac:dyDescent="0.5"/>
    <row r="12" spans="2:5" ht="25.05" customHeight="1" x14ac:dyDescent="0.5">
      <c r="B12" s="27" t="s">
        <v>29</v>
      </c>
      <c r="C12" s="28" t="s">
        <v>22</v>
      </c>
      <c r="D12" s="29" t="s">
        <v>23</v>
      </c>
    </row>
    <row r="13" spans="2:5" ht="25.05" customHeight="1" x14ac:dyDescent="0.5">
      <c r="B13" s="31" t="s">
        <v>7</v>
      </c>
      <c r="C13" s="32">
        <v>2500</v>
      </c>
      <c r="D13" s="33">
        <v>2500</v>
      </c>
    </row>
    <row r="14" spans="2:5" ht="25.05" customHeight="1" x14ac:dyDescent="0.5">
      <c r="B14" s="34" t="s">
        <v>8</v>
      </c>
      <c r="C14" s="35">
        <v>450</v>
      </c>
      <c r="D14" s="36">
        <v>350</v>
      </c>
    </row>
    <row r="15" spans="2:5" ht="25.05" customHeight="1" x14ac:dyDescent="0.5">
      <c r="B15" s="34" t="s">
        <v>9</v>
      </c>
      <c r="C15" s="35">
        <v>1250</v>
      </c>
      <c r="D15" s="36">
        <v>1600</v>
      </c>
    </row>
    <row r="16" spans="2:5" ht="25.05" customHeight="1" x14ac:dyDescent="0.5">
      <c r="B16" s="34" t="s">
        <v>10</v>
      </c>
      <c r="C16" s="35">
        <v>545</v>
      </c>
      <c r="D16" s="36">
        <v>1295</v>
      </c>
    </row>
    <row r="17" spans="2:4" ht="25.05" customHeight="1" thickBot="1" x14ac:dyDescent="0.55000000000000004">
      <c r="B17" s="40" t="s">
        <v>11</v>
      </c>
      <c r="C17" s="41">
        <f>SUBTOTAL(109,Table_FixedAssets[Year 1])</f>
        <v>4745</v>
      </c>
      <c r="D17" s="42">
        <f>SUBTOTAL(109,Table_FixedAssets[Year 2])</f>
        <v>5745</v>
      </c>
    </row>
    <row r="18" spans="2:4" ht="25.05" customHeight="1" thickTop="1" x14ac:dyDescent="0.5"/>
    <row r="19" spans="2:4" ht="25.05" customHeight="1" x14ac:dyDescent="0.5">
      <c r="B19" s="27" t="s">
        <v>30</v>
      </c>
      <c r="C19" s="28" t="s">
        <v>22</v>
      </c>
      <c r="D19" s="29" t="s">
        <v>23</v>
      </c>
    </row>
    <row r="20" spans="2:4" ht="25.05" customHeight="1" x14ac:dyDescent="0.5">
      <c r="B20" s="31" t="s">
        <v>31</v>
      </c>
      <c r="C20" s="32">
        <v>150</v>
      </c>
      <c r="D20" s="33">
        <v>190</v>
      </c>
    </row>
    <row r="21" spans="2:4" ht="25.05" customHeight="1" thickBot="1" x14ac:dyDescent="0.55000000000000004">
      <c r="B21" s="40" t="s">
        <v>12</v>
      </c>
      <c r="C21" s="41">
        <f>SUBTOTAL(109,Table_OtherAssets[Year 1])</f>
        <v>150</v>
      </c>
      <c r="D21" s="42">
        <f>SUBTOTAL(109,Table_OtherAssets[Year 2])</f>
        <v>190</v>
      </c>
    </row>
    <row r="22" spans="2:4" ht="25.05" customHeight="1" thickTop="1" x14ac:dyDescent="0.5"/>
    <row r="23" spans="2:4" ht="25.05" customHeight="1" x14ac:dyDescent="0.5"/>
    <row r="24" spans="2:4" ht="25.05" customHeight="1" x14ac:dyDescent="0.5"/>
    <row r="25" spans="2:4" ht="25.05" customHeight="1" x14ac:dyDescent="0.5"/>
  </sheetData>
  <dataValidations count="2">
    <dataValidation allowBlank="1" showInputMessage="1" showErrorMessage="1" prompt="This cell is automatically updated from the Summary tab." sqref="C2:D2" xr:uid="{00000000-0002-0000-0100-000000000000}"/>
    <dataValidation allowBlank="1" showInputMessage="1" showErrorMessage="1" prompt="Enter Current Assets, Fixed Assets, and Other Assets details in this tab" sqref="A1" xr:uid="{00000000-0002-0000-0100-000001000000}"/>
  </dataValidations>
  <printOptions horizontalCentered="1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E25"/>
  <sheetViews>
    <sheetView showGridLines="0" zoomScaleNormal="100" workbookViewId="0">
      <selection activeCell="C6" sqref="C6"/>
    </sheetView>
  </sheetViews>
  <sheetFormatPr defaultColWidth="9" defaultRowHeight="21" customHeight="1" x14ac:dyDescent="0.5"/>
  <cols>
    <col min="1" max="1" width="1.8203125" style="1" customWidth="1"/>
    <col min="2" max="2" width="38.8203125" style="2" customWidth="1"/>
    <col min="3" max="3" width="18.8203125" style="8" customWidth="1"/>
    <col min="4" max="4" width="17.46875" style="8" customWidth="1"/>
    <col min="5" max="10" width="1.8203125" style="1" customWidth="1"/>
    <col min="11" max="16384" width="9" style="1"/>
  </cols>
  <sheetData>
    <row r="1" spans="2:5" ht="75" customHeight="1" x14ac:dyDescent="1.05">
      <c r="B1" s="25" t="s">
        <v>40</v>
      </c>
      <c r="C1" s="15"/>
      <c r="D1" s="15"/>
      <c r="E1" s="1" t="s">
        <v>0</v>
      </c>
    </row>
    <row r="2" spans="2:5" ht="25.05" customHeight="1" x14ac:dyDescent="0.5">
      <c r="C2" s="16" t="str">
        <f ca="1">Preceding_Year</f>
        <v>Year 2023</v>
      </c>
      <c r="D2" s="16" t="str">
        <f ca="1">Current_Year</f>
        <v>Year 2024</v>
      </c>
    </row>
    <row r="3" spans="2:5" ht="25.05" customHeight="1" x14ac:dyDescent="0.5">
      <c r="B3" s="27" t="s">
        <v>32</v>
      </c>
      <c r="C3" s="28" t="s">
        <v>22</v>
      </c>
      <c r="D3" s="29" t="s">
        <v>23</v>
      </c>
    </row>
    <row r="4" spans="2:5" ht="25.05" customHeight="1" x14ac:dyDescent="0.5">
      <c r="B4" s="2" t="s">
        <v>13</v>
      </c>
      <c r="C4" s="9">
        <v>180</v>
      </c>
      <c r="D4" s="9">
        <v>252</v>
      </c>
    </row>
    <row r="5" spans="2:5" ht="25.05" customHeight="1" x14ac:dyDescent="0.5">
      <c r="B5" s="2" t="s">
        <v>14</v>
      </c>
      <c r="C5" s="9">
        <v>250</v>
      </c>
      <c r="D5" s="9">
        <v>370</v>
      </c>
    </row>
    <row r="6" spans="2:5" ht="25.05" customHeight="1" x14ac:dyDescent="0.5">
      <c r="B6" s="2" t="s">
        <v>15</v>
      </c>
      <c r="C6" s="9">
        <v>240</v>
      </c>
      <c r="D6" s="9">
        <v>190</v>
      </c>
    </row>
    <row r="7" spans="2:5" ht="25.05" customHeight="1" x14ac:dyDescent="0.5">
      <c r="B7" s="2" t="s">
        <v>16</v>
      </c>
      <c r="C7" s="9">
        <v>120</v>
      </c>
      <c r="D7" s="9">
        <v>130</v>
      </c>
    </row>
    <row r="8" spans="2:5" ht="25.05" customHeight="1" x14ac:dyDescent="0.5">
      <c r="B8" s="2" t="s">
        <v>17</v>
      </c>
      <c r="C8" s="9">
        <v>0</v>
      </c>
      <c r="D8" s="9">
        <v>0</v>
      </c>
    </row>
    <row r="9" spans="2:5" ht="25.05" customHeight="1" x14ac:dyDescent="0.5">
      <c r="B9" s="2" t="s">
        <v>6</v>
      </c>
      <c r="C9" s="9">
        <v>250</v>
      </c>
      <c r="D9" s="9">
        <v>235</v>
      </c>
    </row>
    <row r="10" spans="2:5" ht="25.05" customHeight="1" thickBot="1" x14ac:dyDescent="0.55000000000000004">
      <c r="B10" s="30" t="s">
        <v>34</v>
      </c>
      <c r="C10" s="20">
        <f>SUBTOTAL(109,Table_CurrentLiabilities[Year 1])</f>
        <v>1040</v>
      </c>
      <c r="D10" s="20">
        <f>SUBTOTAL(109,Table_CurrentLiabilities[Year 2])</f>
        <v>1177</v>
      </c>
    </row>
    <row r="11" spans="2:5" ht="25.05" customHeight="1" thickTop="1" x14ac:dyDescent="0.5"/>
    <row r="12" spans="2:5" ht="25.05" customHeight="1" x14ac:dyDescent="0.5">
      <c r="B12" s="27" t="s">
        <v>33</v>
      </c>
      <c r="C12" s="28" t="s">
        <v>22</v>
      </c>
      <c r="D12" s="29" t="s">
        <v>23</v>
      </c>
    </row>
    <row r="13" spans="2:5" ht="25.05" customHeight="1" x14ac:dyDescent="0.5">
      <c r="B13" s="2" t="s">
        <v>18</v>
      </c>
      <c r="C13" s="9">
        <v>1500</v>
      </c>
      <c r="D13" s="9">
        <v>1900</v>
      </c>
    </row>
    <row r="14" spans="2:5" ht="25.05" customHeight="1" thickBot="1" x14ac:dyDescent="0.55000000000000004">
      <c r="B14" s="30" t="s">
        <v>35</v>
      </c>
      <c r="C14" s="20">
        <f>SUBTOTAL(109,Table_LongTermLiabilities[Year 1])</f>
        <v>1500</v>
      </c>
      <c r="D14" s="20">
        <f>SUBTOTAL(109,Table_LongTermLiabilities[Year 2])</f>
        <v>1900</v>
      </c>
    </row>
    <row r="15" spans="2:5" ht="25.05" customHeight="1" thickTop="1" x14ac:dyDescent="0.5"/>
    <row r="16" spans="2:5" ht="25.05" customHeight="1" x14ac:dyDescent="0.5">
      <c r="B16" s="27" t="s">
        <v>36</v>
      </c>
      <c r="C16" s="28" t="s">
        <v>22</v>
      </c>
      <c r="D16" s="29" t="s">
        <v>23</v>
      </c>
    </row>
    <row r="17" spans="2:4" ht="25.05" customHeight="1" x14ac:dyDescent="0.5">
      <c r="B17" s="2" t="s">
        <v>19</v>
      </c>
      <c r="C17" s="9">
        <v>5500</v>
      </c>
      <c r="D17" s="9">
        <v>2500</v>
      </c>
    </row>
    <row r="18" spans="2:4" ht="25.05" customHeight="1" x14ac:dyDescent="0.5">
      <c r="B18" s="2" t="s">
        <v>20</v>
      </c>
      <c r="C18" s="9">
        <v>500</v>
      </c>
      <c r="D18" s="9">
        <v>650</v>
      </c>
    </row>
    <row r="19" spans="2:4" ht="25.05" customHeight="1" thickBot="1" x14ac:dyDescent="0.55000000000000004">
      <c r="B19" s="30" t="s">
        <v>37</v>
      </c>
      <c r="C19" s="20">
        <f>SUBTOTAL(109,Table_OwnersEquity[Year 1])</f>
        <v>6000</v>
      </c>
      <c r="D19" s="20">
        <f>SUBTOTAL(109,Table_OwnersEquity[Year 2])</f>
        <v>3150</v>
      </c>
    </row>
    <row r="20" spans="2:4" ht="25.05" customHeight="1" thickTop="1" x14ac:dyDescent="0.5"/>
    <row r="21" spans="2:4" ht="25.05" customHeight="1" x14ac:dyDescent="0.5"/>
    <row r="22" spans="2:4" ht="25.05" customHeight="1" x14ac:dyDescent="0.5"/>
    <row r="23" spans="2:4" ht="25.05" customHeight="1" x14ac:dyDescent="0.5"/>
    <row r="24" spans="2:4" ht="25.05" customHeight="1" x14ac:dyDescent="0.5"/>
    <row r="25" spans="2:4" ht="25.05" customHeight="1" x14ac:dyDescent="0.5"/>
  </sheetData>
  <dataValidations count="2">
    <dataValidation allowBlank="1" showInputMessage="1" showErrorMessage="1" prompt="This cell is automatically updated from the Summary tab." sqref="C2:D2" xr:uid="{00000000-0002-0000-0200-000000000000}"/>
    <dataValidation allowBlank="1" showInputMessage="1" showErrorMessage="1" prompt="Enter Current Liabilities, Long-Term Liabilities, and Owner's Equity details in this tab" sqref="A1" xr:uid="{00000000-0002-0000-0200-000001000000}"/>
  </dataValidations>
  <printOptions horizontalCentered="1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Image xmlns="71af3243-3dd4-4a8d-8c0d-dd76da1f02a5">
      <Url xsi:nil="true"/>
      <Description xsi:nil="true"/>
    </Image>
    <Status xmlns="71af3243-3dd4-4a8d-8c0d-dd76da1f02a5">Not started</Status>
    <Background xmlns="71af3243-3dd4-4a8d-8c0d-dd76da1f02a5">false</Background>
    <_ip_UnifiedCompliancePolicyProperties xmlns="http://schemas.microsoft.com/sharepoint/v3" xsi:nil="true"/>
    <ImageTagsTaxHTField xmlns="71af3243-3dd4-4a8d-8c0d-dd76da1f02a5">
      <Terms xmlns="http://schemas.microsoft.com/office/infopath/2007/PartnerControls"/>
    </ImageTagsTaxHTField>
    <TaxCatchAll xmlns="230e9df3-be65-4c73-a93b-d1236ebd677e" xsi:nil="true"/>
    <MediaServiceKeyPoints xmlns="71af3243-3dd4-4a8d-8c0d-dd76da1f02a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26" ma:contentTypeDescription="Create a new document." ma:contentTypeScope="" ma:versionID="ac37c1753acd5e330d2062ccec26ea66">
  <xsd:schema xmlns:xsd="http://www.w3.org/2001/XMLSchema" xmlns:xs="http://www.w3.org/2001/XMLSchema" xmlns:p="http://schemas.microsoft.com/office/2006/metadata/properties" xmlns:ns1="http://schemas.microsoft.com/sharepoint/v3" xmlns:ns2="71af3243-3dd4-4a8d-8c0d-dd76da1f02a5" xmlns:ns3="16c05727-aa75-4e4a-9b5f-8a80a1165891" xmlns:ns4="230e9df3-be65-4c73-a93b-d1236ebd677e" targetNamespace="http://schemas.microsoft.com/office/2006/metadata/properties" ma:root="true" ma:fieldsID="3b340c7101c92c5120abd06486f94548" ns1:_="" ns2:_="" ns3:_="" ns4:_="">
    <xsd:import namespace="http://schemas.microsoft.com/sharepoint/v3"/>
    <xsd:import namespace="71af3243-3dd4-4a8d-8c0d-dd76da1f02a5"/>
    <xsd:import namespace="16c05727-aa75-4e4a-9b5f-8a80a1165891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Status" minOccurs="0"/>
                <xsd:element ref="ns2:Image" minOccurs="0"/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4:TaxCatchAll" minOccurs="0"/>
                <xsd:element ref="ns2:ImageTagsTaxHTField" minOccurs="0"/>
                <xsd:element ref="ns2:MediaServiceLocation" minOccurs="0"/>
                <xsd:element ref="ns2:MediaLengthInSeconds" minOccurs="0"/>
                <xsd:element ref="ns2:Background" minOccurs="0"/>
                <xsd:element ref="ns2:MediaServiceSearchProperties" minOccurs="0"/>
                <xsd:element ref="ns2:MediaServiceDoc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 ma:readOnly="false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Status" ma:index="2" nillable="true" ma:displayName="Status" ma:default="Not started" ma:format="Dropdown" ma:internalName="Status" ma:readOnly="false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  <xsd:element name="Image" ma:index="3" nillable="true" ma:displayName="Image" ma:format="Image" ma:internalName="Image" ma:readOnly="fals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hidden="true" ma:internalName="MediaServiceOCR" ma:readOnly="true">
      <xsd:simpleType>
        <xsd:restriction base="dms:Note"/>
      </xsd:simpleType>
    </xsd:element>
    <xsd:element name="MediaServiceAutoTags" ma:index="11" nillable="true" ma:displayName="MediaServiceAutoTags" ma:hidden="true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hidden="true" ma:internalName="MediaServiceKeyPoints" ma:readOnly="false">
      <xsd:simpleType>
        <xsd:restriction base="dms:Note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ImageTagsTaxHTField" ma:index="25" nillable="true" ma:taxonomy="true" ma:internalName="ImageTagsTaxHTField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6" nillable="true" ma:displayName="Location" ma:hidden="true" ma:internalName="MediaServiceLocation" ma:readOnly="true">
      <xsd:simpleType>
        <xsd:restriction base="dms:Text"/>
      </xsd:simpleType>
    </xsd:element>
    <xsd:element name="MediaLengthInSeconds" ma:index="27" nillable="true" ma:displayName="MediaLengthInSeconds" ma:hidden="true" ma:internalName="MediaLengthInSeconds" ma:readOnly="true">
      <xsd:simpleType>
        <xsd:restriction base="dms:Unknown"/>
      </xsd:simpleType>
    </xsd:element>
    <xsd:element name="Background" ma:index="28" nillable="true" ma:displayName="Background" ma:default="0" ma:format="Dropdown" ma:internalName="Background">
      <xsd:simpleType>
        <xsd:restriction base="dms:Boolean"/>
      </xsd:simpleType>
    </xsd:element>
    <xsd:element name="MediaServiceSearchProperties" ma:index="2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ocTags" ma:index="30" nillable="true" ma:displayName="MediaServiceDocTags" ma:hidden="true" ma:internalName="MediaServiceDoc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hidden="true" ma:internalName="SharedWithDetail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3f6bfcbc-3db3-4ae6-bd76-326f0798ad28}" ma:internalName="TaxCatchAll" ma:readOnly="false" ma:showField="CatchAllData" ma:web="16c05727-aa75-4e4a-9b5f-8a80a11658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39EF3B4-4C32-4145-9D52-E02ECB585B36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71af3243-3dd4-4a8d-8c0d-dd76da1f02a5"/>
    <ds:schemaRef ds:uri="230e9df3-be65-4c73-a93b-d1236ebd677e"/>
  </ds:schemaRefs>
</ds:datastoreItem>
</file>

<file path=customXml/itemProps2.xml><?xml version="1.0" encoding="utf-8"?>
<ds:datastoreItem xmlns:ds="http://schemas.openxmlformats.org/officeDocument/2006/customXml" ds:itemID="{49517178-0601-4510-8E19-C3C00219D86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1af3243-3dd4-4a8d-8c0d-dd76da1f02a5"/>
    <ds:schemaRef ds:uri="16c05727-aa75-4e4a-9b5f-8a80a1165891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A67161A-4D53-4C14-B1B6-19FB0E60C5F3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/>
</file>

<file path=docProps/app.xml><?xml version="1.0" encoding="utf-8"?>
<Properties xmlns="http://schemas.openxmlformats.org/officeDocument/2006/extended-properties" xmlns:vt="http://schemas.openxmlformats.org/officeDocument/2006/docPropsVTypes">
  <Template>TM44461500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Summary</vt:lpstr>
      <vt:lpstr>Assets</vt:lpstr>
      <vt:lpstr>Liabilities and owner's equity</vt:lpstr>
      <vt:lpstr>Current_Year</vt:lpstr>
      <vt:lpstr>Preceding_Year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2022-11-14T07:30:01Z</dcterms:created>
  <dcterms:modified xsi:type="dcterms:W3CDTF">2024-05-26T22:26:20Z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